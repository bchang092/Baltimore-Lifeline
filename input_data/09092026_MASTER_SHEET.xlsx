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aper-Verified" sheetId="1" r:id="rId4"/>
    <sheet state="visible" name="Sheet3" sheetId="2" r:id="rId5"/>
  </sheets>
  <definedNames/>
  <calcPr/>
  <extLst>
    <ext uri="GoogleSheetsCustomDataVersion2">
      <go:sheetsCustomData xmlns:go="http://customooxmlschemas.google.com/" r:id="rId6" roundtripDataChecksum="dslRoXXKW9PPaQybSVjGAQwkEoAiuZmGbEoKWqw7A1s="/>
    </ext>
  </extLst>
</workbook>
</file>

<file path=xl/sharedStrings.xml><?xml version="1.0" encoding="utf-8"?>
<sst xmlns="http://schemas.openxmlformats.org/spreadsheetml/2006/main" count="12695" uniqueCount="10259">
  <si>
    <t xml:space="preserve">Key: </t>
  </si>
  <si>
    <t>Highly Reliable threshold</t>
  </si>
  <si>
    <t>ID</t>
  </si>
  <si>
    <t>Reliable</t>
  </si>
  <si>
    <t>Mixed Reviews</t>
  </si>
  <si>
    <t>confidence thresh</t>
  </si>
  <si>
    <t>Address</t>
  </si>
  <si>
    <t>Latitude</t>
  </si>
  <si>
    <t>Longitude</t>
  </si>
  <si>
    <t>Phone Number</t>
  </si>
  <si>
    <t>Name of Service</t>
  </si>
  <si>
    <t>Restrictions of Service</t>
  </si>
  <si>
    <t>Days of Service</t>
  </si>
  <si>
    <t>Cateogry of Help</t>
  </si>
  <si>
    <t>Description</t>
  </si>
  <si>
    <t>link to site</t>
  </si>
  <si>
    <t>Reliability Description</t>
  </si>
  <si>
    <t>Reliability Score</t>
  </si>
  <si>
    <t>Confidence</t>
  </si>
  <si>
    <t>Confidence Details</t>
  </si>
  <si>
    <t>Date Verified</t>
  </si>
  <si>
    <t>Classification</t>
  </si>
  <si>
    <t>1731 E Chase St, Baltimore, MD 21213</t>
  </si>
  <si>
    <t>(410) 545-0136</t>
  </si>
  <si>
    <t>The Community Resource Center</t>
  </si>
  <si>
    <t>Residents in catchment area</t>
  </si>
  <si>
    <t>Monday: 8:30 AM to 4:30 PM; Tuesday: 8:30 AM to 4:30 PM; Wednesday: 8:30 AM to 4:30 PM; Thursday: 8:30 AM to 4:30 PM; Friday: 8:30 AM to 4:30 PM; Saturday: Closed; Sunday: Closed</t>
  </si>
  <si>
    <t>Other / Uncategorized</t>
  </si>
  <si>
    <t>A physical community resource center located at the supplied Baltimore address. Publicly available sources do not provide clear, attributable details about specific programs, eligibility rules, or services offered at this location.</t>
  </si>
  <si>
    <t>Public review text is sparse: most Google reviewers left star ratings without comments, so substantive feedback is limited. The few written comments report crowding and at least one complaint about perceived staff impatience; several recent anonymous low-star ratings exist but provide no explanatory detail. Because review content is thin and the organization’s website could not be verified, qualitative impressions are provisional.</t>
  </si>
  <si>
    <t>accepted google identity: 14.2/15; review volume: 22.1/30; review consistency: 2.3/7; review freshness: 7.3/8; verified website: 0.0/15; confirmed irs record: 0.0/20; source corroboration: 1.7/5; Synthesis metadata: insufficient_evidence (not part of numeric confidence)</t>
  </si>
  <si>
    <t>5225 York Rd #4, Baltimore, MD 21212</t>
  </si>
  <si>
    <t>(410) 396-6084</t>
  </si>
  <si>
    <t>Northern Community Action</t>
  </si>
  <si>
    <t>Monday: 8:30 AM to 3:30 PM; Tuesday: 8:30 AM to 3:30 PM; Wednesday: 8:30 AM to 3:30 PM; Thursday: 8:30 AM to 3:30 PM; Friday: 8:30 AM to 3:30 PM; Saturday: Closed; Sunday: Closed</t>
  </si>
  <si>
    <t>Youth, Family, &amp; General Support Services</t>
  </si>
  <si>
    <t>A neighborhood community center / social services office that provides in-person assistance and referrals to other agencies for residents seeking help with social supports and benefit programs.</t>
  </si>
  <si>
    <t>Review text shows a mix of experiences: many reviewers describe staff as helpful and able to provide resources or get things done, while a recurring negative theme is long wait times and occasional reports of rude or unprofessional staff. The most recent reviews continue to show this mixed pattern, with some recent 5-star praise alongside isolated low-star reports about service and wait time. Attempts to corroborate program details on an official website were unsuccessful, which limits confirmation of specific services beyond what reviewers report and the Google listing.</t>
  </si>
  <si>
    <t>accepted google identity: 14.2/15; review volume: 30.0/30; review consistency: 1.0/7; review freshness: 7.2/8; verified website: 0.0/15; confirmed irs record: 0.0/20; source corroboration: 1.7/5; Synthesis metadata: medium (not part of numeric confidence)</t>
  </si>
  <si>
    <t>Tower II, 100 S Charles St 8th floor, Baltimore, MD 21201</t>
  </si>
  <si>
    <t>(410) 637-1900</t>
  </si>
  <si>
    <t>Behavioral Health System Baltimore</t>
  </si>
  <si>
    <t>988 crisis support is available by call or text and is described as free and confidential for residents in Baltimore City, Baltimore County, Howard County, and Carroll County. Bmore POWER provides citywide harm-reduction outreach and posts an outreach schedule; materials and services referenced include naloxone and drug-testing resources. No additional intake documents, referral-only restrictions, or eligibility requirements were stated in the available sources.</t>
  </si>
  <si>
    <t>Monday: 8 AM to 5 PM; Tuesday: 8 AM to 5 PM; Wednesday: 8 AM to 5 PM; Thursday: 8 AM to 5 PM; Friday: 8 AM to 5 PM; Saturday: Closed; Sunday: Closed</t>
  </si>
  <si>
    <t>Behavioral Health, Substance Use, &amp; Crisis</t>
  </si>
  <si>
    <t>A city-level behavioral health coordinating organization that operates a 988 crisis helpline for the region, runs a harm-reduction outreach team (Bmore POWER) offering on-the-ground outreach and overdose-harm-reduction services, and manages complaints and system navigation for behavioral-health providers in Baltimore City.</t>
  </si>
  <si>
    <t>http://www.bhsbaltimore.org/</t>
  </si>
  <si>
    <t>Public review feedback is very limited; the available recent review expresses that the reviewer felt their concerns were ignored and reports distrust of health-care professionals, and the listing owner did not post a response. The organization’s official website and archival snapshots corroborate described programs (988 helpline, Bmore POWER outreach, complaint management), supporting the identity and stated activities. Because review text is sparse and skewed negative, user-experience claims should be treated cautiously and are not broadly generalizable.</t>
  </si>
  <si>
    <t>accepted google identity: 14.2/15; review volume: 8.9/30; review consistency: 7.0/7; review freshness: 2.2/8; verified website: 14.2/15; confirmed irs record: 20.0/20; source corroboration: 5.0/5; Synthesis metadata: high (not part of numeric confidence)</t>
  </si>
  <si>
    <t>4200 Pennington Ave, Baltimore, MD 21226</t>
  </si>
  <si>
    <t>(443) 300-1177</t>
  </si>
  <si>
    <t>Unlimited Bounds Human Services</t>
  </si>
  <si>
    <t>Contact an admissions coordinator to begin services (phone and contact form available); the website states an admissions coordinator will respond within two business days. Prospective clients are asked to contact admissions to confirm insurance acceptance and intake details; the site describes an intake team that facilitates initiation of services.</t>
  </si>
  <si>
    <t>Monday: 9 AM to 5 PM; Tuesday: 9 AM to 5 PM; Wednesday: 9 AM to 5 PM; Thursday: 9 AM to 5 PM; Friday: 9 AM to 5 PM; Saturday: 9 AM to 5 PM; Sunday: 9 AM to 5 PM</t>
  </si>
  <si>
    <t>A Baltimore-based behavioral health provider offering multi-level addiction treatment and associated mental health care, including structured day programs, outpatient treatment, individual and group therapy, medication management, residential/housing support, and telehealth options.</t>
  </si>
  <si>
    <t>https://unlimitedbounds.com/</t>
  </si>
  <si>
    <t>Google Maps reviews show a substantial set of first-hand client feedback: many reviewers praise caring, committed staff and describe effective PHP/IOP programming, on-site housing, and meals; recurring criticisms include staff turnover, small food portions, and delays or problems getting psychiatric medications. The organization’s verified website and Google Maps listing consistently describe a multi-level addiction-treatment continuum (PHP, IOP, outpatient), residential/housing services, medication management/psychiatry, and telehealth, which aligns with reviewer accounts. Newer reviews continue to show a mix of strong endorsements and sharp operational complaints, so public feedback is mixed but consistent with the services advertised.</t>
  </si>
  <si>
    <t>accepted google identity: 13.5/15; review volume: 30.0/30; review consistency: 1.4/7; review freshness: 7.7/8; verified website: 13.5/15; confirmed irs record: 0.0/20; source corroboration: 3.3/5; Synthesis metadata: high (not part of numeric confidence)</t>
  </si>
  <si>
    <t>4201 Primrose Ave, Baltimore, MD 21215</t>
  </si>
  <si>
    <t>(410) 764-8560</t>
  </si>
  <si>
    <t>People Encouraging People</t>
  </si>
  <si>
    <t>Enrollment in PEP services is implied for ongoing support; the website instructs enrolled clients to call their usual PEP office and notes an after-hours on-call number will connect when needed. (Evidence: official website and Google Maps listing.)</t>
  </si>
  <si>
    <t>Monday: 8:30 AM to 5 PM; Tuesday: 8:30 AM to 5 PM; Wednesday: 8:30 AM to 5 PM; Thursday: 8:30 AM to 5 PM; Friday: 8:30 AM to 5 PM; Saturday: Closed; Sunday: Closed</t>
  </si>
  <si>
    <t>PEP (People Encouraging People) operates a physical recovery/behavioral health program that provides community-based rehabilitation and individualized support services for people with psychiatric or other disabling conditions; the organization’s website also states it is accredited by The Joint Commission.</t>
  </si>
  <si>
    <t>http://www.peponline.org/</t>
  </si>
  <si>
    <t>Recent reviewer comments are mixed: many people report helpful, caring, communicative staff who supported intake, housing assistance, or other services, while other reviewers describe serious safety and housing-related problems at some PEP sites, including allegations of unaddressed violence and pest issues. The most recent reviews include both brief positive reports and one detailed, severe complaint about a past site, so public feedback is currently mixed rather than uniformly positive or uniformly negative.</t>
  </si>
  <si>
    <t>accepted google identity: 14.2/15; review volume: 30.0/30; review consistency: 3.0/7; review freshness: 5.8/8; verified website: 14.2/15; confirmed irs record: 0.0/20; source corroboration: 3.3/5; Synthesis metadata: medium (not part of numeric confidence)</t>
  </si>
  <si>
    <t>25 S Charles St, Baltimore, MD 21201</t>
  </si>
  <si>
    <t>(800) 332-6347</t>
  </si>
  <si>
    <t>Maryland Department of Human Services</t>
  </si>
  <si>
    <t>Contact DHS for services and intake by phone (1-800-332-6347) with TTY 1-800-735-2258; report adult or child abuse via the dedicated hotline (1-800-917-7383). SNAP and energy-assistance programs require application/eligibility processes (energy-assistance program year runs 7/1–6/30). Child Protective Services uses investigative or alternative responses depending on assessed risk. (Access details as stated on DHS website and the Google Maps listing.)</t>
  </si>
  <si>
    <t>Food &amp; Essential Needs</t>
  </si>
  <si>
    <t>Maryland Department of Human Services operates statewide social-service programs including adult services (support for elderly and adults with disabilities), child protective services, administration of food benefits (SNAP), and energy/utility assistance programs.</t>
  </si>
  <si>
    <t>http://dhs.maryland.gov/</t>
  </si>
  <si>
    <t>Google reviewers most frequently report long phone wait times, lost paperwork, communication breakdowns, and negative experiences with staff responsiveness—some reviewers describe serious problems with adult protective services responses. Recurring positive comments note that individual staff or front-desk workers can be helpful and patient when reached. The newest reviews continue to emphasize frustration and perceived systemic inefficiency, while positive experiences remain present but less common.</t>
  </si>
  <si>
    <t>accepted google identity: 14.2/15; review volume: 30.0/30; review consistency: 1.0/7; review freshness: 7.8/8; verified website: 14.2/15; confirmed irs record: 0.0/20; source corroboration: 3.3/5; Synthesis metadata: high (not part of numeric confidence)</t>
  </si>
  <si>
    <t>3549 Old Frederick Rd, Baltimore, MD 21229</t>
  </si>
  <si>
    <t>(410) 837-1400</t>
  </si>
  <si>
    <t>Project Plase</t>
  </si>
  <si>
    <t>Intake requires completing an intake application; SSVF and some veteran programs are for qualified veterans and may prioritize chronically homeless veterans. Some programs require case management intake and referrals. Site accessibility features reported (wheelchair accessible entrance and parking).</t>
  </si>
  <si>
    <t>Monday: 9 AM to 3 PM; Tuesday: 9 AM to 3 PM; Wednesday: 9 AM to 3 PM; Thursday: 9 AM to 3 PM; Friday: 9 AM to 3 PM; Saturday: Closed; Sunday: Closed</t>
  </si>
  <si>
    <t>Housing &amp; Shelter</t>
  </si>
  <si>
    <t>Project PLASE provides temporary emergency housing and longer-term supportive and subsidized housing programs, plus case management and wraparound supportive services (including a veteran-focused SSVF program) to help people move from homelessness into stable housing.</t>
  </si>
  <si>
    <t>https://projectplase.org/</t>
  </si>
  <si>
    <t>Google reviewers commonly report that staff are helpful and that the program has assisted people in obtaining safe, stable housing; several reviews specifically praise staff and the program’s housing outcomes. Recurring negative feedback centers on at least one user being told help was unavailable after arrival, indicating occasional access or capacity problems. The recent reviews in the sample remain largely positive, and organizational identity is corroborated by an IRS registry match and an official website.</t>
  </si>
  <si>
    <t>accepted google identity: 13.5/15; review volume: 30.0/30; review consistency: 3.1/7; review freshness: 7.1/8; verified website: 13.5/15; confirmed irs record: 20.0/20; source corroboration: 5.0/5; Synthesis metadata: high (not part of numeric confidence)</t>
  </si>
  <si>
    <t>4120 Patterson Ave, Baltimore, MD 21215</t>
  </si>
  <si>
    <t>(410) 764-2266</t>
  </si>
  <si>
    <t>Park West Health System</t>
  </si>
  <si>
    <t>Appointments are recommended and/or required. The center states it provides care regardless of ability to pay and offers free or low-cost care based on individual circumstances. (Evidence supports appointment-based intake and sliding-scale/low-cost options.)</t>
  </si>
  <si>
    <t>Monday: 9 AM to 5:30 PM; Tuesday: 9 AM to 5:30 PM; Wednesday: 9 AM to 5:30 PM; Thursday: 9 AM to 5:30 PM; Friday: 9 AM to 5:30 PM; Saturday: Closed; Sunday: Closed</t>
  </si>
  <si>
    <t>Physical &amp; General Health Care</t>
  </si>
  <si>
    <t>A community-based medical clinic and federally qualified health center that provides primary and preventive medical care, pediatrics, behavioral health, and related services across multiple Park West locations in Northwest Baltimore.</t>
  </si>
  <si>
    <t>http://www.parkwestmed.org/</t>
  </si>
  <si>
    <t>Google Maps reviewers repeatedly praise individual clinicians and some staff for good patient interactions and attentive providers. Recurring negative themes include difficulty scheduling or getting timely appointment responses, long waits and missed provider visits, billing or insurance handling problems, and concerns about medication management or care continuity. The newest reviews in the fetched sample emphasize those access and scheduling problems rather than contradicting them.</t>
  </si>
  <si>
    <t>1501 W Saratoga St, Baltimore, MD 21223</t>
  </si>
  <si>
    <t>(410) 383-8300</t>
  </si>
  <si>
    <t>Total Health Care - Saratoga Health Center</t>
  </si>
  <si>
    <t>Open to all; accepts most insurance</t>
  </si>
  <si>
    <t>Monday: 8:30 AM to 7 PM; Tuesday: 8:30 AM to 7 PM; Wednesday: 8:30 AM to 7 PM; Thursday: 8:30 AM to 7 PM; Friday: 8:30 AM to 6 PM; Saturday: Closed; Sunday: Closed</t>
  </si>
  <si>
    <t>A medical clinic / community health center providing general primary and outpatient medical care. The facility’s listing indicates on-site pharmacy services and behavioral health/counseling services.</t>
  </si>
  <si>
    <t>http://www.totalhealthcare.org/</t>
  </si>
  <si>
    <t>Reviewers commonly praise the clinic’s staff and find the location convenient, reporting positive experiences with providers. Recurring complaints describe administrative problems — such as appointment redirections, delays or problems with deliveries and dental follow‑through, and occasional unexpected closures — which have led to some negative experiences. The owner has replied to some reviews; the most recent feedback includes positive reports but the mix of criticisms suggests service consistency can vary.</t>
  </si>
  <si>
    <t>accepted google identity: 14.2/15; review volume: 30.0/30; review consistency: 1.6/7; review freshness: 8.0/8; verified website: 14.2/15; confirmed irs record: 0.0/20; source corroboration: 3.3/5; Synthesis metadata: medium (not part of numeric confidence)</t>
  </si>
  <si>
    <t>5807 Harford Rd, Baltimore, MD 21214</t>
  </si>
  <si>
    <t>(410) 444-2100</t>
  </si>
  <si>
    <t>Harbel Community Organization</t>
  </si>
  <si>
    <t>Offers services to residents of Baltimore City and Baltimore County; homebuyers are advised to seek services from the housing counseling agency serving the area where they are most likely to purchase a home. Serves both adults and adolescents. (Access details and intake documentation requirements were not specified in the supplied evidence.)</t>
  </si>
  <si>
    <t>Monday: 9 AM to 7 PM; Tuesday: 9 AM to 7 PM; Wednesday: 9 AM to 7 PM; Thursday: 9 AM to 7 PM; Friday: 9 AM to 2 PM; Saturday: Closed; Sunday: Closed</t>
  </si>
  <si>
    <t>A neighborhood community organization that provides housing-related programs (housing counseling and homebuyer education/workshops), prevention and recovery services for substance use and mental health, and broader community relation/service activities serving the Northeast Baltimore area.</t>
  </si>
  <si>
    <t>http://www.harbel.org/</t>
  </si>
  <si>
    <t>Google Maps reviewers most frequently praise educational homebuyer workshops and describe staff as helpful, professional, and patient; recent reviews are strongly positive and describe free, informative workshops. A minority of older reviews raise concerns about staff interactions and participant requirements for classes. Administrative records and the organization website corroborate the listed programs and identity.</t>
  </si>
  <si>
    <t>accepted google identity: 14.2/15; review volume: 30.0/30; review consistency: 1.4/7; review freshness: 7.6/8; verified website: 14.2/15; confirmed irs record: 20.0/20; source corroboration: 5.0/5; Synthesis metadata: high (not part of numeric confidence)</t>
  </si>
  <si>
    <t>3009 Greenmount Ave, Baltimore, MD 21218</t>
  </si>
  <si>
    <t>(410) 547-9934</t>
  </si>
  <si>
    <t>The Forge of The BIT Center</t>
  </si>
  <si>
    <t>Some programs (for example, cooking classes) require advance registration; sign-up information and program details are published on the organization's website.</t>
  </si>
  <si>
    <t>Monday: Closed; Tuesday: 10 AM to 5 PM; Wednesday: 10 AM to 5 PM; Thursday: 10 AM to 5 PM; Friday: 10 AM to 5 PM; Saturday: Closed; Sunday: Closed</t>
  </si>
  <si>
    <t>A neighborhood community center providing food access and gastronomy education alongside cultural arts, youth empowerment, and workforce-development programs.</t>
  </si>
  <si>
    <t>http://www.thebitcenter.org/</t>
  </si>
  <si>
    <t>Available reviewer feedback praises accommodating staff and homemade food offerings and specifically mentions community food provision and pasta made from scratch. The single provided review contains only positive remarks and does not raise operational concerns. The organization's official website and a confirmed registry record further corroborate the programs and contact details listed on the public map entry.</t>
  </si>
  <si>
    <t>accepted google identity: 14.2/15; review volume: 5.0/30; review consistency: 7.0/7; review freshness: 7.6/8; verified website: 14.2/15; confirmed irs record: 20.0/20; source corroboration: 5.0/5; Synthesis metadata: high (not part of numeric confidence)</t>
  </si>
  <si>
    <t>3600 Clipper Mill Rd Ste 212, Baltimore, MD 21211</t>
  </si>
  <si>
    <t>(443) 726-1318</t>
  </si>
  <si>
    <t>LifeSpring Counseling</t>
  </si>
  <si>
    <t>Appointments are required/recommended; online scheduling available 24/7 and a dedicated staff member answers phones Monday–Friday during posted hours. The practice accepts insurance and advertises quick appointment availability (appointments often within about a week). Psychedelic‑assisted therapy (KAP) requires a preliminary consultation (free 15‑minute consult offered, contact by email per website). Services are offered both in‑person at the Baltimore office and via telehealth statewide in Maryland.</t>
  </si>
  <si>
    <t>Monday: 9 AM to 5 PM; Tuesday: 9 AM to 5 PM; Wednesday: 9 AM to 5 PM; Thursday: 9 AM to 5 PM; Friday: 9 AM to 5 PM; Saturday: Closed; Sunday: Closed</t>
  </si>
  <si>
    <t>A Maryland counseling practice offering in-person and telehealth therapy, providing individual counseling for anxiety, depression, trauma/PTSD, and related concerns; the practice advertises specialized modalities including Brainspotting and psychedelic‑assisted therapy (KAP), and indicates it accepts insurance and schedules appointments quickly.</t>
  </si>
  <si>
    <t>http://lifespringcounseling.net/</t>
  </si>
  <si>
    <t>Public reviewer comments emphasize compassionate, nurturing, and supportive clinicians; the most recent review echoes those positive themes. However, written review text is sparse and dated, so user-feedback evidence is limited and should be generalized cautiously. Non‑review corroborating sources (the Google business listing and the practice website) consistently show reachable website, posted hours, in‑person and telehealth service options, appointment requirements, and insurance acceptance.</t>
  </si>
  <si>
    <t>accepted google identity: 14.2/15; review volume: 12.0/30; review consistency: 7.0/7; review freshness: 1.2/8; verified website: 14.2/15; confirmed irs record: 0.0/20; source corroboration: 3.3/5; Synthesis metadata: high (not part of numeric confidence)</t>
  </si>
  <si>
    <t>5124 Greenwich Ave, Baltimore, MD 21229</t>
  </si>
  <si>
    <t>(410) 433-5255</t>
  </si>
  <si>
    <t>CarePoint Response</t>
  </si>
  <si>
    <t>Provides 24/7 access to crisis support (including via the 988 helpline). Residential and outpatient services accept Medicare, Medicaid, uninsured clients, and veterans. Provider referrals: be prepared to provide a face sheet and all clinical documentation (notes, reports, test results, exams). The site indicates referrals are accepted and that the organization follows up on referrals (website says follow-up within 24 hours).</t>
  </si>
  <si>
    <t>Monday: Open 24 hours; Tuesday: Open 24 hours; Wednesday: Open 24 hours; Thursday: Open 24 hours; Friday: Open 24 hours; Saturday: Open 24 hours; Sunday: Open 24 hours</t>
  </si>
  <si>
    <t>A 24/7 crisis-response organization providing trauma-informed behavioral health and substance-use crisis services, including a 988 helpline backup, on-demand mobile response teams, short-term residential stabilization and a substance-use urgent care option, plus case management, care coordination, diversion programs, and training/outreach for partners.</t>
  </si>
  <si>
    <t>https://carepointresponse.org/</t>
  </si>
  <si>
    <t>Public feedback is mixed. Several recent reviewers left high ratings without written comments, while multiple low-rated reviews include detailed complaints about residential conditions and frustration with housing voucher processes and case-management continuity. The organization’s website and its Google Business profile consistently describe 24/7 crisis services, residential and substance-use stabilization, mobile response, and case management, which corroborates the service types; however, reviewer text raises recurring concerns about facility upkeep and administrative delays.</t>
  </si>
  <si>
    <t>accepted google identity: 14.2/15; review volume: 18.0/30; review consistency: 0.0/7; review freshness: 7.0/8; verified website: 14.2/15; confirmed irs record: 0.0/20; source corroboration: 3.3/5; Synthesis metadata: high (not part of numeric confidence)</t>
  </si>
  <si>
    <t>400 S Bond St, Baltimore, MD 21231</t>
  </si>
  <si>
    <t>(410) 732-1892</t>
  </si>
  <si>
    <t>Beans &amp; Bread</t>
  </si>
  <si>
    <t>Wheelchair accessible entrance and wheelchair accessible parking lot (Google Maps). Located within St Vincent De Paul (Google Maps). No verified, sitewide eligibility, intake, or documentation requirements were found in the available evidence.</t>
  </si>
  <si>
    <t>Monday: 9 AM to 2 PM; Tuesday: 9 AM to 2 PM; Wednesday: 9 AM to 2 PM; Thursday: 9 AM to 2 PM; Friday: 9 AM to 2 PM; Saturday: Closed; Sunday: Closed</t>
  </si>
  <si>
    <t>A street‑level service site that provides on-site meals and food distribution and offers basic hygiene and support services (reviewers report showers, free laundry, and help establishing a mailing address).</t>
  </si>
  <si>
    <t>http://www.vincentbaltimore.org/get-help</t>
  </si>
  <si>
    <t>Google Maps reviewers commonly praise the quality of meals and the compassion of staff, and multiple recent reviewers specifically mention daily hot meals and available laundry and shower facilities. Recurring concerns in the reviews include complaints about cleanliness, restrictive on-site rules, and some reports of not receiving housing help or experiencing perceived discrimination. The newest reviews still highlight positive experiences around food and mailing/address assistance, so recent feedback continues the overall mixed-but-often-positive pattern.</t>
  </si>
  <si>
    <t>accepted google identity: 13.5/15; review volume: 30.0/30; review consistency: 2.1/7; review freshness: 7.9/8; verified website: 13.5/15; confirmed irs record: 0.0/20; source corroboration: 3.3/5; Synthesis metadata: high (not part of numeric confidence)</t>
  </si>
  <si>
    <t>435 E 25th St, Baltimore, MD 21218</t>
  </si>
  <si>
    <t>(410) 889-3001</t>
  </si>
  <si>
    <t>Manna House Inc</t>
  </si>
  <si>
    <t>Services are targeted to the homeless, poor, and needy of Baltimore City. The site and listing describe a drop-in breakfast program and an indoor Day Center where case managers are available after breakfast; no specific intake paperwork, referral, or documentation requirements were stated in the evidence.</t>
  </si>
  <si>
    <t>Monday: 8 AM to 3 PM; Tuesday: 8 AM to 3 PM; Wednesday: 8 AM to 3 PM; Thursday: 8 AM to 3 PM; Friday: 8 AM to 3 PM; Saturday: Closed; Sunday: Closed</t>
  </si>
  <si>
    <t>A Baltimore-based social services organization that operates a regular hot breakfast program and a daytime drop-in center where staff and case managers connect people to other services and supports.</t>
  </si>
  <si>
    <t>http://mannahouseinc.org/</t>
  </si>
  <si>
    <t>Recent Google reviews in the fetched sample emphasize helpful, friendly staff and positive experiences with food and donation handling; reviewers specifically praise individual staff members and describe the facility as clean. The sampled recent reviews are uniformly positive, though the full public review history contains a broader range of sentiment. The organization’s official website and an IRS BMF match corroborate the listing identity and that the program is active and continuously described as offering daily breakfast and day-center services.</t>
  </si>
  <si>
    <t>accepted google identity: 14.2/15; review volume: 22.8/30; review consistency: 7.0/7; review freshness: 3.4/8; verified website: 14.2/15; confirmed irs record: 20.0/20; source corroboration: 5.0/5; Synthesis metadata: high (not part of numeric confidence)</t>
  </si>
  <si>
    <t>6501 N Charles St, Baltimore, MD 21204</t>
  </si>
  <si>
    <t>(410) 938-3000</t>
  </si>
  <si>
    <t>Sheppard Pratt - Towson Campus</t>
  </si>
  <si>
    <t>Appointments are recommended for some services. The website identifies programs for specific age groups (children through older adults) and describes some programs as private-pay; the day/group programs operate Monday–Friday and patients go home each day. For emergencies the website directs callers to emergency services (911).</t>
  </si>
  <si>
    <t>Monday: 10 AM to 9 PM; Tuesday: 10 AM to 9 PM; Wednesday: 10 AM to 9 PM; Thursday: 10 AM to 9 PM; Friday: 10 AM to 9 PM; Saturday: 11 AM to 3 PM; Sunday: Closed</t>
  </si>
  <si>
    <t>A multi-program mental health campus offering urgent psychiatric triage, inpatient psychiatric units for various age groups and conditions, outpatient clinic services including therapy and medication management, a private-pay residential program, electroconvulsive therapy (ECT), and structured day/group treatment programs.</t>
  </si>
  <si>
    <t>https://www.sheppardpratt.org/locations-directions/details/sheppard-pratt-towson-campus/</t>
  </si>
  <si>
    <t>Google reviewers repeatedly describe negative experiences related to perceived poor clinical care, communication failures, safety and sanitation concerns, medication and discharge issues, and instances of trauma or neglect. A small number of reviews call out specific staff clinicians positively, but the dominant recent feedback in the sampled reviews is negative. The organization has responded to some reviews, but the newest reviews sampled continue to report serious concerns.</t>
  </si>
  <si>
    <t>accepted google identity: 14.2/15; review volume: 30.0/30; review consistency: 2.1/7; review freshness: 8.0/8; verified website: 14.2/15; confirmed irs record: 0.0/20; source corroboration: 3.3/5; Synthesis metadata: high (not part of numeric confidence)</t>
  </si>
  <si>
    <t>400 Cathedral St, Baltimore, MD 21201</t>
  </si>
  <si>
    <t>(410) 396-5430</t>
  </si>
  <si>
    <t>Enoch Pratt Free Library - Central Library</t>
  </si>
  <si>
    <t>Books by Mail: available to Baltimore City residents of all ages who are unable to visit the library due to a permanent or temporary disability. Book a Librarian: free 60-minute appointment available in-person, by phone, or via video (requires booking). Telephone reference is available during the Central Library's hours of operation. Deaf or hard of hearing customers may use Maryland Relay (#711 or 1-800-735-2258). Pratt Free Market is run at a different Pratt location (Southeast Anchor Library) and operates two days per week.</t>
  </si>
  <si>
    <t>Monday: 10 AM to 8 PM; Tuesday: 10 AM to 8 PM; Wednesday: 10 AM to 8 PM; Thursday: 10 AM to 8 PM; Friday: 10 AM to 5 PM; Saturday: 10 AM to 5 PM; Sunday: Closed</t>
  </si>
  <si>
    <t>Enoch Pratt Free Library – Central is Baltimore’s main public library branch offering on-site book and media lending, reading and study spaces, public computers and internet access, research help and librarian appointments, meeting rooms, and a range of outreach and community-assistance programs and mobile services.</t>
  </si>
  <si>
    <t>https://www.prattlibrary.org/</t>
  </si>
  <si>
    <t>Google reviewers commonly praise the Central Library’s renovated facility, large collection, quiet resourceful spaces, and helpful staff; recent reviews continue to reflect these positive themes. A minority of reviewers report service breakdowns such as missed or poorly followed-up appointments for assistance. Official sources (the library’s website and public records) corroborate that this branch is active and operating regular programs and services.</t>
  </si>
  <si>
    <t>accepted google identity: 14.2/15; review volume: 30.0/30; review consistency: 3.2/7; review freshness: 8.0/8; verified website: 14.2/15; confirmed irs record: 20.0/20; source corroboration: 5.0/5; Synthesis metadata: high (not part of numeric confidence)</t>
  </si>
  <si>
    <t>101 W Mt Royal Ave, Baltimore, MD 21201</t>
  </si>
  <si>
    <t>(410) 234-0023</t>
  </si>
  <si>
    <t>Chana Helpline</t>
  </si>
  <si>
    <t>Monday: 9:00 am - 8:00 pm; Tuesday: 9:00 am - 8:00 pm; Wednesday: 9:00 am - 8:00 pm; Thursday: 9:00 am - 8:00 pm; Friday: 9:00 am - 4:00 pm; Saturday        CLOSED; Sunday: 9:00 am - 12:00 pm</t>
  </si>
  <si>
    <t>Safety &amp; Anti-Violence</t>
  </si>
  <si>
    <t>Provides support, advocacy, and educational services for people affected by intimate partner violence and domestic abuse, focusing on survivor support and related advocacy/education.</t>
  </si>
  <si>
    <t>http://chanabaltimore.org/</t>
  </si>
  <si>
    <t>Available reviewer comments are strongly positive: reviewers describe the organization as knowledgeable, supportive, and active in advocacy and education around intimate partner violence/domestic abuse. There are no recurring complaints or negative themes in the provided review text, and the most recent review aligns with earlier praise. Public website content was not substantive, so reviewer feedback and the Google Maps category are the primary corroborating signals.</t>
  </si>
  <si>
    <t>accepted google identity: 14.2/15; review volume: 10.1/30; review consistency: 7.0/7; review freshness: 6.3/8; verified website: 14.2/15; confirmed irs record: 0.0/20; source corroboration: 3.3/5; Synthesis metadata: medium (not part of numeric confidence)</t>
  </si>
  <si>
    <t>8503 Lasalle Rd, Towson, MD 21286</t>
  </si>
  <si>
    <t>(410) 377-8111</t>
  </si>
  <si>
    <t>Turnaround Inc</t>
  </si>
  <si>
    <t>Services are for survivors of intimate partner violence, sexual violence, and human trafficking in Baltimore County and Baltimore City; human trafficking services extend to Howard County. A 24/7 crisis helpline and crisis text line are published. Some programs note appointments are required or recommended; certain programs (e.g., abuser-intervention) are fee-based while legal services are described as free consultations/representation. (Sources: evidence_id 6 — official website; evidence_id 4 — Google Maps listing.)</t>
  </si>
  <si>
    <t>TurnAround, Inc. is a Baltimore-area violence survivor support organization that operates a crisis helpline/text line and provides trauma-informed services including therapy, advocacy and resource navigation, legal assistance, an abuser-intervention program, and community training and outreach.</t>
  </si>
  <si>
    <t>http://www.turnaroundinc.org/</t>
  </si>
  <si>
    <t>Reviewer feedback shows a split pattern: some survivors report receiving immediate, tangible help (accommodations, transportation, food), while many recent reviewers describe problems with responsiveness, follow-through, and unprofessional communications when seeking help or shelter. Several reviews raise safety- and trust-related concerns tied to delayed or missing support, and the latest reviews continue to emphasize those negative experiences. Owner/agency responses to the public reviews are not present in the provided sample.</t>
  </si>
  <si>
    <t>accepted google identity: 14.2/15; review volume: 26.5/30; review consistency: 2.6/7; review freshness: 6.3/8; verified website: 14.2/15; confirmed irs record: 20.0/20; source corroboration: 5.0/5; Synthesis metadata: high (not part of numeric confidence)</t>
  </si>
  <si>
    <t>915 Sterrett St, Baltimore, MD 21230</t>
  </si>
  <si>
    <t>(667) 600-3776</t>
  </si>
  <si>
    <t>Catholic Charities Head Start of Baltimore City</t>
  </si>
  <si>
    <t>A Head Start center operated by Catholic Charities located in Baltimore that provides early childhood / Head Start daycare and related program activities at the Head Start of Baltimore City site. The presence of this Head Start location is corroborated by the Google Maps listing and the organization’s official website.</t>
  </si>
  <si>
    <t>http://www.catholiccharities-md.org/</t>
  </si>
  <si>
    <t>The Google Maps listing and the organization’s official website both corroborate the existence of a Head Start location at this address, and the website is reachable. Review text was not available for analysis, so user feedback and on-the-ground experience could not be assessed. The listing does not publish structured opening hours, limiting scheduling details.</t>
  </si>
  <si>
    <t>accepted google identity: 14.2/15; review volume: 8.9/30; review consistency: 0.0/7; review freshness: 0.0/8; verified website: 14.2/15; confirmed irs record: 0.0/20; source corroboration: 3.3/5; Synthesis metadata: medium (not part of numeric confidence)</t>
  </si>
  <si>
    <t>A. Hoen and Co., 2101 E Biddle St Ste 1100, Baltimore, MD 21213</t>
  </si>
  <si>
    <t>(410) 261-3500</t>
  </si>
  <si>
    <t>Strong City Baltimore</t>
  </si>
  <si>
    <t>Employment, Training, &amp; Education</t>
  </si>
  <si>
    <t>A physical education center listed in Baltimore that appears to offer in-person learning programs at this address.</t>
  </si>
  <si>
    <t>Google Maps listing and hours are available for a physical location, but independent corroboration is limited. Public review text is sparse and mixed: the sampled reviews include a recent positive, text-free rating and an earlier review that specifically complained the telephone number did not work. Because reviews and other corroborating sources are limited and the organization’s website could not be verified, program details and access procedures are not well-documented from the available evidence.</t>
  </si>
  <si>
    <t>accepted google identity: 14.2/15; review volume: 15.1/30; review consistency: 0.0/7; review freshness: 4.0/8; verified website: 0.0/15; confirmed irs record: 0.0/20; source corroboration: 1.7/5; Synthesis metadata: medium (not part of numeric confidence)</t>
  </si>
  <si>
    <t>620 Fallsway, Baltimore, MD 21202</t>
  </si>
  <si>
    <t>(667) 600-3230</t>
  </si>
  <si>
    <t>Weinberg Housing and Resource Center</t>
  </si>
  <si>
    <t>Open to adult men and women experiencing homelessness. All prospective residents must contact the Mayor's Office of Homeless Services Coordinated Entry Line at 443-984-9540 to request shelter referrals between 9:30am and 9:00pm (Coordinated Entry intake required).</t>
  </si>
  <si>
    <t>Monday: 9 AM to 5 PM; Tuesday: 9 AM to 5 PM; Wednesday: 9 AM to 5 PM; Thursday: Closed; Friday: 9 AM to 5 PM; Saturday: Closed; Sunday: 9 AM to 5 PM</t>
  </si>
  <si>
    <t>A low-barrier emergency shelter and homeless-services site that provides short-term emergency shelter for adults and connects residents to case management and housing-placement supports. The program also offers on-site basic supports such as meals, laundry, client transportation, workforce development training, and referrals to behavioral-health services.</t>
  </si>
  <si>
    <t>http://www.cc-md.org/WHRC</t>
  </si>
  <si>
    <t>Public reviewer feedback contains both strong praise for the center’s resources and staff support and recurring complaints about safety and cleanliness. Positive comments emphasize plentiful resources and staff who help residents seeking stability; recurring negatives raise bed‑bug reports, theft/safety concerns, and instances of unsympathetic or unhelpful intake interactions. The most recent reviews tilt toward those negative issues, and there are no visible owner responses in the public review thread.</t>
  </si>
  <si>
    <t>accepted google identity: 14.2/15; review volume: 30.0/30; review consistency: 1.8/7; review freshness: 8.0/8; verified website: 14.2/15; confirmed irs record: 0.0/20; source corroboration: 3.3/5; Synthesis metadata: high (not part of numeric confidence)</t>
  </si>
  <si>
    <t>2401 Liberty Heights Ave #302, Baltimore, MD 21215</t>
  </si>
  <si>
    <t>(410) 396-7873</t>
  </si>
  <si>
    <t>Northwest Career Center (Background Friendly Job Center)</t>
  </si>
  <si>
    <t>Stated eligibility: services for adult Baltimore City residents. No appointment required (drop‑in). The official site provides a form to request/receive services (online intake option).</t>
  </si>
  <si>
    <t>A city-run career center that provides access to background‑friendly jobs, workforce training, and job‑search supports (including resume and placement help). The listing and site indicate services are offered as a physical, drop‑in location.</t>
  </si>
  <si>
    <t>https://moed.baltimorecity.gov/northwest-baltimore-career-center-contact</t>
  </si>
  <si>
    <t>User reviews describe staff who can be helpful and willing to assist, especially with resume and job search needs, but also repeatedly note long waits, limited daily capacity, and some negative experiences around phone information or perceived bias in access. Several recent reviews are negative, indicating that service experiences remain mixed; the listing owner has responded to some feedback.</t>
  </si>
  <si>
    <t>accepted google identity: 14.2/15; review volume: 30.0/30; review consistency: 1.0/7; review freshness: 7.8/8; verified website: 14.2/15; confirmed irs record: 0.0/20; source corroboration: 3.3/5; Synthesis metadata: medium (not part of numeric confidence)</t>
  </si>
  <si>
    <t>1410 Bush St, Baltimore, MD 21230</t>
  </si>
  <si>
    <t>(410) 396-1052</t>
  </si>
  <si>
    <t>Employment Connection Center</t>
  </si>
  <si>
    <t>Website hosts a form to request services (online intake). A Google Maps review reports the center referring people to a different site based on zip code; this user report suggests there may be geographic-eligibility or service-area rules reported by staff, but that restriction is documented only in a reviewer comment.</t>
  </si>
  <si>
    <t>A physical Employment Connection Center operated through Baltimore City that provides in-person employment and training-related services for people seeking work, with an online intake form to request services.</t>
  </si>
  <si>
    <t>https://moed.baltimorecity.gov/south-baltimore-employment-connections-center</t>
  </si>
  <si>
    <t>Google Maps reviewers most commonly describe helpful staff, counselors, and the center being a useful resource for finding jobs or training. Recurring negative reports say staff have sometimes refused entry or sent people to other locations and that posted hours were not always honored; the newest reviews echo those access and hours complaints. The listing owner has responded to multiple reviewer complaints, indicating some owner responsiveness to feedback.</t>
  </si>
  <si>
    <t>accepted google identity: 13.3/15; review volume: 24.2/30; review consistency: 0.9/7; review freshness: 5.8/8; verified website: 13.3/15; confirmed irs record: 0.0/20; source corroboration: 3.3/5; Synthesis metadata: high (not part of numeric confidence)</t>
  </si>
  <si>
    <t>3001 E Madison St, Baltimore, MD 21205</t>
  </si>
  <si>
    <t>(410) 396-9030</t>
  </si>
  <si>
    <t>Eastside Career Center</t>
  </si>
  <si>
    <t>Site materials state services are offered to adult Baltimore City residents; no appointment is required and walk-ins are welcome. The official site affirms equal-opportunity nondiscrimination and invites customers to request auxiliary aids or interpreter services as needed.</t>
  </si>
  <si>
    <t>A Baltimore City American Job Center location that provides in-person help with job search and workforce services including career counseling, connections to training programs, résumé help, workshops, and access to computers and basic office equipment. Employer-facing business services are also listed on the official site.</t>
  </si>
  <si>
    <t>https://www.labor.maryland.gov/county/bacity/</t>
  </si>
  <si>
    <t>Reviewers commonly report approachable and helpful staff and that the center provides useful resources for finding work and training. Recurring concerns in reviews include long waits, inconsistent front-desk experiences, occasional early closing, and frustration that some in-person assistance directs users back to web resources. Recent reviews include positive comments about staff and job help alongside some ongoing complaints, and center staff have posted responses to several critical reviews.</t>
  </si>
  <si>
    <t>accepted google identity: 14.2/15; review volume: 30.0/30; review consistency: 1.1/7; review freshness: 7.2/8; verified website: 14.2/15; confirmed irs record: 0.0/20; source corroboration: 3.3/5; Synthesis metadata: high (not part of numeric confidence)</t>
  </si>
  <si>
    <t>2305 N Charles St, Baltimore, MD 21218</t>
  </si>
  <si>
    <t>(410) 230-0630</t>
  </si>
  <si>
    <t>Maryland New Directions Inc</t>
  </si>
  <si>
    <t>Programs are offered at no cost. Enrollment requires completion of the Career Focus (job-readiness) step prior to industry-specific program enrollment. Services are targeted to Baltimore-area residents age 18 and older; the organization states it does not discriminate in program administration.</t>
  </si>
  <si>
    <t>Maryland New Directions provides no-cost employment coaching and career-training programs for adults, including a required job-readiness course followed by industry-specific training that leads to industry-recognized credentials (examples cited include forklift and OSHA training and commercial driver permit preparation). The organization also supports resume-building, soft-skill development, and employer connections to help participants find work.</t>
  </si>
  <si>
    <t>http://www.mdnewdirections.org/</t>
  </si>
  <si>
    <t>Public Google Maps reviewers consistently praise staff as helpful and supportive, and they report positive experiences with the training, coaching, and credential preparation (reviews frequently mention resume help, forklift certification, and job-readiness). Owner responses are present on reviews, and recent review text remains strongly positive, indicating ongoing consistent performance. The listing and an accepted official website snapshot both corroborate program details, and registry/filing signals further support the organization’s active identity.</t>
  </si>
  <si>
    <t>accepted google identity: 14.2/15; review volume: 30.0/30; review consistency: 4.2/7; review freshness: 7.8/8; verified website: 14.2/15; confirmed irs record: 20.0/20; source corroboration: 5.0/5; Synthesis metadata: high (not part of numeric confidence)</t>
  </si>
  <si>
    <t>201 N Charles St, Baltimore, MD 21201</t>
  </si>
  <si>
    <t>(410) 234-8040</t>
  </si>
  <si>
    <t>Job Opportunities Task Force</t>
  </si>
  <si>
    <t>BetterU Construction Training is for Baltimore residents and requires a high school diploma or GED. The facility listing indicates a wheelchair-accessible entrance and wheelchair-accessible parking.</t>
  </si>
  <si>
    <t>Provides workforce-development and training programs aimed at reducing educational and employment barriers for low-wage workers. The organization operates BetterU Construction Training, a 14-week pre-apprenticeship that covers entry-level plumbing, carpentry, and electrical skills.</t>
  </si>
  <si>
    <t>http://www.jotf.org/</t>
  </si>
  <si>
    <t>Public review text is very sparse and provides little or no written feedback, so reviewer themes are not discernible. The Google Maps listing includes a program description, phone number, structured hours, and accessibility details, but the organization’s website currently returns an error page. Because independent corroboration is limited and on-site web content is unavailable, the available information should be treated as only moderately verified.</t>
  </si>
  <si>
    <t>accepted google identity: 14.2/15; review volume: 8.9/30; review consistency: 7.0/7; review freshness: 3.0/8; verified website: 14.2/15; confirmed irs record: 0.0/20; source corroboration: 3.3/5; Synthesis metadata: medium (not part of numeric confidence)</t>
  </si>
  <si>
    <t>898 Airport Park Rd, Glen Burnie, MD 21061</t>
  </si>
  <si>
    <t>(410) 242-9674</t>
  </si>
  <si>
    <t>Vehicles for Change Corporate Office</t>
  </si>
  <si>
    <t>Keys to Independence program is described as providing affordable vehicles to low-income families. Full Circle Training enrolls justice-impacted individuals and others facing employment barriers. Vehicle awards and training appear to require an application and may involve a waiting period or eligibility review. (All access requirements are stated on the organization website and Google listing.)</t>
  </si>
  <si>
    <t>Vehicles for Change operates vehicle-donation and resale programs that fund vehicle awards to low-income families, runs hands-on automotive workforce training (Full Circle Auto Training and VR training), and operates community auto-repair centers that support its mission.</t>
  </si>
  <si>
    <t>http://vehiclesforchange.org/</t>
  </si>
  <si>
    <t>Reviewers commonly praise staff helpfulness, a smooth donation process, and positive experiences with the organization’s repair and training programs. Recurring concerns in the reviews center on slow or unclear communication about vehicle-award applications and waiting times. Owner responses to reviews are frequent, and recent reviews in the sample trend toward positive feedback; the organization’s IRS and website records corroborate its identity and programs.</t>
  </si>
  <si>
    <t>accepted google identity: 14.2/15; review volume: 30.0/30; review consistency: 0.7/7; review freshness: 6.7/8; verified website: 14.2/15; confirmed irs record: 20.0/20; source corroboration: 5.0/5; Synthesis metadata: high (not part of numeric confidence)</t>
  </si>
  <si>
    <t>800 W 36th St, Baltimore, MD 21211</t>
  </si>
  <si>
    <t>(443) 402-5828</t>
  </si>
  <si>
    <t>St. Luke's Church on the Avenue</t>
  </si>
  <si>
    <t>The Avenue Drop-In is conducted by a harm-reduction partner and runs currently on Fridays from 10:00am–11:00am; participants may receive services such as syringe exchange, hygiene supplies, treatment referrals, Narcan training/distribution, and a takeaway hot lunch. Participants of the drop-in are eligible for $25 vouchers to the Lost &amp; Found Thrift Shop. The thrift shop accepts donations during its operating hours. (All access details supported by website: evidence_id 44; additional site accessibility / amenities noted on Google Maps: evidence_id 42.)</t>
  </si>
  <si>
    <t>Avenue Drop-In: Every Friday, 10:00am–11:00am. Gathering of Holy Communion (in person): Sunday mornings, 10:00am. Benedictine Morning Prayer: Monday–Friday, 7:30am. (All times taken from the organization website: evidence_id 44.)</t>
  </si>
  <si>
    <t>St. Luke’s Church on the Avenue operates a neighborhood church and community site that hosts a thrift shop, a weekly drop-in run with a harm-reduction partner (including syringe exchange, hygiene supplies, naloxone training/distribution, referrals), a community garden, and periodic food distribution/hot lunch take-away.</t>
  </si>
  <si>
    <t>https://www.churchontheavenuehampden.org/</t>
  </si>
  <si>
    <t>Recent Google Maps reviews consistently describe the location as a positive community space and explicitly praise its food distribution and related community programs. Reviewers' comments emphasize effective food distribution and an active neighborhood role; there are no recurring complaints evident in the recent sample. The most recent reviews continue the same positive themes, suggesting consistent experiences over time.</t>
  </si>
  <si>
    <t>accepted google identity: 14.2/15; review volume: 22.3/30; review consistency: 5.6/7; review freshness: 8.0/8; verified website: 14.2/15; confirmed irs record: 0.0/20; source corroboration: 3.3/5; Synthesis metadata: high (not part of numeric confidence)</t>
  </si>
  <si>
    <t>2631 Huntingdon Ave, Baltimore, MD 21211</t>
  </si>
  <si>
    <t>(410) 929-3688</t>
  </si>
  <si>
    <t>Church of the Guardian Angel</t>
  </si>
  <si>
    <t>Reviewers state the Wednesday food pantry is available “to anyone in need.” Review text also describes school supplies and holiday gifts provided to neighborhood children. Some reviewers recalled past limits on non-neighborhood attendees but later reviews indicate the church accepts visitors from outside the immediate neighborhood.</t>
  </si>
  <si>
    <t>Monday: Closed; Tuesday: Closed; Wednesday: 9 to 10 AM; Thursday: Closed; Friday: Closed; Saturday: Closed; Sunday: 10 to 11 AM</t>
  </si>
  <si>
    <t>A neighborhood Episcopal church that holds regular Sunday worship (including a Spanish-language mass) and operates community support activities; reviewers report a weekly Wednesday morning food pantry and distributions of school supplies and holiday gifts for neighborhood children.</t>
  </si>
  <si>
    <t>https://www.facebook.com/Church-of-the-Guardian-Angel-259556444135884/</t>
  </si>
  <si>
    <t>Google Maps reviewers consistently describe the congregation as warm, friendly, and welcoming and report active community supports such as a Wednesday food pantry and distributions of school supplies and holiday gifts. A few reviewers recalled an earlier period with restrictive attendance practices, but more recent reviews emphasize renewed openness and positive interactions with current staff. Review feedback is uniformly positive and the newest reviews continue that pattern.</t>
  </si>
  <si>
    <t>accepted google identity: 13.5/15; review volume: 21.4/30; review consistency: 7.0/7; review freshness: 4.9/8; verified website: 13.5/15; confirmed irs record: 20.0/20; source corroboration: 5.0/5; Synthesis metadata: high (not part of numeric confidence)</t>
  </si>
  <si>
    <t>5353 Park Heights Ave, Baltimore, MD 21215</t>
  </si>
  <si>
    <t>(410) 664-0907</t>
  </si>
  <si>
    <t>Dayspring Inc.</t>
  </si>
  <si>
    <t>Open to community; program-specific</t>
  </si>
  <si>
    <t>Sun worship; weekly activities</t>
  </si>
  <si>
    <t>Operates locally based programs, events, and resources focused on children and families, and offers volunteer opportunities and program registration for community participants.</t>
  </si>
  <si>
    <t>http://dayspringinc.org/</t>
  </si>
  <si>
    <t>Public review feedback is unavailable: the Google Maps listing has no public reviews and no fetched review text to indicate user experiences. The organization has a verified website and a corroborating Google Maps listing, and archived snapshots show the site has been active in recent years, which together support the organization’s online presence and program descriptions. An IRS Business Master File match indicates a recent 2024 filing, further supporting ongoing organizational activity. Because there are no public reviews, judgments about service quality, consistency, or client experience cannot be drawn from review text.</t>
  </si>
  <si>
    <t>accepted google identity: 14.2/15; review volume: 0.0/30; review consistency: 0.0/7; review freshness: 0.0/8; verified website: 14.2/15; confirmed irs record: 0.0/20; source corroboration: 3.3/5; Synthesis metadata: medium (not part of numeric confidence)</t>
  </si>
  <si>
    <t>575 S Charles St Unit 500, Baltimore, MD 21201</t>
  </si>
  <si>
    <t>(410) 528-8006</t>
  </si>
  <si>
    <t>CASH Campaign of Maryland</t>
  </si>
  <si>
    <t>Targeted to low- to moderate-income individuals and families in Baltimore and across Maryland. Appointment scheduling is used for service delivery (reviewer comments and listing tags indicate appointments). Wheelchair-accessible entrance noted on the listing.</t>
  </si>
  <si>
    <t>Provides tax preparation and filing assistance along with programs aimed at economic advancement for low- to moderate-income individuals and families in Baltimore and Maryland. Services are delivered in person at a physical location.</t>
  </si>
  <si>
    <t>http://www.cashmd.org/</t>
  </si>
  <si>
    <t>Google Maps reviewers repeatedly praise staff as professional, personable, knowledgeable, and thorough when providing tax help; many recent reviews describe positive, helpful interactions. Recurring concerns are limited but include a number of low-rated entries with little or no explanatory text, and at least one reviewer who signaled unresolved issues. The listing’s owner is responsive in replies, and the most recent reviews remain largely positive.</t>
  </si>
  <si>
    <t>accepted google identity: 14.2/15; review volume: 30.0/30; review consistency: 4.1/7; review freshness: 6.9/8; verified website: 14.2/15; confirmed irs record: 20.0/20; source corroboration: 5.0/5; Synthesis metadata: high (not part of numeric confidence)</t>
  </si>
  <si>
    <t>2200 Halethorpe Farms Rd, Baltimore, MD 21227</t>
  </si>
  <si>
    <t>(410) 737-8282</t>
  </si>
  <si>
    <t>Maryland Food Bank</t>
  </si>
  <si>
    <t>Primary access is via partner organizations: use the Maryland Food Bank 'Find Food' tool to locate local partner pantries and contact the partner before visiting to confirm hours, eligibility, and distribution procedures. SNAP assistance is available via the phone/email contacts provided on the site. Do not assume walk-in grocery pickup or meal-service at the main distribution site without confirming with a partner.</t>
  </si>
  <si>
    <t>Monday: 8 AM to 4:30 PM; Tuesday: 8 AM to 4:30 PM; Wednesday: 8 AM to 4:30 PM; Thursday: 8 AM to 4:30 PM; Friday: 8 AM to 4:30 PM; Saturday: Closed; Sunday: Closed</t>
  </si>
  <si>
    <t>Maryland Food Bank operates a statewide food-distribution network and provides tools and programs to connect people in Maryland with food assistance. Their site offers a searchable ‘Find Food’ tool to locate partner pantries, and the organization accepts donations and recruits volunteers; they also publish workforce-development programs and SNAP assistance contact options.</t>
  </si>
  <si>
    <t>http://www.mdfoodbank.org/</t>
  </si>
  <si>
    <t>Google Maps reviewers commonly praise helpful and friendly staff, quick service, and a clean, well-maintained facility; several recent reviews continue that positive trend. A small number of reviews report negative or mixed experiences, indicating occasional service or experience issues for some visitors. The organization’s official website and archival snapshots corroborate the presence of a statewide partner network, donation and volunteer channels, and tools (like the Find Food search) to locate partner pantries.</t>
  </si>
  <si>
    <t>accepted google identity: 14.2/15; review volume: 30.0/30; review consistency: 3.0/7; review freshness: 8.0/8; verified website: 14.2/15; confirmed irs record: 0.0/20; source corroboration: 3.3/5; Synthesis metadata: high (not part of numeric confidence)</t>
  </si>
  <si>
    <t>725 Fallsway, Baltimore, MD 21202</t>
  </si>
  <si>
    <t>(667) 600-3400</t>
  </si>
  <si>
    <t>Our Daily Bread Employment Center</t>
  </si>
  <si>
    <t>Low-to-moderate income households</t>
  </si>
  <si>
    <t>Monday: 9 AM to 4 PM; Tuesday: 9 AM to 4 PM; Wednesday: 9 AM to 4 PM; Thursday: 9 AM to 4 PM; Friday: 9 AM to 4 PM; Saturday: Closed; Sunday: Closed</t>
  </si>
  <si>
    <t>According to the organization’s website and Google Maps listing and reviews, the site provides workforce-development and job-readiness services (including job coaching and training) and is reported by users to distribute food/meals and basic supports to people in need.</t>
  </si>
  <si>
    <t>Google Maps reviews are plentiful and consistently praise kind staff, food support, and help with finding work or training; several reviewers specifically mention meals, job coaches, and computer training. Negative or mixed feedback is minimal in the sampled reviews and the most recent reviews continue the same positive themes. The organization’s website also lists workforce and training programs, which aligns with the user reviews.</t>
  </si>
  <si>
    <t>accepted google identity: 13.5/15; review volume: 30.0/30; review consistency: 3.0/7; review freshness: 6.3/8; verified website: 13.5/15; confirmed irs record: 0.0/20; source corroboration: 3.3/5; Synthesis metadata: high (not part of numeric confidence)</t>
  </si>
  <si>
    <t>901 N Milton Ave, Baltimore, MD 21205</t>
  </si>
  <si>
    <t>(410) 327-3420</t>
  </si>
  <si>
    <t>Moveable Feast</t>
  </si>
  <si>
    <t>Medically tailored meals are provided via referral from a medical professional or a healthcare plan; client information should be sent to the client services contact rather than the public contact form (per site guidance).</t>
  </si>
  <si>
    <t>Moveable Feast prepares and delivers medically tailored meals and provides nutrition education to people in Maryland living with serious or chronic illnesses; the organization also coordinates volunteer opportunities and meal delivery operations from a physical food-distribution center in Baltimore.</t>
  </si>
  <si>
    <t>http://www.mfeast.org/</t>
  </si>
  <si>
    <t>Google reviewers frequently praise Moveable Feast as well organized, note strong volunteer engagement, and commend the quality of the food and the organization’s mission. Recurring negative feedback centers on delivery logistics and timing (for example, complaints about strict drop-off times and not leaving deliveries at the door). The most recent reviews remain predominantly positive while still reflecting the occasional delivery-related complaint that appears consistent over time.</t>
  </si>
  <si>
    <t>accepted google identity: 14.2/15; review volume: 30.0/30; review consistency: 1.9/7; review freshness: 8.0/8; verified website: 14.2/15; confirmed irs record: 20.0/20; source corroboration: 5.0/5; Synthesis metadata: high (not part of numeric confidence)</t>
  </si>
  <si>
    <t>101 W 23rd St, Baltimore, MD 21218</t>
  </si>
  <si>
    <t>(410) 467-5340</t>
  </si>
  <si>
    <t>Franciscan Center</t>
  </si>
  <si>
    <t>Some programs require client registration with the Center (and with partner agencies for certain services). Baby-item distributions require registration and clients may be asked for testimonials/photos; DSS food boxes require enrollment with the Center, DHS, and Link2Feed. Eviction-prevention assistance requires the original typed Baltimore City court-ordered eviction (photocopies not accepted), the client to be on the lease, photo ID, and receipts/promissory notes; the eviction assistance is available once in a lifetime. Dental services are limited to emergency care such as extractions (not routine dental care) and are provided by referral. Specific Responsive Services department hours and location are noted on the Center site (2nd floor for Responsive Services).</t>
  </si>
  <si>
    <t>Monday: 10 AM to 1 PM; Tuesday: 10 AM to 1 PM, 5:30 to 7 PM; Wednesday: 10 AM to 1 PM, 5:30 to 7 PM; Thursday: 10 AM to 1 PM; Friday: 10 AM to 1 PM; Saturday: Closed; Sunday: Closed</t>
  </si>
  <si>
    <t>A long-established Baltimore center offering on-site emergency assistance and supportive outreach, including regular hot meals, an emergency food pantry/distribution program, identification and document help, clothing and baby-item distributions, case-management/referral services, job-readiness and culinary training, and limited emergency dental referrals.</t>
  </si>
  <si>
    <t>http://fcbmore.org/</t>
  </si>
  <si>
    <t>Google reviewers commonly praise the Center as a community staple with caring staff and steady access to meals and essential supplies. Recurring concerns in recent reviews focus on rude or disrespectful behavior by security or frontline staff and occasional reports of delays or problems when seeking document assistance. The organization appears responsive to feedback (owners reply frequently), and public records/website corroboration indicate an active, established operation.</t>
  </si>
  <si>
    <t>accepted google identity: 14.2/15; review volume: 30.0/30; review consistency: 1.1/7; review freshness: 7.4/8; verified website: 14.2/15; confirmed irs record: 20.0/20; source corroboration: 5.0/5; Synthesis metadata: high (not part of numeric confidence)</t>
  </si>
  <si>
    <t>1900 Bayard St, Baltimore, MD 21230</t>
  </si>
  <si>
    <t>(410) 834-5311</t>
  </si>
  <si>
    <t>FLO - Friendly Loving Opportunities | ReBorn Store |NonProfit Organization in Baltimore</t>
  </si>
  <si>
    <t>Appears to serve people experiencing hardship, explicitly naming veterans, families in need, and people experiencing homelessness (per Google Maps owner description). Accepts donations and operates a retail store. Some reviewers report receiving assistance via referrals (e.g., from a medical office or Red Cross) for replacement furniture after disasters; this suggests referrals may be used in at least some cases, but referral requirements are not documented on an official intake page.</t>
  </si>
  <si>
    <t>Monday: 9 AM to 5 PM; Tuesday: Closed; Wednesday: 9 AM to 5 PM; Thursday: 9 AM to 5 PM; Friday: 9 AM to 5 PM; Saturday: 9 AM to 5 PM; Sunday: 9 AM to 5 PM</t>
  </si>
  <si>
    <t>Organization operating a physical location in Baltimore that accepts donations and provides donated furniture, clothing, food, and household supplies to people experiencing hardship; also operates a vintage furniture store and offers pickup and delivery of donated items.</t>
  </si>
  <si>
    <t>http://flogiving.org/</t>
  </si>
  <si>
    <t>Google reviewers most often praise respectful, welcoming staff, prompt pickup/donation handling, and helpfulness when providing furniture and related aid; multiple reviews describe free or low-cost furniture deliveries after referrals or disasters. Recurring concerns in the review text include at least one allegation of selective assistance or long waits for applicants and a few comments about higher retail prices for some used items. The newest reviews remain largely positive, describing good service and successful furniture assistance.</t>
  </si>
  <si>
    <t>accepted google identity: 14.2/15; review volume: 30.0/30; review consistency: 2.7/7; review freshness: 7.4/8; verified website: 14.2/15; confirmed irs record: 20.0/20; source corroboration: 5.0/5; Synthesis metadata: high (not part of numeric confidence)</t>
  </si>
  <si>
    <t>425 N Chester St, Baltimore, MD 21231</t>
  </si>
  <si>
    <t>(410) 563-2749</t>
  </si>
  <si>
    <t>Bea Gaddy Family Center Inc</t>
  </si>
  <si>
    <t>States it serves neighbors throughout the Greater Baltimore Metropolitan Area and Maryland and that its focus includes children and senior citizens.</t>
  </si>
  <si>
    <t>A community-based organization that provides food and material assistance to neighbors in the Baltimore area and runs programs aimed at helping vulnerable populations, especially children and senior citizens.</t>
  </si>
  <si>
    <t>http://bea-gaddy.org/</t>
  </si>
  <si>
    <t>Google Maps reviewers commonly praise the organization for providing food and being available to help community members, while a recurring concern in reviews is the quality of phone/customer service and occasional reports of being turned away without referrals. The most recent reviews in the fetched sample are mixed but include multiple positive ratings; reviewer text is limited in the newest entries. The organization’s website and a corroborating IRS BMF record further support the identity and ongoing operation of the listing.</t>
  </si>
  <si>
    <t>accepted google identity: 14.2/15; review volume: 26.4/30; review consistency: 0.9/7; review freshness: 4.9/8; verified website: 14.2/15; confirmed irs record: 20.0/20; source corroboration: 5.0/5; Synthesis metadata: high (not part of numeric confidence)</t>
  </si>
  <si>
    <t>424 S Pulaski St, Baltimore, MD 21223</t>
  </si>
  <si>
    <t>(410) 429-0657</t>
  </si>
  <si>
    <t>So What Else</t>
  </si>
  <si>
    <t>Donations: the site asks donors to contact the Baltimore location first to schedule drop-off and reserves the right to refuse items that are unclean, broken, or unsafe; some items (e.g., unopened diapers) have specific acceptance rules and large furniture requires advance email. Volunteer sign-up is handled through the organization’s volunteer hub. Community service hours require the student’s career center or professor to email the organization with program guidelines. Internships require an application including school contact, dates, hours, goals, and in‑person/remote split as requested by the site.</t>
  </si>
  <si>
    <t>Monday: Closed; Tuesday: 9 AM to 2 PM; Wednesday: 9 AM to 2 PM; Thursday: 9 AM to 2 PM; Friday: 9 AM to 2 PM; Saturday: 9 AM to 2 PM; Sunday: Closed</t>
  </si>
  <si>
    <t>So What Else – Baltimore Resource Center operates a physical Baltimore location that coordinates Baltimore-specific food support activities and community engagement. The organization advertises accepting monetary and in-kind donations, runs volunteer opportunities and internship/community-service placements, and invites organizational partnerships in Baltimore.</t>
  </si>
  <si>
    <t>https://sowhatelse.org/food-rescue-bank/baltimore-food-giveaways/</t>
  </si>
  <si>
    <t>There are no public user reviews available for this Google Maps listing, so direct user feedback is unavailable. Operational signals include a reachable, organization-published website page that describes Baltimore-specific donation, volunteer, internship, and food-support activities, and a Google Maps listing that provides an address, phone number, and published hours. Because public review text is absent, information here is based on the organization’s own published pages and archived snapshots; callers should confirm program details with the Baltimore Resource Center before relying on schedules or intake procedures.</t>
  </si>
  <si>
    <t>4711 Edmondson Ave, Baltimore, MD 21229</t>
  </si>
  <si>
    <t>(410) 233-4357</t>
  </si>
  <si>
    <t>40 West Assistance &amp; Referral Center</t>
  </si>
  <si>
    <t>Choice pantry access is limited to Baltimore City residents in ZIP codes 21207, 21229, 21215, 21216, and 21223; first-time visitors for the choice pantry are limited to residents of 21207 and 21229. TEFAP and Pantry On The Go distributions are not subject to the ZIP-code restriction. Food distributions are available on a monthly basis per household for the choice pantry and TEFAP (website states monthly access).</t>
  </si>
  <si>
    <t>Monday: 10 AM to 1 PM; Tuesday: Closed; Wednesday: 10 AM to 1 PM; Thursday: Closed; Friday: 10 AM to 1 PM; Saturday: Closed; Sunday: Closed</t>
  </si>
  <si>
    <t>A neighborhood assistance and referral center that provides food distributions (choice pantry, federally funded TEFAP distributions, seasonal Pantry On The Go and holiday meal distributions) and helps neighbors with emergency needs such as utility payments, prescription assistance, temporary shelter, emergency transportation, clothing, and referrals to housing and employment services.</t>
  </si>
  <si>
    <t>http://www.40west.org/</t>
  </si>
  <si>
    <t>Public Google Maps reviews are overwhelmingly positive: reviewers report receiving helpful assistance and food (several comments explicitly mention food distributions and getting the help they needed), and the newest reviews continue that positive trend. The organization’s own website provides detailed program descriptions (choice pantry, TEFAP, Pantry On The Go, utility/prescription help, transportation, shelter referrals) that align with reviewer reports. The listing is corroborated by a reachable official website and an IRS Business Master File match, which together strengthen the identity and operational signals.</t>
  </si>
  <si>
    <t>accepted google identity: 14.2/15; review volume: 30.0/30; review consistency: 6.0/7; review freshness: 3.7/8; verified website: 14.2/15; confirmed irs record: 20.0/20; source corroboration: 5.0/5; Synthesis metadata: high (not part of numeric confidence)</t>
  </si>
  <si>
    <t>2422 W Patapsco Ave, Baltimore, MD 21230</t>
  </si>
  <si>
    <t>(410) 525-0969</t>
  </si>
  <si>
    <t>Fishes &amp; Loaves Pantry</t>
  </si>
  <si>
    <t>Photo I.D. with current address is requested but stated as not required. The pantry follows posted eligibility guidelines (website references proof-of-income or residency guidance) and notes that supplies are based on availability. Delivery is not offered; site is located near bus routes 71, 73, and 29. Google listing indicates a wheelchair-accessible parking lot and restroom but lists the entrance as not wheelchair accessible.</t>
  </si>
  <si>
    <t>Monday: 9:30 AM to 12 PM, 1 to 3 PM; Tuesday: 9:30 AM to 12 PM, 1 to 3 PM; Wednesday: 9:30 AM to 12 PM, 1 to 3 PM; Thursday: 9:30 AM to 12 PM, 1 to 3 PM; Friday: 9:30 AM to 12 PM, 1 to 3 PM; Saturday: Closed; Sunday: Closed</t>
  </si>
  <si>
    <t>A neighborhood food pantry that distributes free groceries (both perishable and non-perishable), occasional frozen meat and fresh produce, and a limited selection of hygiene and household items; also provides some infant/toddler supplies and accepts donations and volunteers.</t>
  </si>
  <si>
    <t>https://www.flpbaltimore.org/</t>
  </si>
  <si>
    <t>Google Maps review text shows many users praising the pantry’s organization, variety of food, and helpful volunteers, and several report gratitude that it keeps community members fed. Recurring concerns in reviews include limited portions for larger families, car-oriented operations that can make pedestrian access difficult, and occasional reports of unfriendly or strict volunteer interactions; a recent negative review emphasizes those accessibility and demeanor issues. The organization’s official website and recent IRS BMF filing corroborate the pantry’s identity and operational presence.</t>
  </si>
  <si>
    <t>accepted google identity: 14.2/15; review volume: 30.0/30; review consistency: 1.6/7; review freshness: 7.9/8; verified website: 14.2/15; confirmed irs record: 20.0/20; source corroboration: 5.0/5; Synthesis metadata: high (not part of numeric confidence)</t>
  </si>
  <si>
    <t>1118 Ward St, Baltimore, MD 21230</t>
  </si>
  <si>
    <t>(410) 625-0775</t>
  </si>
  <si>
    <t>Paul's Place, Inc</t>
  </si>
  <si>
    <t>Food distributed via partner network; use ‘Find Food’ tool</t>
  </si>
  <si>
    <t>Monday: 8 AM to 2 PM; Tuesday: 8 AM to 2 PM; Wednesday: 8 AM to 2 PM; Thursday: 8 AM to 2 PM; Friday: 8 AM to 2 PM; Saturday: Closed; Sunday: Closed</t>
  </si>
  <si>
    <t>A physical community outreach center in Southwest Baltimore offering onsite programs and services to support individuals and families. Available services reported in provider information and reviewer tags include a regular lunch/feeding program, clothing and interview-attire assistance, help obtaining IDs or birth certificates, and housing-related case-management support. Services are delivered in person at the listed Ward Street location.</t>
  </si>
  <si>
    <t>http://www.paulsplaceoutreach.org/</t>
  </si>
  <si>
    <t>Google reviewers consistently report helpful, friendly staff and frequent on-site food distribution; many reviewers also mention clothing help, ID/birth-certificate assistance, and housing or case-management support. Recent reviews in the fetched sample remain positive, and reviewers frequently note volunteer involvement and appreciation for the meals and community support. The organization’s website response was minimal when fetched (HTTP 202) but the Google Maps listing, recent reviews, and Wayback snapshots corroborate ongoing onsite activity.</t>
  </si>
  <si>
    <t>accepted google identity: 14.2/15; review volume: 30.0/30; review consistency: 5.5/7; review freshness: 6.1/8; verified website: 14.2/15; confirmed irs record: 0.0/20; source corroboration: 3.3/5; Synthesis metadata: high (not part of numeric confidence)</t>
  </si>
  <si>
    <t>2405 Linden Ave, Baltimore, MD 21217</t>
  </si>
  <si>
    <t>(410) 669-2612</t>
  </si>
  <si>
    <t>St. Francis Neighborhood Center</t>
  </si>
  <si>
    <t>Most programs are offered at no cost but youth programs require prior registration and serve residents who live, work, or attend school in the 21217 ZIP code. The center operates onsite services and lists dedicated senior hours (Tuesday, 9 AM–12 PM). The facility reports wheelchair-accessible entrance, parking, and restrooms. No additional eligibility or document requirements are specified in the available sources.</t>
  </si>
  <si>
    <t>Monday: 9 AM to 6 PM; Tuesday: 9 AM to 6 PM; Wednesday: 9 AM to 6 PM; Thursday: 9 AM to 6 PM; Friday: Closed; Saturday: Closed; Sunday: Closed</t>
  </si>
  <si>
    <t>A neighborhood community center that provides free, in-person programs and supports for local residents, including youth after-school and summer programming, services for seniors, food distribution, and youth employment/internship opportunities. Services are delivered on-site at the Linden Avenue location.</t>
  </si>
  <si>
    <t>http://www.stfranciscenter.org/</t>
  </si>
  <si>
    <t>Google reviewers consistently describe the center as a welcoming community hub with helpful staff, visible youth programming, and recurring food distribution events; many reviews praise the facility space and staff responsiveness. There are no recurring negative themes in the recent review sample and the newest reviews continue the positive trend. The organization’s website and an IRS registry match corroborate the listing’s identity and program descriptions, providing additional verification beyond public reviews.</t>
  </si>
  <si>
    <t>accepted google identity: 14.2/15; review volume: 30.0/30; review consistency: 3.7/7; review freshness: 7.8/8; verified website: 14.2/15; confirmed irs record: 20.0/20; source corroboration: 5.0/5; Synthesis metadata: high (not part of numeric confidence)</t>
  </si>
  <si>
    <t>Website and listing identify the primary clientele as homeless and low-income residents of Baltimore. No explicit evidence found for required identification, referrals, intake documents, or fees.</t>
  </si>
  <si>
    <t>Provides meal service focused on breakfast, operates a day/drop-in center where people can remain after meals, and offers case management, referrals, and food-distribution/pantry support aimed at people experiencing homelessness and low income in Baltimore.</t>
  </si>
  <si>
    <t>Recent Google reviewers in the fetched sample consistently praise staff helpfulness, cleanliness, and the quality of food; reviewers also note positive experiences with donation handling. The sampled recent feedback is uniformly positive, but the listing’s broader historical rating is lower (4.1 overall from 82 public reviews), suggesting more variable experiences over time. The organization’s official website is reachable and corroborates the basic service offerings, though it also contains statements (e.g., daily breakfast year-round) that differ from the Google Maps hours.</t>
  </si>
  <si>
    <t>accepted google identity: 14.2/15; review volume: 22.8/30; review consistency: 7.0/7; review freshness: 3.4/8; verified website: 14.2/15; confirmed irs record: 0.0/20; source corroboration: 3.3/5; Synthesis metadata: medium (not part of numeric confidence)</t>
  </si>
  <si>
    <t>9201 Green Valley Rd, Union Bridge, MD 21791</t>
  </si>
  <si>
    <t>(301) 898-5111</t>
  </si>
  <si>
    <t>St. Peter the Apostle Roman Catholic Church</t>
  </si>
  <si>
    <t>The parish posts specific Mass and confession times and explicitly invites visitors to worship. Confession is listed with set times and also “or by appointment.” The site indicates at least one Mass is live-streamed (redirect to Facebook). No documentation of formal eligibility restrictions, intake paperwork, or referral requirements was found in the available sources.</t>
  </si>
  <si>
    <t>A local Roman Catholic parish offering regular worship (Mass), confession and other sacramental services, parish ministries and community outreach, plus children’s faith-formation and youth programs. The parish also provides at least one live-streamed Mass and publishes schedules for services and confessions.</t>
  </si>
  <si>
    <t>http://www.stpeter-libertytown.org/</t>
  </si>
  <si>
    <t>Public Google Maps reviewers consistently describe the parish as welcoming and friendly, noting active ministries and opportunities for prayer (one reviewer specifically mentions a 24-hour adoration chapel). Occasional minor complaints appear in the sample—comments about noisy children during services and an isolated unrelated/unclear complaint—but most recent reviews remain positive. Overall, reviewer feedback is plentiful and consistently affirms a positive parish experience.</t>
  </si>
  <si>
    <t>accepted google identity: 14.2/15; review volume: 30.0/30; review consistency: 5.4/7; review freshness: 7.7/8; verified website: 14.2/15; confirmed irs record: 0.0/20; source corroboration: 3.3/5; Synthesis metadata: high (not part of numeric confidence)</t>
  </si>
  <si>
    <t>1214 N Wolfe St, Baltimore, MD 21213</t>
  </si>
  <si>
    <t>(443) 478-3015</t>
  </si>
  <si>
    <t>Charm City Care Connection</t>
  </si>
  <si>
    <t>Drop‑in hours and specific programs have published schedules; the site lists drop‑in hours as weekdays and a women‑only evening. Website lists outreach times and case‑management availability and asks callers to verify service availability by phone. The organization states a primary focus on serving people who use drugs. (See official website and Google listing for published hours and program notes.)</t>
  </si>
  <si>
    <t>Monday: 9 AM to 4 PM; Tuesday: 9 AM to 4 PM; Wednesday: 9 AM to 4 PM; Thursday: 9 AM to 4 PM; Friday: Closed; Saturday: Closed; Sunday: Closed</t>
  </si>
  <si>
    <t>A staffed drop-in center in East Baltimore that provides low‑barrier health and harm‑reduction supports including safer drug‑use supplies, wound care and infectious‑disease testing, access to medications for opioid use disorder via a mobile buprenorphine program, basic hygiene services (showers, laundry, clothing), peer recovery and case‑management support, and outreach services in the neighborhood.</t>
  </si>
  <si>
    <t>https://www.charmcitycareconnection.org/</t>
  </si>
  <si>
    <t>Google reviewers consistently report helpful, respectful staff and describe the location as a welcoming, nonjudgmental place that provides practical supports such as showers, clothing, and assistance for people experiencing homelessness and substance‑use concerns. A small number of reviews note minor delays or mixed experiences, but negative comments are uncommon in the sampled reviews. The most recent reviews remain strongly positive, and the organization’s website and Google listing consistently document the same core services and published hours.</t>
  </si>
  <si>
    <t>accepted google identity: 14.2/15; review volume: 30.0/30; review consistency: 6.1/7; review freshness: 7.7/8; verified website: 14.2/15; confirmed irs record: 0.0/20; source corroboration: 3.3/5; Synthesis metadata: high (not part of numeric confidence)</t>
  </si>
  <si>
    <t>1111 N Charles St, Baltimore, MD 21201</t>
  </si>
  <si>
    <t>(410) 837-2050</t>
  </si>
  <si>
    <t>Chase Brexton Health Care - Mt. Vernon Center</t>
  </si>
  <si>
    <t>Accepts Medicaid, Medicare, and a wide range of commercial insurance plans and offers a sliding fee scale for uninsured or low-income patients. Social Work &amp; Outreach provides assistance with insurance enrollment and referrals. The site lists dedicated appointment lines/teams for services at the Mt. Vernon center (including sexual health clinic appointments) and a Telehealth support line; some services are appointment-based.</t>
  </si>
  <si>
    <t>Monday: 8 AM to 7 PM; Tuesday: 8 AM to 7 PM; Wednesday: 8 AM to 7 PM; Thursday: 8 AM to 7 PM; Friday: 8 AM to 5 PM; Saturday: Closed; Sunday: Closed</t>
  </si>
  <si>
    <t>A multi-service community health center at the Mt. Vernon location providing on-site primary medical care plus behavioral health, dental, pharmacy, sexual health/HIV services, laboratory services, case management, and patient-support programs (insurance help, referrals, and social services).</t>
  </si>
  <si>
    <t>http://www.chasebrexton.org/?utm_source=GMBSocialClimb&amp;utm_medium=ChaseBrextonHealthServices</t>
  </si>
  <si>
    <t>Google reviewers repeatedly praise friendly, professional staff, an efficient on-site pharmacy, accessible and clean facilities, and care that meets diverse patient needs. Recurring negative notes focus on occasional long wait times. The most recent reviews continue to be positive, indicating that recent patient feedback aligns with earlier praise.</t>
  </si>
  <si>
    <t>421 Fallsway, Baltimore, MD 21202</t>
  </si>
  <si>
    <t>(410) 837-5533</t>
  </si>
  <si>
    <t>Health Care for the Homeless</t>
  </si>
  <si>
    <t>Downtown clinic appointments by phone; walk-in same‑day medical care available if clients arrive before 12:00 PM. Downtown hours have regular weekday hours but are shortened on the 4th &amp; 5th Thursdays each month (clinic closes at 12:00 PM those days); Saturday MAT clinic operates 9 AM–1 PM. Mobile clinic locations and times vary by monthly schedule. Weinberg Housing and Resource Center services are for shelter residents only. For behavioral-health crises call 988; after‑hours urgent help for current clients via the clinic phone. (All access details are taken from the organization’s website and Google Maps listing.)</t>
  </si>
  <si>
    <t>Monday: 7 AM to 5 PM; Tuesday: 7 AM to 5 PM; Wednesday: 7 AM to 5 PM; Thursday: 7 AM to 5 PM; Friday: 7 AM to 5 PM; Saturday: 9 AM to 1 PM; Sunday: Closed</t>
  </si>
  <si>
    <t>A Baltimore-based clinic and outreach program that provides on-site and mobile health services focused on people experiencing homelessness, offering primary medical care plus dental, behavioral health, substance use treatment, case management, and benefits enrollment support.</t>
  </si>
  <si>
    <t>https://www.hchmd.org/</t>
  </si>
  <si>
    <t>Reviewers consistently praise compassionate, professional, and helpful staff and cite positive experiences with clinicians and customer service. Recurring concerns in the reviews include difficulty accessing some behavioral‑health/psychiatry appointments (limited hours or longer intake processes) and occasional administrative issues related to paperwork or referrals. The most recent reviews continue to emphasize positive staff interactions, indicating recent feedback aligns with the general pattern of praise tempered by access-related complaints.</t>
  </si>
  <si>
    <t>accepted google identity: 14.2/15; review volume: 30.0/30; review consistency: 4.2/7; review freshness: 7.9/8; verified website: 14.2/15; confirmed irs record: 20.0/20; source corroboration: 5.0/5; Synthesis metadata: high (not part of numeric confidence)</t>
  </si>
  <si>
    <t>3120 Erdman Ave, Baltimore, MD 21213</t>
  </si>
  <si>
    <t>(410) 558-4800</t>
  </si>
  <si>
    <t>Baltimore Medical System – Belair-Edison</t>
  </si>
  <si>
    <t>Appointments are recommended and the Google listing indicates appointments may be required; sliding-fee discounts and reduced rates are available based on household income. Health Benefit Advisors assist with insurance enrollment (staff availability noted Monday–Friday, with Saturday by appointment on some pages). Pharmacies accept most prescription plans and offer free prescription delivery to patients in certain ZIP codes (delivery eligibility must be checked). Language interpretation is available.</t>
  </si>
  <si>
    <t>A community health center providing primary and family medical care for patients of all ages, on-site pharmacies (including a prescription delivery program), behavioral-health services, insurance enrollment and financial-assistance navigation, and patient support services such as language interpretation.</t>
  </si>
  <si>
    <t>https://www.bmsi.org/</t>
  </si>
  <si>
    <t>Google reviewers report a mix of experiences: many praise caring front-line staff, specific clinicians and pharmacy/administrative help, and a clean, welcoming clinic environment; recurring negative themes include long waits, communication problems around prescription refills and referrals, and occasional reports of disrespectful or unresponsive providers/staff. The listing owner has responded publicly to critical feedback in several cases. The newest reviews in the fetched sample are more positive than some earlier complaints, suggesting recent visits reported improved experiences by some patients.</t>
  </si>
  <si>
    <t>accepted google identity: 13.5/15; review volume: 30.0/30; review consistency: 0.7/7; review freshness: 7.6/8; verified website: 13.5/15; confirmed irs record: 0.0/20; source corroboration: 3.3/5; Synthesis metadata: high (not part of numeric confidence)</t>
  </si>
  <si>
    <t>1501 Division St, Baltimore, MD 21217</t>
  </si>
  <si>
    <t>Total Health Care</t>
  </si>
  <si>
    <t>A multi-service medical clinic offering on-site primary care (internal medicine), dental services, obstetrics/gynecology, infectious disease care, pediatric care, mental-health services, and a pharmacy.</t>
  </si>
  <si>
    <t>http://totalhealthcare.org/</t>
  </si>
  <si>
    <t>Google Maps reviewers frequently praise friendly, long‑term relationships with staff and positive experiences in adult medicine, with multiple recent posts thanking specific clinicians and teams. Recurring concerns in reviews include poor communication (patient-portal responsiveness), problems coordinating referrals and billing, and a few reports of painful dental procedures or unsatisfactory dental care. Owner responses are present on many reviews; the newest reviews are a mix of praise and complaint, so feedback remains mixed but with continued positive reports about staff and some persistent service issues.</t>
  </si>
  <si>
    <t>430 S Broadway, Baltimore, MD 21231</t>
  </si>
  <si>
    <t>(667) 600-2900</t>
  </si>
  <si>
    <t>Esperanza Center</t>
  </si>
  <si>
    <t>Services are described on the site as focused on immigrants; prospective clients are asked to contact the center for inquiries (website contact form indicates all fields required). No documented fees, required documents, or referral process were found in the provided sources.</t>
  </si>
  <si>
    <t>Monday: 9 AM to 4:30 PM; Tuesday: 9 AM to 4:30 PM; Wednesday: 9 AM to 4:30 PM; Thursday: 9 AM to 4:30 PM; Friday: 9 AM to 4:35 PM; Saturday: Open 24 hours; Sunday: Closed</t>
  </si>
  <si>
    <t>A community resource center serving immigrants that provides on-site health care (medical and dental, including primary and preventive care), immigration legal assistance and counseling, housing and social services, employment and education supports, and victim case management/advocacy.</t>
  </si>
  <si>
    <t>http://www.catholiccharities-md.org/immigrants/?referrer=https://www.google.co.in/</t>
  </si>
  <si>
    <t>Google reviewers repeatedly praise staff helpfulness and attentive service, and several reviewers note Spanish-language support and positive outcomes from counseling they received. A small but recurring negative theme concerns front-desk interactions or individual staff members. The most recent reviews continue to emphasize positive experiences, and the organization’s website corroborates a broad set of immigrant-focused health, legal, and social programs.</t>
  </si>
  <si>
    <t>accepted google identity: 13.5/15; review volume: 30.0/30; review consistency: 1.4/7; review freshness: 7.8/8; verified website: 13.5/15; confirmed irs record: 0.0/20; source corroboration: 3.3/5; Synthesis metadata: high (not part of numeric confidence)</t>
  </si>
  <si>
    <t>900 S Caton Ave, Baltimore, MD 21229</t>
  </si>
  <si>
    <t>(667) 234-6000</t>
  </si>
  <si>
    <t>Ascension Saint Agnes Hospital</t>
  </si>
  <si>
    <t>M-T 8AM-7PM, F 8AM-5PM</t>
  </si>
  <si>
    <t>A full-service acute-care hospital and emergency department providing inpatient and outpatient clinical care across multiple specialties, including surgical and specialty services, maternity/OB-GYN, cancer care, cardiac care, imaging/laboratory diagnostics, and rehabilitation. The site also hosts graduate medical education (residency) programs.</t>
  </si>
  <si>
    <t>https://healthcare.ascension.org/locations/maryland/mdbal/baltimore-ascension-saint-agnes-hospital?utm_campaign=gmb&amp;utm_medium=organic-search&amp;utm_content=location-listing&amp;utm_source=local</t>
  </si>
  <si>
    <t>Google reviews show many recent accounts praising attentive clinical teams, positive surgical outcomes, and good maternity experiences; several reviewers specifically note helpful staff and satisfactory post-op care. Recurring negative themes in reviews include long emergency-department wait times, concerns about cleanliness, and perceived understaffing on some inpatient units. The most recent reviews in the fetched sample trend positively, though critical reports about the ED and staffing continue to appear intermittently.</t>
  </si>
  <si>
    <t>accepted google identity: 14.2/15; review volume: 30.0/30; review consistency: 1.7/7; review freshness: 8.0/8; verified website: 14.2/15; confirmed irs record: 0.0/20; source corroboration: 3.3/5; Synthesis metadata: high (not part of numeric confidence)</t>
  </si>
  <si>
    <t>1800 Orleans St, Baltimore, MD 21287</t>
  </si>
  <si>
    <t>(410) 955-5000</t>
  </si>
  <si>
    <t>The Johns Hopkins Hospital</t>
  </si>
  <si>
    <t>City residents; program eligibility varies</t>
  </si>
  <si>
    <t>An academic medical center and hospital that provides inpatient and outpatient medical care, emergency (ER) services, and participates in clinical care, research, and education.</t>
  </si>
  <si>
    <t>https://www.hopkinsmedicine.org/the_johns_hopkins_hospital/?utm_source=Google&amp;utm_medium=Organic&amp;utm_campaign=Yext&amp;utm_content=FAD&amp;utm_keyword=JHH</t>
  </si>
  <si>
    <t>Google reviewers frequently praise individual clinicians and certain teams for being thorough, compassionate, and technically skilled. Recurring concerns in reviews include long emergency-room wait times and reports of poor interactions or problems with aspects of inpatient care; some reviewers describe serious negative experiences. The most recent reviews continue to show a mix of strong praise and strong complaints, and the organization commonly posts responses to reviewer feedback.</t>
  </si>
  <si>
    <t>accepted google identity: 14.2/15; review volume: 30.0/30; review consistency: 0.3/7; review freshness: 8.0/8; verified website: 14.2/15; confirmed irs record: 0.0/20; source corroboration: 3.3/5; Synthesis metadata: high (not part of numeric confidence)</t>
  </si>
  <si>
    <t>3001 S Hanover St, Baltimore, MD 21225</t>
  </si>
  <si>
    <t>(410) 350-3200</t>
  </si>
  <si>
    <t>MedStar Harbor Hospital</t>
  </si>
  <si>
    <t>Emergency department is open 24/7. The Food Rx program serves qualified patients with diabetes related to food insecurity. The MedStar eVisit telehealth option is available 24/7 on demand; patients create an account and may verify insurance at time of service (a self-pay price is published for uninsured users).</t>
  </si>
  <si>
    <t>MedStar Harbor Hospital is a full-service community hospital offering emergency care plus inpatient and outpatient services across multiple specialties, including internal medicine, surgery, obstetrics, orthopedics, behavioral health, and diabetes care. The hospital also runs community-focused programs such as a mobile health center and a medically tailored Food Rx program.</t>
  </si>
  <si>
    <t>https://www.medstarhealth.org/locations/medstar-harbor-hospital?utm_campaign=mhs_citations&amp;utm_medium=listing&amp;utm_source=citation_management&amp;utm_term=hospital</t>
  </si>
  <si>
    <t>Google reviewers commonly praise caring, professional staff and specific clinicians across specialties, reporting good bedside manner and coordinated care. Recurring concerns in reviews include long emergency-department wait times and occasional facility/amenity complaints (for example, room water pressure and food service). The newest reviews in the fetched sample remain mostly positive, and the listing owner regularly posts responses to reviewers.</t>
  </si>
  <si>
    <t>accepted google identity: 14.2/15; review volume: 30.0/30; review consistency: 3.4/7; review freshness: 8.0/8; verified website: 14.2/15; confirmed irs record: 20.0/20; source corroboration: 5.0/5; Synthesis metadata: high (not part of numeric confidence)</t>
  </si>
  <si>
    <t>140 W West St, Baltimore, MD 21230</t>
  </si>
  <si>
    <t>(410) 752-4454</t>
  </si>
  <si>
    <t>The Baltimore Station</t>
  </si>
  <si>
    <t>Agency referral typically required</t>
  </si>
  <si>
    <t>Veteran Services</t>
  </si>
  <si>
    <t>A veteran-focused organization that operates therapeutic residential treatment and transitional housing programs to support veterans recovering from addiction, trauma, and homelessness; offers supportive services and life-skill classes and maintains on-site food distribution/meal support.</t>
  </si>
  <si>
    <t>https://baltimorestation.org/</t>
  </si>
  <si>
    <t>Google Maps reviews fetched for the listing are consistently positive: reviewers repeatedly praise caring, welcoming staff and credit the program with helping veterans regain stability and recovery. The sampled recent reviews continue this positive trend, and there are few reported negative experiences in the fetched sample. The organization’s official website corroborates program-level claims (therapeutic residential treatment, transitional housing, classes) and the Maps listing shows active hours and contact details, providing consistent corroboration between platforms.</t>
  </si>
  <si>
    <t>accepted google identity: 14.2/15; review volume: 26.4/30; review consistency: 7.0/7; review freshness: 7.5/8; verified website: 14.2/15; confirmed irs record: 0.0/20; source corroboration: 3.3/5; Synthesis metadata: high (not part of numeric confidence)</t>
  </si>
  <si>
    <t>2104 Maryland Ave, Baltimore, MD 21218</t>
  </si>
  <si>
    <t>(410) 752-6850</t>
  </si>
  <si>
    <t>REACH Health Services</t>
  </si>
  <si>
    <t>Monday: 5:30 AM to 12:30 PM; Tuesday: 5:30 AM to 12:30 PM; Wednesday: 5:30 AM to 12:30 PM; Thursday: 5:30 AM to 12:30 PM; Friday: 5:30 AM to 12:30 PM; Saturday: 6 to 8 AM; Sunday: Closed</t>
  </si>
  <si>
    <t>Provides outpatient substance use disorder treatment and recovery services, including medication-assisted treatment and counseling delivered with a patient-centered, trauma‑informed approach.</t>
  </si>
  <si>
    <t>http://www.ibrinc.org/</t>
  </si>
  <si>
    <t>Reviewers commonly praise specific counselors and describe the program as supportive, organized, and life-changing, with multiple recent comments highlighting staff who went above and beyond. At least one detailed negative account alleges a serious safety incident and problematic program handling, showing that some users have had adverse experiences. The most recent reviews remain positive, so recent feedback appears to lean favorable despite isolated serious complaints.</t>
  </si>
  <si>
    <t>accepted google identity: 13.5/15; review volume: 27.9/30; review consistency: 2.6/7; review freshness: 6.3/8; verified website: 13.5/15; confirmed irs record: 0.0/20; source corroboration: 3.3/5; Synthesis metadata: high (not part of numeric confidence)</t>
  </si>
  <si>
    <t>1212 N Wolfe St, Baltimore, MD 21213</t>
  </si>
  <si>
    <t>(410) 759-8162</t>
  </si>
  <si>
    <t>Dee's Place Wellness &amp; Recovery Center</t>
  </si>
  <si>
    <t>The Google Maps listing states that all program services are provided free of charge and that the center was founded by and for people in recovery. No other eligibility, intake, referral, or documentation requirements are stated in the available evidence.</t>
  </si>
  <si>
    <t>A community wellness and recovery center that provides peer-led recovery support services and wellness programming; the listing states all program services are free of charge.</t>
  </si>
  <si>
    <t>https://www.hebcac.org/deesplace</t>
  </si>
  <si>
    <t>Google Maps reviewers consistently describe the center as welcoming, supportive, and helpful to people in recovery, with multiple reviewers noting a positive atmosphere and reliable assistance. There are few criticisms in the fetched review sample and the most recent reviews continue to reflect positive experiences. Online corroboration is limited because the listed website returns an expired/404 page, reducing independent website-based verification.</t>
  </si>
  <si>
    <t>accepted google identity: 13.3/15; review volume: 27.7/30; review consistency: 6.2/7; review freshness: 8.0/8; verified website: 13.3/15; confirmed irs record: 0.0/20; source corroboration: 3.3/5; Synthesis metadata: high (not part of numeric confidence)</t>
  </si>
  <si>
    <t>323 E 25th St, Baltimore, MD 21218</t>
  </si>
  <si>
    <t>(410) 235-8877</t>
  </si>
  <si>
    <t>At Jacobs Well Inc</t>
  </si>
  <si>
    <t>Office hours operate Monday–Friday, 9AM–4PM, with Saturday and Sunday closed; other times by appointment. Permanent Supportive Housing placements are by referral through The Mayor’s Office of Homeless Services. The program targets low-income men and women with mental health needs; prospective clients should contact the organization for intake details and eligibility screening.</t>
  </si>
  <si>
    <t>Monday – Friday: 9AM – 4PM
Saturday: Closed
Sunday: Closed
other times by appointment</t>
  </si>
  <si>
    <t>A Baltimore-based organization that provides transitional and permanent supportive housing and related wrap-around services for people experiencing homelessness who have mental health needs.</t>
  </si>
  <si>
    <t>https://atjacobswell.org/</t>
  </si>
  <si>
    <t>Google Maps review text for this listing is effectively unavailable or too thin to summarize user experiences: the fetched review sample contains no substantive comment, so reviewer themes cannot be reliably identified. The organization’s official website is reachable and provides detailed program descriptions (transitional and permanent housing, supportive services). An IRS/BMF registry match indicates an active filing in 2025, which corroborates the organization’s identity and ongoing operations.</t>
  </si>
  <si>
    <t>accepted google identity: 14.2/15; review volume: 10.1/30; review consistency: 7.0/7; review freshness: 3.0/8; verified website: 14.2/15; confirmed irs record: 20.0/20; source corroboration: 5.0/5; Synthesis metadata: high (not part of numeric confidence)</t>
  </si>
  <si>
    <t>112 E 25th St #1, Baltimore, MD 21218</t>
  </si>
  <si>
    <t>(410) 566-0094</t>
  </si>
  <si>
    <t>Pleasant Housing Inc.</t>
  </si>
  <si>
    <t>Program materials state eligibility is aimed at individuals stepping forward from substance abuse and those seeking help with homelessness, mental health, former incarceration, or HIV/AIDS-related concerns. No additional intake, referral, or documentation requirements are stated in the available sources.</t>
  </si>
  <si>
    <t>Pleasant Housing operates a supportive housing program that provides a structured living environment plus wraparound supports such as educational assistance, financial-management training, personal life-management help, and career/goal planning for people transitioning from homelessness, substance use, incarceration, or coping with mental health and HIV/AIDS-related challenges.</t>
  </si>
  <si>
    <t>https://www.pleasanthousing.com/</t>
  </si>
  <si>
    <t>Reviewer comments that are available praise at least one staff member for being helpful, but otherwise describe serious concerns with cleanliness (including bed bugs and roaches), abrupt or poorly handled discharges, and unprofessional staff interactions that negatively affected residents. These themes recur in the recent reviewer accounts and the most recent feedback follows a similar pattern. Overall reviewer feedback is limited, so these comments may not represent the full range of client experiences.</t>
  </si>
  <si>
    <t>accepted google identity: 14.2/15; review volume: 11.3/30; review consistency: 5.2/7; review freshness: 3.8/8; verified website: 14.2/15; confirmed irs record: 0.0/20; source corroboration: 3.3/5; Synthesis metadata: medium (not part of numeric confidence)</t>
  </si>
  <si>
    <t>119 E 25th St, Baltimore, MD 21218</t>
  </si>
  <si>
    <t>(410) 235-5782</t>
  </si>
  <si>
    <t>Women’s Housing Coalition</t>
  </si>
  <si>
    <t>Website states adults served are formerly homeless, low-income or very-low-income, and have a federally-defined disability; the organization serves families and individuals with services tailored in collaboration with residents. (No website-evidenced details about required documents, referral sources, or intake steps were provided.)</t>
  </si>
  <si>
    <t>Provides permanent, affordable housing combined with supportive services for people who have experienced homelessness; services described include intensive one-to-one case management, resident advocacy, life-skills training, and rent/utility assistance tailored to individual or family needs.</t>
  </si>
  <si>
    <t>http://womenshousing.org/</t>
  </si>
  <si>
    <t>Review text was unavailable or too thin to summarize reviewer experiences. The organization’s official website and a recent IRS filing corroborate its identity and activity, and the Google Maps listing provides published hours and accessibility details. These non-review signals consistently indicate an operational service provider at the listed Baltimore address.</t>
  </si>
  <si>
    <t>accepted google identity: 14.2/15; review volume: 12.1/30; review consistency: 0.0/7; review freshness: 0.0/8; verified website: 14.2/15; confirmed irs record: 20.0/20; source corroboration: 5.0/5; Synthesis metadata: high (not part of numeric confidence)</t>
  </si>
  <si>
    <t>31 Hopkins Pl, Baltimore, MD 21201</t>
  </si>
  <si>
    <t>(800) 827-1000</t>
  </si>
  <si>
    <t>VA Baltimore Regional Office</t>
  </si>
  <si>
    <t>In-person services are by appointment only; visitors are encouraged to schedule virtual or in-person appointments via the VERA portal. Bring a current, unexpired photo ID. Depending on the visit, you may need to bring discharge/separation papers (DD214), relevant medical records, your Social Security number, direct deposit information, and information about dependents (dates of birth and Social Security numbers). The office can advise what documents are needed and may request documents on your behalf.</t>
  </si>
  <si>
    <t>Monday: 8:30 AM to 4 PM; Tuesday: 8:30 AM to 4 PM; Wednesday: 8:30 AM to 4 PM; Thursday: 8:30 AM to 4 PM; Friday: 8:30 AM to 4 PM; Saturday: Closed; Sunday: Closed</t>
  </si>
  <si>
    <t>A regional VA benefits office that helps veterans, service members, and their families apply for and manage VA benefits and services such as disability compensation, education benefits, life insurance, pensions, home loan eligibility/COE, and employment/readiness support; benefit counselors assist with eligibility, paperwork, and checking claim status.</t>
  </si>
  <si>
    <t>https://www.va.gov/baltimore-va-regional-benefit-office/</t>
  </si>
  <si>
    <t>Public Google Maps reviews consistently report problems contacting the office, delayed or unhelpful responses, and several instances of customers saying cases or services were negatively affected by poor responsiveness; reviewers also recount rude interactions in some visits. A minority of reviewers single out specific staff for prompt, helpful assistance. Newer reviews continue to describe access and responsiveness problems, so recent feedback aligns with earlier negative reports.</t>
  </si>
  <si>
    <t>accepted google identity: 14.2/15; review volume: 28.8/30; review consistency: 1.2/7; review freshness: 7.8/8; verified website: 14.2/15; confirmed irs record: 0.0/20; source corroboration: 3.3/5; Synthesis metadata: high (not part of numeric confidence)</t>
  </si>
  <si>
    <t>10 N Greene St, Baltimore, MD 21201</t>
  </si>
  <si>
    <t>(410) 605-7000</t>
  </si>
  <si>
    <t>Baltimore VA Medical Center - VA Maryland Health Care System</t>
  </si>
  <si>
    <t>Serves patients of the VA Maryland Health Care System (Veterans).</t>
  </si>
  <si>
    <t>A Veterans medical center providing acute medical and surgical care with inpatient and outpatient services, primary care, and serving as a neurosurgery referral center for the regional VA network.</t>
  </si>
  <si>
    <t>Google Maps reviewers commonly praise clinical staff across primary care and emergency settings for being attentive, competent, and compassionate. Recurring negative themes mention front-desk or reception rudeness and occasional long waits or difficulty getting timely attention. The most recent reviews trend positive, with multiple recent firsthand accounts describing good experiences in primary care and emergency care.</t>
  </si>
  <si>
    <t>accepted google identity: 14.2/15; review volume: 30.0/30; review consistency: 1.2/7; review freshness: 7.7/8; verified website: 0.0/15; confirmed irs record: 0.0/20; source corroboration: 1.7/5; Synthesis metadata: high (not part of numeric confidence)</t>
  </si>
  <si>
    <t>3901 The Alameda, Baltimore, MD 21218</t>
  </si>
  <si>
    <t>(410) 605-7650</t>
  </si>
  <si>
    <t>Loch Raven VA Outpatient Clinic - VA Maryland Health Care System</t>
  </si>
  <si>
    <t>Listed as "Veterans hospital" on the Google Maps listing; available evidence does not specify eligibility rules, intake procedures, required documents, or referral requirements.</t>
  </si>
  <si>
    <t>An in-person VA outpatient clinic listed on Google Maps as a veterans hospital / medical clinic at the Loch Raven location in Baltimore that provides outpatient health care services.</t>
  </si>
  <si>
    <t>Available Google Maps reviewers report positive experiences, citing responsive staff and that they received care. No recurring complaints appear in the visible review text, and the most recent reviews are similarly positive. However, the visible review text sample is small and the official website attribution could not be verified from the provided evidence, so specific service details and eligibility remain insufficiently documented.</t>
  </si>
  <si>
    <t>accepted google identity: 14.2/15; review volume: 20.9/30; review consistency: 7.0/7; review freshness: 4.4/8; verified website: 0.0/15; confirmed irs record: 0.0/20; source corroboration: 1.7/5; Synthesis metadata: insufficient_evidence (not part of numeric confidence)</t>
  </si>
  <si>
    <t>2828 Loch Raven Rd, Baltimore, MD 21218</t>
  </si>
  <si>
    <t>410-327-5830</t>
  </si>
  <si>
    <t>Beacon of Hope Recovery Community Center</t>
  </si>
  <si>
    <t>Reviewer reports indicate that visitor authorization and staff interactions have at times limited access; no formal eligibility, intake, or documentation requirements are published in the available sources.</t>
  </si>
  <si>
    <t>Monday: 8 AM to 4:30 PM; Tuesday: 8 AM to 4:30 PM; Wednesday: 8 AM to 4:30 PM; Thursday: 8 AM to 4:30 PM; Friday: 8 AM to 4:30 PM; Saturday: 8 AM to 4:30 PM; Sunday: 8 AM to 4:30 AM</t>
  </si>
  <si>
    <t>A community center at the listed location that, according to Google Maps reviews, accepts clothing donations and distributes donated items to people; at least one reviewer also reports receiving a tax receipt for donations.</t>
  </si>
  <si>
    <t>Google Maps reviewer text shows mixed experiences: several recent short reviews are positive or neutral, while multiple earlier reviews report negative experiences including staff rudeness, restrictive visitor-authorization practices, and utility/access problems that affected use of services. Review content is limited in detail and the business has not posted responses to reviewer complaints. Overall, available review text is sufficient to show inconsistent user experiences but not to fully corroborate a broad set of service offerings.</t>
  </si>
  <si>
    <t>accepted google identity: 13.5/15; review volume: 25.2/30; review consistency: 1.5/7; review freshness: 7.2/8; verified website: 0.0/15; confirmed irs record: 0.0/20; source corroboration: 1.7/5; Synthesis metadata: insufficient_evidence (not part of numeric confidence)</t>
  </si>
  <si>
    <t>908 Washington Blvd, Baltimore, MD 21230</t>
  </si>
  <si>
    <t>(410) 624-7554</t>
  </si>
  <si>
    <t>SPARC, A Center for Women</t>
  </si>
  <si>
    <t>Facebook describes the site as a “drop by center,” indicating walk-in/drop-in access; no documented eligibility restrictions, required documents, or referral/intake procedures were found in the available sources.</t>
  </si>
  <si>
    <t>Monday: 11 AM to 2 PM; Tuesday: 11 AM to 2 PM; Wednesday: 11 AM to 2 PM; Thursday: 11 AM to 2 PM; Friday: Closed; Saturday: Closed; Sunday: Closed</t>
  </si>
  <si>
    <t>SPARC is described on its Facebook page and Google Maps listing as a harm-reduction–focused drop-in center and outreach program for women that provides on-site women’s health and supportive services in the Pigtown neighborhood of Baltimore.</t>
  </si>
  <si>
    <t>https://www.facebook.com/SPARCWomensCenter/</t>
  </si>
  <si>
    <t>Public reviews on Google contain a mix of strong praise and at least one recent negative report. Several reviewers describe the center as helpful, supportive, and a meaningful resource for women, while a recent review reports a rude front-desk interaction and difficulty accessing staff during posted hours. The business owner has replied to at least one complaint, indicating some responsiveness to feedback.</t>
  </si>
  <si>
    <t>accepted google identity: 14.2/15; review volume: 20.2/30; review consistency: 1.4/7; review freshness: 6.8/8; verified website: 14.2/15; confirmed irs record: 0.0/20; source corroboration: 3.3/5; Synthesis metadata: high (not part of numeric confidence)</t>
  </si>
  <si>
    <t>1111 Park Ave Apt A, Baltimore, MD 21201</t>
  </si>
  <si>
    <t>(410) 235-7744</t>
  </si>
  <si>
    <t>Youth Empowered Society</t>
  </si>
  <si>
    <t>Operates a drop-in model serving youth ages 14–25 who are experiencing or at risk of homelessness. Website notes limited storage for personal belongings; no other eligibility, intake, or referral requirements are specified in the available evidence.</t>
  </si>
  <si>
    <t>Monday: 12:30 to 4 PM; Tuesday: 12:30 to 4 PM; Wednesday: 12:30 to 4 PM; Thursday: 12:30 to 4 PM; Friday: Closed; Saturday: Closed; Sunday: Closed</t>
  </si>
  <si>
    <t>A youth-focused drop-in center that provides basic needs and supportive services for young people, including a safe space, meals and hygiene supplies, clothing and limited storage, individual case management and goal planning, help obtaining IDs and public benefits, employment and education support, and housing-focused referrals and connections to health services.</t>
  </si>
  <si>
    <t>https://www.yesdropincenter.org/</t>
  </si>
  <si>
    <t>Review text was unavailable or too thin to summarize what visitors say about the program, so reviewer themes could not be assessed. Independent corroboration is strong: the organization’s website is reachable and verified against the Google Maps listing, and an IRS record shows a documented reinstatement that supports the organization’s active identity. Structured Google Maps hours and an operational phone number further corroborate a physical drop-in service operating at the listed address.</t>
  </si>
  <si>
    <t>accepted google identity: 14.2/15; review volume: 16.8/30; review consistency: 0.0/7; review freshness: 0.0/8; verified website: 14.2/15; confirmed irs record: 20.0/20; source corroboration: 5.0/5; Synthesis metadata: high (not part of numeric confidence)</t>
  </si>
  <si>
    <t>200 E North Ave, Baltimore, MD 21202</t>
  </si>
  <si>
    <t>(443) 984-2000</t>
  </si>
  <si>
    <t>Baltimore City Public Schools District office</t>
  </si>
  <si>
    <t>Focus on women &amp; gender-diverse community; call ahead</t>
  </si>
  <si>
    <t>A Baltimore City Public Schools district administrative office that houses district/board functions and serves families and students seeking district-level assistance; reviewers and official pages indicate the site is used for family engagement and enrollment-related interactions.</t>
  </si>
  <si>
    <t>http://www.baltimorecityschools.org/</t>
  </si>
  <si>
    <t>Google review text shows a mix of experiences: many reviewers praise staff as helpful, pleasant, and the engagement center as professional and efficient, while a separate group report unresponsiveness, disorganization, and long waits for enrollment or homeschool assistance. Recent reviews remain mixed, with both positive reports of quick, welcoming service and ongoing complaints about communication and organization. Official website pages corroborate that this is a district office and include Board Office and family/student-facing content.</t>
  </si>
  <si>
    <t>accepted google identity: 14.2/15; review volume: 30.0/30; review consistency: 0.8/7; review freshness: 8.0/8; verified website: 14.2/15; confirmed irs record: 0.0/20; source corroboration: 3.3/5; Synthesis metadata: high (not part of numeric confidence)</t>
  </si>
  <si>
    <t>226 N Paca St #B, Baltimore, MD 21201</t>
  </si>
  <si>
    <t>(443) 388-7906</t>
  </si>
  <si>
    <t>J.O.Y. Baltimore</t>
  </si>
  <si>
    <t>The Google Maps listing states services target homeless and displaced young people between ages 12 and 26 and that the organization serves LGBTQIA+ individuals. No intake steps, required documents, referral processes, or other eligibility details were published in the available evidence.</t>
  </si>
  <si>
    <t>Monday: 10 AM to 5 PM; Tuesday: 10 AM to 5 PM; Wednesday: 10 AM to 5 PM; Thursday: 10 AM to 5 PM; Friday: 10 AM to 5 PM; Saturday: Closed; Sunday: Closed</t>
  </si>
  <si>
    <t>A Baltimore drop-in center serving homeless and displaced youth that, according to its Google Maps profile, provides housing assistance, basic supplies, and youth support services including job help and mentorship. The listing positions the site as a safe, onsite resource for young people and mentions programming and events for children.</t>
  </si>
  <si>
    <t>https://www.joybaltimore.org/</t>
  </si>
  <si>
    <t>Public Google Maps reviewers frequently praise child- and family-focused events and giveaways tied to the organization, describing positive experiences at events (for example, toy distributions and holiday activities). A small number of low-star reviews appear but contain no explanatory text; the visible review text is overwhelmingly positive and the most recent entries remain positive. Web corroboration is limited because the listed website returned an access block (HTTP 403) during scraping, so the Google Maps profile is the primary source for service details.</t>
  </si>
  <si>
    <t>accepted google identity: 14.2/15; review volume: 30.0/30; review consistency: 4.0/7; review freshness: 2.5/8; verified website: 14.2/15; confirmed irs record: 0.0/20; source corroboration: 3.3/5; Synthesis metadata: medium (not part of numeric confidence)</t>
  </si>
  <si>
    <t>7205 Rutherford Rd, Baltimore, MD 21244</t>
  </si>
  <si>
    <t>(443) 780-1439</t>
  </si>
  <si>
    <t>NCIA Youth in Transition School</t>
  </si>
  <si>
    <t>Admissions require referrals from school systems, interviews with the youth and family, and review by the student's IEP team. Primary service area includes Baltimore County, Baltimore City, and Prince George's County; students may attend from other Maryland school districts. No other eligibility, cost, or documentation details were provided in the available sources.</t>
  </si>
  <si>
    <t>Monday: 7:45 AM to 3:45 PM; Tuesday: 7:45 AM to 3:45 PM; Wednesday: 7:45 AM to 3:45 PM; Thursday: 7:45 AM to 3:45 PM; Friday: 7:45 AM to 3:45 PM; Saturday: Closed; Sunday: Closed</t>
  </si>
  <si>
    <t>A nonpublic, full-day special education school program serving students with significant barriers (including autism, emotional, and intellectual disabilities). The program provides individualized academic instruction toward a high school diploma or certificate of completion, vocational on- and off-campus job experiences, clinical/therapeutic supports, and behavior-support services.</t>
  </si>
  <si>
    <t>https://www.ncianet.org/educational-alternatives-for-youth-in-transition/</t>
  </si>
  <si>
    <t>There are no public review texts available to summarize user experiences; review feedback was unavailable or too thin to assess satisfaction or recurring themes. Operational signals are present: an active Google Maps listing with published hours and accessibility details and a reachable, corroborating organizational website that describes program offerings and admissions procedures. Because user reviews are absent, claims are based on the organization’s own published materials and the Google listing rather than independent reviewer reports.</t>
  </si>
  <si>
    <t>4623 Falls Rd, Baltimore, MD 21209</t>
  </si>
  <si>
    <t>(410) 366-1980</t>
  </si>
  <si>
    <t>Springboard Community Services</t>
  </si>
  <si>
    <t>Intake is handled through a Springboard assessment line where a trained specialist evaluates callers and can connect them with a mental health professional and schedule a first appointment during that call. The website and listing indicate appointments are recommended. The site also references crisis and domestic-violence hotlines and suicide/crisis resources for immediate needs.</t>
  </si>
  <si>
    <t>Springboard Community Services operates a Falls Road day center offering behavioral health and related social supports, including counseling and psychiatric services, case management and crisis intervention, and housing-focused case management and assistance for people facing unstable housing.</t>
  </si>
  <si>
    <t>http://www.springboardmd.org/</t>
  </si>
  <si>
    <t>Reviewer comments fetched from the listing emphasize strong, compassionate clinical care and effective case management; several recent comments specifically praise individual staff and report meaningful help from therapy and case management. The small fetched review sample is uniformly positive, but the full public review set on the listing includes several lower-rated entries that were not present in the fetched sample, so negative themes are not visible in the available texts. The newest available reviews remain positive and continue the pattern of praising staff support and clinical outcomes.</t>
  </si>
  <si>
    <t>accepted google identity: 13.4/15; review volume: 16.8/30; review consistency: 7.0/7; review freshness: 6.4/8; verified website: 13.4/15; confirmed irs record: 0.0/20; source corroboration: 3.3/5; Synthesis metadata: high (not part of numeric confidence)</t>
  </si>
  <si>
    <t>2835 Virginia Avenue, Dupont Ave, Baltimore, MD 21215</t>
  </si>
  <si>
    <t>(443) 429-0215</t>
  </si>
  <si>
    <t>Catherine’s Family &amp; Youth Services Inc</t>
  </si>
  <si>
    <t>Family services are described as available to qualifying low- to no-income families; the website specifies a food and diaper hub, clothing bank, back-to-school drive, and annual holiday giveaways. Youth programs are targeted to young people ages 5–14 who live in the 21215 ZIP code. The organization also states it provides referrals to counseling and housing. (All access/eligibility statements are taken from the cited website and Google Maps listing.)</t>
  </si>
  <si>
    <t>Provides local family- and youth-focused support including a food and diaper pantry, clothing bank, holiday giveaways, and referrals for counseling and housing. Offers youth development programs such as after-school tutoring, homework help, summer camp, and youth support groups, and runs community-focused services including meal delivery for seniors and neighborhood empowerment activities.</t>
  </si>
  <si>
    <t>http://www.catherinesfamilyandyouthservices.org/</t>
  </si>
  <si>
    <t>Public Google Maps reviews consistently describe timely, well-stocked food and diaper distributions and appreciative, helpful volunteers; reviewers repeatedly report receiving food, diapers, clothing, and other essentials. Some reviewers note waits at giveaways (one report of about a two-hour wait), but overall the review text is uniformly positive and the most recent reviews continue that pattern. Website content corroborates the programs and services reviewers describe.</t>
  </si>
  <si>
    <t>accepted google identity: 14.2/15; review volume: 29.8/30; review consistency: 7.0/7; review freshness: 4.9/8; verified website: 14.2/15; confirmed irs record: 0.0/20; source corroboration: 3.3/5; Synthesis metadata: high (not part of numeric confidence)</t>
  </si>
  <si>
    <t>4321 Old York Rd, Baltimore, MD 21212</t>
  </si>
  <si>
    <t>(410) 433-0426</t>
  </si>
  <si>
    <t>The Church Of The Redeemed of The Lord</t>
  </si>
  <si>
    <t>Website states many services and outreach are offered free of charge. Food pantry is listed on the site as "Wednesday Food Pantry (excluding 1st Wed.) 10:00 AM - 12:30 PM." The site lists service times and recurring programs (e.g., Tuesday night Bible study at 7 PM; Sunday worship at 10 AM; Wednesday prayer 6 PM / Bible study 7 PM) and indicates some activities (e.g., child dedication) require submitting an application.</t>
  </si>
  <si>
    <t>Monday: Closed; Tuesday: Closed; Wednesday: 10 AM to 12 PM; Thursday: Closed; Friday: 10 AM to 1 PM; Saturday: Closed; Sunday: 10 AM to 1 PM</t>
  </si>
  <si>
    <t>A Pentecostal place of worship that holds regular Sunday services and midweek prayer/Bible-study meetings, operates multiple church ministries and community outreach programs, and runs a Wednesday food pantry/outreach program.</t>
  </si>
  <si>
    <t>http://www.crlministries.com/</t>
  </si>
  <si>
    <t>Public Google Maps reviews in the fetched sample are overwhelmingly positive, with reviewers repeatedly praising the worship experience, the clarity and impact of preaching, the leadership of the senior pastor, and a welcoming congregation. There are no recurring negative themes in the available review text sample, and the newest reviews continue the same positive tone. The organization’s official website corroborates operational programs, service times, ministries, and a food pantry.</t>
  </si>
  <si>
    <t>accepted google identity: 14.2/15; review volume: 30.0/30; review consistency: 4.9/7; review freshness: 7.7/8; verified website: 14.2/15; confirmed irs record: 0.0/20; source corroboration: 3.3/5; Synthesis metadata: high (not part of numeric confidence)</t>
  </si>
  <si>
    <t>2620 Quantico Ave Arlington, Baltimore, MD 21215</t>
  </si>
  <si>
    <t>(410) 409-7568</t>
  </si>
  <si>
    <t>Outcast Food Network</t>
  </si>
  <si>
    <t>Every 4th Monday of the month starting at 12 p.m. until supplies last</t>
  </si>
  <si>
    <t>A physical organization listing on Google Maps for Outcast Food Network at an address in Baltimore; the public listing includes a local contact phone, an associated website URL, and is shown as located within Beacon of Light Citadel of Praise. The listing does not include posted hours or explicit service descriptions, and the linked website page returns an error rather than public program details.</t>
  </si>
  <si>
    <t>http://outcastfoodnetwork.org/support-the-mission/contact/</t>
  </si>
  <si>
    <t>Google Maps has a public listing that identifies the organization and provides a phone contact and location, but there are no user review texts to summarize. The linked website page returned an HTTP 404 at the time of evidence collection, limiting corroboration of programs or schedules. The Maps entry is not marked permanently closed, but overall public information is sparse, so service details could not be confirmed.</t>
  </si>
  <si>
    <t>accepted google identity: 14.2/15; review volume: 0.0/30; review consistency: 0.0/7; review freshness: 0.0/8; verified website: 14.2/15; confirmed irs record: 0.0/20; source corroboration: 3.3/5; Synthesis metadata: insufficient_evidence (not part of numeric confidence)</t>
  </si>
  <si>
    <t>529 Walker Ave, Baltimore, MD 21212</t>
  </si>
  <si>
    <t>(410) 900-9111</t>
  </si>
  <si>
    <t>RCCG Mercy Court, Baltimore</t>
  </si>
  <si>
    <t>Worship services: offered in-person and online; kids ministry available (website-stated). Community food outreach: described as served to the Walker Avenue neighborhood five days a week with "no sign-up, no questions asked." No evidence of referral requirements or restricted eligibility was found.</t>
  </si>
  <si>
    <t>Monday: Closed; Tuesday: Closed; Wednesday: 7 to 8:30 PM; Thursday: Closed; Friday: Closed; Saturday: Closed; Sunday: 10 AM to 12 PM</t>
  </si>
  <si>
    <t>A local Christian church that offers regular in-person and online worship services, midweek Bible study, children’s ministry, corporate prayer gatherings, and community outreach including a recurring free-food distribution to the Walker Avenue neighborhood.</t>
  </si>
  <si>
    <t>http://www.mercycourt.org/</t>
  </si>
  <si>
    <t>Public reviews consistently describe Mercy Court as a welcoming, family-oriented congregation with uplifting worship, interactive Bible study, and active fellowship. Reviewers occasionally highlight positives such as strong praise and worship and accessible online streaming. One recent complaint raised a community-safety concern about a vehicle incident; the listing owner responded publicly. Overall, review text is overwhelmingly positive and the owner appears responsive.</t>
  </si>
  <si>
    <t>accepted google identity: 13.5/15; review volume: 30.0/30; review consistency: 3.0/7; review freshness: 4.5/8; verified website: 13.5/15; confirmed irs record: 20.0/20; source corroboration: 5.0/5; Synthesis metadata: high (not part of numeric confidence)</t>
  </si>
  <si>
    <t>5200 Denmore Ave, Baltimore, MD 21215</t>
  </si>
  <si>
    <t>(410) 412-4196</t>
  </si>
  <si>
    <t>Word &amp; Praise Ministry</t>
  </si>
  <si>
    <t>Sunday Morning Worship
10am
Wednesday Evening Service
7pm</t>
  </si>
  <si>
    <t>A local church/ministry that offers regular worship services and church programming with an expressed focus on community outreach and youth. A recent Google Maps review references the organization hosting a free food giveaway / food pantry event.</t>
  </si>
  <si>
    <t>http://wordandpraisefaithministry.com/</t>
  </si>
  <si>
    <t>Public review feedback is very limited. One recent reviewer left a brief positive rating without comment, while another reviewer mentioned missing a service and referenced a Tuesday food giveaway/food pantry event; that recent comment is the primary direct evidence of an outreach food activity. Because the review sample is small and mostly terse, review text alone is thin for judging overall user experience or reliability.</t>
  </si>
  <si>
    <t>accepted google identity: 14.2/15; review volume: 12.3/30; review consistency: 3.5/7; review freshness: 7.6/8; verified website: 14.2/15; confirmed irs record: 0.0/20; source corroboration: 3.3/5; Synthesis metadata: medium (not part of numeric confidence)</t>
  </si>
  <si>
    <t>5011 Arbutus Ave, Baltimore, MD 21215</t>
  </si>
  <si>
    <t>(443) 759-8921</t>
  </si>
  <si>
    <t>Langston Hughes Community, Business &amp; Resource Center</t>
  </si>
  <si>
    <t>Food pantry attendees are asked to bring their own bags and carts.</t>
  </si>
  <si>
    <t>A community business and resource center that hosts events and venue rentals, operates a recurring food pantry, and connects Park Heights residents to partner-provided supports such as clothing, mental-health, child-care, substance-use, education, and employment resources.</t>
  </si>
  <si>
    <t>http://langstonhughescbrc.org/</t>
  </si>
  <si>
    <t>Google review text and place tags consistently describe the site as hosting a food pantry and community-resource events, and reviewers commonly praise helpful staff, volunteer support, the pantry as a neighborhood lifeline, murals, and the facility’s suitability for events. A small number of brief negative reviews appear but most recent reviews continue to reflect positive experiences and ongoing pantry activity. The center’s own website lists program pages and food‑bank scheduling that corroborate review reports.</t>
  </si>
  <si>
    <t>accepted google identity: 14.2/15; review volume: 30.0/30; review consistency: 3.6/7; review freshness: 7.7/8; verified website: 14.2/15; confirmed irs record: 0.0/20; source corroboration: 3.3/5; Synthesis metadata: high (not part of numeric confidence)</t>
  </si>
  <si>
    <t>5616 Park Heights Ave, Baltimore, MD 21215</t>
  </si>
  <si>
    <t>(410) 744-5200</t>
  </si>
  <si>
    <t>Stepping Stones</t>
  </si>
  <si>
    <t>Every other Friday from 2 to 3 p.m. or until food is gone</t>
  </si>
  <si>
    <t>Appears to operate a physical community organization that provides general help/assistance to people who seek support, based on Google Maps listing details and user comments. Specific programs, eligibility, schedules, and intake procedures are not documented in the available sources.</t>
  </si>
  <si>
    <t>Available reviewer comments on the Google Maps listing are uniformly positive, with visitors saying they received help and would return. There are no reported problems or negative experiences in the visible comments, but the set of reviewer comments is very small and the most recent comment is dated March 2024. The organization has no verified official website in the provided data and registry matching is unresolved, so the current scope of services and up-to-date operational details are uncertain.</t>
  </si>
  <si>
    <t>accepted google identity: 14.2/15; review volume: 8.5/30; review consistency: 7.0/7; review freshness: 1.5/8; verified website: 0.0/15; confirmed irs record: 0.0/20; source corroboration: 1.7/5; Synthesis metadata: insufficient_evidence (not part of numeric confidence)</t>
  </si>
  <si>
    <t>3401 Edgewood Rd, Baltimore, MD 21215</t>
  </si>
  <si>
    <t>(410) 542-5300</t>
  </si>
  <si>
    <t>United House of Prayer - Food Distribution Center</t>
  </si>
  <si>
    <t>Wednesday from 9 a.m. to 12 p.m.</t>
  </si>
  <si>
    <t>A physical food distribution center listed on Google Maps as a food bank that appears to provide in-person food distribution at the listed address.</t>
  </si>
  <si>
    <t>Public review text was unavailable or too thin, so reviewers’ experiences cannot be summarized from text. The Google Maps listing explicitly labels the location as a food bank and provides a phone number plus accessibility details, which supports the presence of an in-person food distribution site at this address. The organization’s website could not be reliably attributed and no registry match was found, so identity and broader program details are not corroborated by other sources.</t>
  </si>
  <si>
    <t>accepted google identity: 14.2/15; review volume: 8.5/30; review consistency: 7.0/7; review freshness: 3.7/8; verified website: 0.0/15; confirmed irs record: 0.0/20; source corroboration: 1.7/5; Synthesis metadata: insufficient_evidence (not part of numeric confidence)</t>
  </si>
  <si>
    <t>624 Gutman Ave, Baltimore, MD 21218</t>
  </si>
  <si>
    <t>443-842-4037</t>
  </si>
  <si>
    <t>Donald Bentley Food Pantry</t>
  </si>
  <si>
    <t>New pantry clients are asked to provide their name, an address, and household size at intake. Once registered, clients may pick up food every other week (two times per month). Visitors are asked to bring their own bag. (Intake and scheduling information published on the pantry website.)</t>
  </si>
  <si>
    <t>Monday: Closed; Tuesday: Closed; Wednesday: Closed; Thursday: Closed; Friday: Closed; Saturday: 9 AM to 12 PM; Sunday: Closed</t>
  </si>
  <si>
    <t>A community food pantry in East Baltimore that distributes a balanced selection of grocery items (including meat, milk, fruit, vegetables, bread, and pantry staples) to local residents on a weekly Saturday distribution. The pantry is run by volunteers and sets up so visitors can choose among available food options.</t>
  </si>
  <si>
    <t>https://www.dbfpbaltimore.org/</t>
  </si>
  <si>
    <t>Google reviewers consistently praise the pantry for offering fresh produce, meat, dairy, and sufficient quantities for families, and they describe staff and volunteers as generally friendly and helpful. A small number of reviewers report occasional negative interactions with individual volunteers or rude behavior, but most recent reviews continue to emphasize the positive experience and freshness of the food. The pantry also publishes a website with matching hours, intake instructions, and volunteer/donation information that corroborates the listing.</t>
  </si>
  <si>
    <t>accepted google identity: 13.5/15; review volume: 26.4/30; review consistency: 7.0/7; review freshness: 6.2/8; verified website: 13.5/15; confirmed irs record: 0.0/20; source corroboration: 3.3/5; Synthesis metadata: high (not part of numeric confidence)</t>
  </si>
  <si>
    <t>721 E 25th St, Baltimore, MD 21218</t>
  </si>
  <si>
    <t>(443) 449-0933</t>
  </si>
  <si>
    <t>Spirit Of Faith Deliverance Church</t>
  </si>
  <si>
    <t>Monday: Closed; Tuesday: 7:30 to 9 PM; Wednesday: Closed; Thursday: Closed; Friday: 7:30 to 10:30 PM; Saturday: Closed; Sunday: 10:30 AM to 3 PM</t>
  </si>
  <si>
    <t>A local church that holds regular worship services and community outreach; Google Maps reviews indicate staff/leadership have provided food assistance to individuals and run occasional food/meat giveaway events.</t>
  </si>
  <si>
    <t>https://tmeela.wixsite.com/spiritoffaithdeliver</t>
  </si>
  <si>
    <t>Google Maps reviewers repeatedly describe a welcoming, nonjudgmental church atmosphere and single out the pastor and leadership as personally supportive; several recent reviews specifically recount receiving food assistance or mention a monthly food/meat giveaway. Negative or neutral feedback is limited in number (one reviewer described attending a funeral) and does not contradict the pattern of community outreach described by other reviewers. Review text is available and relatively recent, supporting the summary.</t>
  </si>
  <si>
    <t>accepted google identity: 14.2/15; review volume: 20.2/30; review consistency: 4.2/7; review freshness: 6.1/8; verified website: 14.2/15; confirmed irs record: 0.0/20; source corroboration: 3.3/5; Synthesis metadata: medium (not part of numeric confidence)</t>
  </si>
  <si>
    <t>116 W Pennsylvania Ave, Towson, MD 21204</t>
  </si>
  <si>
    <t>(410) 296-4855</t>
  </si>
  <si>
    <t>Assistance Center of Towson Churches (ACTC)</t>
  </si>
  <si>
    <t>Food: groceries available every two weeks to people living in ACTC's service area; grocery pickup hours include Monday–Friday 10:00 a.m. to 2:00 p.m. and Wednesdays 4:00 p.m. to 7:00 p.m. (website). Emergency financial assistance: requests must be submitted via the organization's online jotform (no in-person meetings); volunteers are available to process requests on Tuesday/Wednesday/Thursday from 10:00 a.m. to 2:00 p.m. Assistance is limited to specified ZIP codes and is available one time only; applicants who received assistance since October 2020 are ineligible to receive additional help (website).</t>
  </si>
  <si>
    <t>Monday: 10 AM to 2 PM; Tuesday: 10 AM to 2 PM; Wednesday: 10 AM to 2 PM; Thursday: 10 AM to 2 PM; Friday: 10 AM to 2 PM; Saturday: Closed; Sunday: Closed</t>
  </si>
  <si>
    <t>A community assistance center that provides grocery distribution and meal services, limited emergency financial help for rental eviction or utility (BGE) bills, and referrals/limited homeless-support services (toiletries, weekend food, clothing referrals, and mail pickup) through partner organizations.</t>
  </si>
  <si>
    <t>http://www.actcserves.org/</t>
  </si>
  <si>
    <t>Google Maps reviewers repeatedly praise the staff and volunteers as friendly and helpful, and multiple reviewers specifically mention receiving food or rent assistance. Recurring concerns in the reviews include communication issues (a voicemail reported full) and uncertainty or delays in the application/process for rental assistance. The most recent reviews remain largely positive while a small number of reviewers report trouble with contacting or receiving timely updates from the center.</t>
  </si>
  <si>
    <t>accepted google identity: 14.2/15; review volume: 30.0/30; review consistency: 2.1/7; review freshness: 6.4/8; verified website: 14.2/15; confirmed irs record: 0.0/20; source corroboration: 3.3/5; Synthesis metadata: high (not part of numeric confidence)</t>
  </si>
  <si>
    <t>1407 Bolton St, Baltimore, MD 21217</t>
  </si>
  <si>
    <t>(410) 669-1229</t>
  </si>
  <si>
    <t>Samaritan Community</t>
  </si>
  <si>
    <t>Services are for individuals and families in Baltimore City; new visitors are interviewed by the Program Director and receive a personalized plan. Clothing shop use requires an appointment. Pantry hours and other program details are provided by phone; some pantry services are delivered to members' homes. (All access details are taken from the organization website and the Google Maps listing.)</t>
  </si>
  <si>
    <t>the third Saturday of the month from 9 to 11:30 a.m.</t>
  </si>
  <si>
    <t>A Baltimore City community organization that provides crisis-intervention supports and longer-term empowerment services, including a food pantry, a free clothing and household goods shop, case management, emergency financial stipends, counseling, and related enrichment activities.</t>
  </si>
  <si>
    <t>https://www.samaritancommunity.org/</t>
  </si>
  <si>
    <t>Google reviewers repeatedly report staff are helpful and caring and describe receiving food, clothing, and emergency financial help (including utility and rent-related assistance) as well as support for job-interview needs. There are very few negative comments in the review text sample and reviewers’ accounts emphasize the organization’s direct, practical assistance. The most recent reviews continue the same positive themes.</t>
  </si>
  <si>
    <t>accepted google identity: 14.2/15; review volume: 30.0/30; review consistency: 6.0/7; review freshness: 6.9/8; verified website: 14.2/15; confirmed irs record: 0.0/20; source corroboration: 3.3/5; Synthesis metadata: high (not part of numeric confidence)</t>
  </si>
  <si>
    <t>1542 N Gilmor St, Baltimore, MD 21217</t>
  </si>
  <si>
    <t>(410) 523-0061</t>
  </si>
  <si>
    <t>St.Gregory the Great Catholic Church - Food Distribution Center</t>
  </si>
  <si>
    <t>Reviewers report the pantry conducts food distribution events on Mondays and Thursdays (review text). The site has a wheelchair-accessible parking lot. No other eligibility, documentation, intake, or referral requirements were documented in the available evidence.</t>
  </si>
  <si>
    <t>Monday from 10 a.m. to 2 p.m. &amp; Thursday from 10 a.m. to 2 p.m., by appointment only. Requests for food are not accepted through email. Call for appointment.</t>
  </si>
  <si>
    <t>A local food distribution/pantry operating from a site associated with St. Gregory the Great that provides food to people in the community (listed as a food bank/food distribution center on its Google Maps profile).</t>
  </si>
  <si>
    <t>Google Maps reviewers consistently describe friendly, helpful staff and a dependable, positive local food distribution operation; several recent comments explicitly reference food distributions. There are few substantive negative comments in the fetched review sample, and the newest reviews continue the same positive tone. Public website attribution failed and there are no structured Google Maps opening hours, so some operational details are not corroborated by an official site listing.</t>
  </si>
  <si>
    <t>accepted google identity: 14.2/15; review volume: 20.5/30; review consistency: 5.8/7; review freshness: 6.9/8; verified website: 0.0/15; confirmed irs record: 0.0/20; source corroboration: 1.7/5; Synthesis metadata: medium (not part of numeric confidence)</t>
  </si>
  <si>
    <t>1609 Druid Hill Ave, Baltimore, MD 21217</t>
  </si>
  <si>
    <t>(410) 728-1600</t>
  </si>
  <si>
    <t>Druid Hill YMCA</t>
  </si>
  <si>
    <t>Many classes are open to Y members; some classes require tokens that are distributed at family centers after scanning in (tokens available no earlier than 30 minutes before class). The site lists separate "Stay &amp; Play" hours for family center childcare and specific scheduled hours for the Y Fresh Mart ( Fresh Mart operates on limited days/times).</t>
  </si>
  <si>
    <t>Monday: 6 AM to 9 PM; Tuesday: 6 AM to 9 PM; Wednesday: 6 AM to 9 PM; Thursday: 6 AM to 9 PM; Friday: 6 AM to 9 PM; Saturday: 8 AM to 5 PM; Sunday: Closed</t>
  </si>
  <si>
    <t>A Y (YMCA) family center at Druid Hill that operates a gym and fitness facility and offers member fitness programming (group exercise, small-group training, and personal training), swim and water-exercise lessons, therapeutic-exercise programs, and an on-site Y Fresh Mart market with limited hours.</t>
  </si>
  <si>
    <t>https://ymaryland.org/locations/druidhilly</t>
  </si>
  <si>
    <t>Google reviewers consistently mention good customer service, a clean and pleasant atmosphere, and that the facility is a solid community-centered place to exercise. A few reviewers raise cost concerns about membership pricing, but most recent reviews show the same generally positive tone. The facility's Google listing and the organization's location page corroborate published hours, on-site programs, and the presence of a Fresh Mart.</t>
  </si>
  <si>
    <t>accepted google identity: 14.2/15; review volume: 30.0/30; review consistency: 3.9/7; review freshness: 7.9/8; verified website: 14.2/15; confirmed irs record: 0.0/20; source corroboration: 3.3/5; Synthesis metadata: high (not part of numeric confidence)</t>
  </si>
  <si>
    <t>47950 Mattapany Rd, Lexington Park, MD 20653</t>
  </si>
  <si>
    <t>(301) 862-4600</t>
  </si>
  <si>
    <t>St. Cecilia Catholic Church</t>
  </si>
  <si>
    <t>Monday: Closed; Tuesday: 9 AM to 2 PM; Wednesday: 9 AM to 2 PM; Thursday: 9 AM to 2 PM; Friday: 9 AM to 2 PM; Saturday: Closed; Sunday: Closed</t>
  </si>
  <si>
    <t>A parish-run food pantry / food distribution program that provides non-perishable groceries and hygiene/household items to people in need from a physical location at the church.</t>
  </si>
  <si>
    <t>http://www.stceciliamd.org/</t>
  </si>
  <si>
    <t>Public Google Maps reviewers give the listing high ratings, but the fetched review sample contains only star ratings with no written comments, so reviewer feedback about user experience is unavailable or too thin to identify recurring themes. The organization’s official website explicitly lists a Food Pantry and item types requested (non-perishables and hygiene products), and the site and Google listing include contact details and published hours, corroborating that a physical food distribution service operates at this location. Because textual review detail is minimal, wider user-experience conclusions cannot be confidently drawn from reviews alone.</t>
  </si>
  <si>
    <t>accepted google identity: 14.2/15; review volume: 20.4/30; review consistency: 7.0/7; review freshness: 5.4/8; verified website: 14.2/15; confirmed irs record: 0.0/20; source corroboration: 3.3/5; Synthesis metadata: medium (not part of numeric confidence)</t>
  </si>
  <si>
    <t>2201 Garrison Blvd, Baltimore, MD 21216</t>
  </si>
  <si>
    <t>(410) 945-3575</t>
  </si>
  <si>
    <t>Mount Moriah Baptist Church - Food Distribution Center</t>
  </si>
  <si>
    <t>The listing indicates there is an eligibility requirement but does not specify the criteria, required documents, or intake/referral process; confirm eligibility and intake requirements with the provider.</t>
  </si>
  <si>
    <t>Monday: Closed; Tuesday: 8:30 to 10 AM; Wednesday: Closed; Thursday: Closed; Friday: 8:30 to 10 AM; Saturday: Closed; Sunday: Closed</t>
  </si>
  <si>
    <t>A church-based food distribution center that offers on-site food pantry services and provides grocery pickup and delivery options according to its Google Maps listing.</t>
  </si>
  <si>
    <t>There are no public Google reviews or review text available for this listing, so direct user-feedback about service quality is unavailable. The Google listing does provide a phone number and structured hours, which supports that the location is active, but independent corroboration beyond the Google entry is limited.</t>
  </si>
  <si>
    <t>accepted google identity: 14.2/15; review volume: 0.0/30; review consistency: 0.0/7; review freshness: 0.0/8; verified website: 0.0/15; confirmed irs record: 0.0/20; source corroboration: 1.7/5; Synthesis metadata: insufficient_evidence (not part of numeric confidence)</t>
  </si>
  <si>
    <t>3200 Walbrook Ave, Baltimore, MD 21216</t>
  </si>
  <si>
    <t>(410) 383-9633</t>
  </si>
  <si>
    <t>Trinity Presbyterian Church</t>
  </si>
  <si>
    <t>For more information about the pantry or to inquire about accessing services, contact the church office at (410) 383-9633 (as listed on the organization's website).</t>
  </si>
  <si>
    <t>The Food Pantry is open the last 2 Saturdays of the month. Hours of service are 10:00 am - 12:00 pm</t>
  </si>
  <si>
    <t>Trinity Presbyterian Church operates a community food pantry (The Nancy Bennett Food Pantry) that provides scheduled in-person food distribution at the church location in the Walbrook neighborhood of Baltimore.</t>
  </si>
  <si>
    <t>https://www.trinitypresbalt.org/</t>
  </si>
  <si>
    <t>The organization's official website explicitly describes and schedules the Nancy Bennett Food Pantry and gives a local contact number. A single recent Google review (sample) praises the congregation s neighborhood presence and mentions a pantry schedule; however, review feedback is extremely limited (one recent sample) so it is too thin to generalize about client experiences or service consistency. Website and map listings corroborate the existence of the pantry, though minor differences appear between the review text and the website about which Saturdays are used for distribution.</t>
  </si>
  <si>
    <t>accepted google identity: 14.2/15; review volume: 1.2/30; review consistency: 7.0/7; review freshness: 3.7/8; verified website: 14.2/15; confirmed irs record: 0.0/20; source corroboration: 3.3/5; Synthesis metadata: medium (not part of numeric confidence)</t>
  </si>
  <si>
    <t>5204 Liberty Heights Ave, Baltimore, MD 21207</t>
  </si>
  <si>
    <t>(410) 367-1117</t>
  </si>
  <si>
    <t>Concord Baptist Church - Food Distribution Center</t>
  </si>
  <si>
    <t>Proof of residence and photo ID.</t>
  </si>
  <si>
    <t>Tue: 8:30AM-10AM
Fri: 8:30AM-10AM</t>
  </si>
  <si>
    <t>A physical site listed on Google Maps as a food distribution center / food bank serving the local Baltimore neighborhood.</t>
  </si>
  <si>
    <t>Google Maps reviewers in the fetched sample are uniformly positive, with three recent 5-star ratings; the written comments are very short and provide little operational detail beyond a generally favorable impression. There are no negative reviews in the sample, but the small number of reviews and sparse text limit confidence about routine availability, eligibility rules, or schedules. Attempts to verify an official website failed and no registry match was found, so online corroboration beyond the Google listing is limited.</t>
  </si>
  <si>
    <t>accepted google identity: 14.2/15; review volume: 11.3/30; review consistency: 7.0/7; review freshness: 7.5/8; verified website: 0.0/15; confirmed irs record: 0.0/20; source corroboration: 1.7/5; Synthesis metadata: insufficient_evidence (not part of numeric confidence)</t>
  </si>
  <si>
    <t>3001 Baker St, Baltimore, MD 21216</t>
  </si>
  <si>
    <t>(410) 947-1863</t>
  </si>
  <si>
    <t>Whitestone Baptist Church</t>
  </si>
  <si>
    <t>none specified</t>
  </si>
  <si>
    <t>Monday: Closed; Tuesday: 9 AM to 3:30 PM; Wednesday: 9 AM to 3:30 PM; Thursday: 9 AM to 3:30 PM; Friday: 9 AM to 3:30 PM; Saturday: Closed; Sunday: Closed</t>
  </si>
  <si>
    <t>Operates an on-site food distribution (food pantry) that provides packaged food to community members through in-person distribution sessions.</t>
  </si>
  <si>
    <t>Local reviewers consistently report positive experiences with the site’s food distribution, describing helpful, polite staff and advising attendees to arrive early on distribution days. There are no recurring complaints in the fetched review sample; the most recent reviews remain positive and align with earlier feedback. A verified official website was not found in the available evidence, so online corroboration is limited to the map listing and reviewer reports.</t>
  </si>
  <si>
    <t>accepted google identity: 14.2/15; review volume: 26.4/30; review consistency: 5.8/7; review freshness: 7.0/8; verified website: 0.0/15; confirmed irs record: 0.0/20; source corroboration: 1.7/5; Synthesis metadata: medium (not part of numeric confidence)</t>
  </si>
  <si>
    <t>1020 W Lafayette Ave, Baltimore, MD 21217</t>
  </si>
  <si>
    <t>(410) 523-4588</t>
  </si>
  <si>
    <t>St. James Episcopal Church</t>
  </si>
  <si>
    <t>Website invitation to worship is stated on the site; Google Maps listing indicates wheelchair-accessible entrance, parking, and a wheelchair-accessible restroom. No eligibility rules, intake, referral, ID, or document requirements were evidenced.</t>
  </si>
  <si>
    <t>Worship with us every Sunday Morning at 9:30</t>
  </si>
  <si>
    <t>An Episcopal church that holds regular worship services at its Baltimore location and maintains an accessible church building. Public-facing information available online describes Sunday worship and contact details; no independent, evidence-backed information about a food pantry or other social-service programs was found in the supplied sources.</t>
  </si>
  <si>
    <t>http://www.stjamesonthesquare.org/</t>
  </si>
  <si>
    <t>Google Maps reviewers commonly praise the church itself and its historic character, and several reviewers explicitly recommend visiting. A recurring negative note in the textual reviews mentions lack of an indoor restroom; otherwise reviewers who left text are briefly positive. The most recent reviews in the fetched sample are largely positive but often contain no text, and the listing owner has not posted responses in the available review sample.</t>
  </si>
  <si>
    <t>accepted google identity: 14.2/15; review volume: 30.0/30; review consistency: 3.0/7; review freshness: 7.6/8; verified website: 14.2/15; confirmed irs record: 0.0/20; source corroboration: 3.3/5; Synthesis metadata: medium (not part of numeric confidence)</t>
  </si>
  <si>
    <t>8240 Loch Raven Blvd, Towson, MD 21286</t>
  </si>
  <si>
    <t>(410) 825-3314</t>
  </si>
  <si>
    <t>Babcock Presbyterian Church</t>
  </si>
  <si>
    <t>The congregation states it "opens our doors to all." Bible Study and Prayer meetings are offered via Zoom (website indicates a weekly Wednesday meeting and that a Meeting ID/passcode may be required and is provided on the site). No other eligibility, intake, or referral requirements are documented in the provided evidence.</t>
  </si>
  <si>
    <t>A local Presbyterian congregation that holds regular worship services, runs Bible study and prayer meetings (including a Wednesday evening Zoom meeting), streams services and events online, and operates a food ministry/food pantry serving the surrounding community.</t>
  </si>
  <si>
    <t>http://www.babcockpc.org/</t>
  </si>
  <si>
    <t>Google Maps reviewers frequently describe the church as welcoming and like a family, and longtime attendees report positive, personal experiences with the congregation. Reviewers also mention the pleasant facility and convenient location, and several note the church offers meetings and streamed services. Feedback about community service (notably the food pantry) appears in reviews but is limited and somewhat mixed in tone; overall, the newest reviews continue to reflect a positive impression of the congregation and its activities.</t>
  </si>
  <si>
    <t>accepted google identity: 14.2/15; review volume: 28.6/30; review consistency: 2.6/7; review freshness: 7.4/8; verified website: 14.2/15; confirmed irs record: 0.0/20; source corroboration: 3.3/5; Synthesis metadata: high (not part of numeric confidence)</t>
  </si>
  <si>
    <t>1300 N Eden St, Baltimore, MD 21213</t>
  </si>
  <si>
    <t>(410) 385-0900</t>
  </si>
  <si>
    <t>Knox Presbyterian Church</t>
  </si>
  <si>
    <t>none noted</t>
  </si>
  <si>
    <t>3rd Sat 9am-12pm</t>
  </si>
  <si>
    <t>A Presbyterian church at a physical location in Baltimore that maintains a published phone number and website; the site references ongoing ministries and weekly worship but does not list specific social programs or service details.</t>
  </si>
  <si>
    <t>http://knoxpcbaltimore.com/</t>
  </si>
  <si>
    <t>Google Maps reviewers give consistently positive ratings and the most recent reviews remain favorable; the one written comment in the fetched sample praises the service. Most of the fetched reviews contain no written text, so detailed qualitative information about visitor experiences and specific programs is limited. The listing shows a valid phone number and website, and the owner has not posted responses to the sampled reviews.</t>
  </si>
  <si>
    <t>accepted google identity: 14.2/15; review volume: 23.8/30; review consistency: 5.6/7; review freshness: 7.4/8; verified website: 14.2/15; confirmed irs record: 0.0/20; source corroboration: 3.3/5; Synthesis metadata: medium (not part of numeric confidence)</t>
  </si>
  <si>
    <t>817 N Mount St, Baltimore, MD 21217</t>
  </si>
  <si>
    <t>(410) 523-9082</t>
  </si>
  <si>
    <t>New Mt Zion Baptist Church</t>
  </si>
  <si>
    <t>The 2nd &amp; 4th Saturday of the month from 10 a.m. to 12 p.m. at Chapel located behind the main church building.</t>
  </si>
  <si>
    <t>A church location that operates an on-site food distribution/food pantry (listed as New Mount Zion Outreach - Food Distribution Center at the church address).</t>
  </si>
  <si>
    <t>Public Google Maps reviews are largely positive, with recurring praise for the pastor, friendly congregation, and community involvement. A small number of lower-rated reviews appear but commonly lack explanatory text; the newest reviews remain positive. The primary corroborating evidence is the Google Maps listing; no verified website or registry match was found, so external corroboration is limited.</t>
  </si>
  <si>
    <t>accepted google identity: 14.2/15; review volume: 28.3/30; review consistency: 4.0/7; review freshness: 5.9/8; verified website: 0.0/15; confirmed irs record: 0.0/20; source corroboration: 1.7/5; Synthesis metadata: medium (not part of numeric confidence)</t>
  </si>
  <si>
    <t>1401 N Milton Ave, Baltimore, MD 21213</t>
  </si>
  <si>
    <t>(443) 756-8162</t>
  </si>
  <si>
    <t>Angels Helping Angels</t>
  </si>
  <si>
    <t>the third Saturday of the month from 10:30 am–12:30 pm</t>
  </si>
  <si>
    <t>A local Baltimore organization that operates a food pantry/food distribution and, according to its website, provides housing-related support, clothing distribution, monetary (cash) assistance, and referral help to individuals and families in need.</t>
  </si>
  <si>
    <t>http://ahamd.org/index.php/contact-us</t>
  </si>
  <si>
    <t>Public review text is unavailable (the Google Maps listing has a single review with no written feedback), so there is no usable reviewer narrative to summarize. The organization’s official website is reachable and describes food distribution plus housing, clothing, monetary support, and referral services, and the Google Maps listing is active; however, the listing and website do not publish clear, up-to-date hours, intake steps, or documented eligibility requirements online. Because public review feedback is too thin and operational details are limited on the public pages, external confirmation of current day-to-day access is constrained.</t>
  </si>
  <si>
    <t>accepted google identity: 14.2/15; review volume: 5.0/30; review consistency: 7.0/7; review freshness: 1.3/8; verified website: 14.2/15; confirmed irs record: 0.0/20; source corroboration: 3.3/5; Synthesis metadata: medium (not part of numeric confidence)</t>
  </si>
  <si>
    <t>230 N Fulton Ave, Baltimore, MD 21223</t>
  </si>
  <si>
    <t>(410) 945-7923</t>
  </si>
  <si>
    <t>People's Church of Baltimore</t>
  </si>
  <si>
    <t>Wheelchair-accessible parking available; on-site restroom.</t>
  </si>
  <si>
    <t>10am-12pm Wed-Sat</t>
  </si>
  <si>
    <t>A Baptist church listed at 230 N Fulton Ave in Baltimore; the public listing identifies it as a local Baptist congregation and indicates on-site accessibility and restroom amenities.</t>
  </si>
  <si>
    <t>The primary public listing (Google Maps) identifies this location as a Baptist church and shows basic amenities, but no review text was fetched to describe visitor experiences. The organization’s claimed website could not be verified and there is no matching IRS nonprofit record in the available registry data, so independent corroboration is limited.</t>
  </si>
  <si>
    <t>accepted google identity: 14.2/15; review volume: 9.9/30; review consistency: 0.0/7; review freshness: 0.0/8; verified website: 0.0/15; confirmed irs record: 0.0/20; source corroboration: 1.7/5; Synthesis metadata: insufficient_evidence (not part of numeric confidence)</t>
  </si>
  <si>
    <t>7200 Harford Rd, Baltimore, MD 21234</t>
  </si>
  <si>
    <t>(410) 444-1595</t>
  </si>
  <si>
    <t>friendship outreach center</t>
  </si>
  <si>
    <t>Offers referrals and limited financial assistance for clients facing eviction and BGE turnoffs when funding is available. Serves people described as “in need.” No other eligibility, documentation, intake, or referral requirements are stated in the available evidence.</t>
  </si>
  <si>
    <t>Monday: Closed; Tuesday: 10 to 11:30 AM; Wednesday: 10 to 11:30 AM; Thursday: 10 to 11:30 AM; Friday: Closed; Saturday: Closed; Sunday: Closed</t>
  </si>
  <si>
    <t>A community-based food hub that distributes free food to people in need and provides referrals; when funding is available it also offers limited financial assistance to clients facing eviction and BGE utility turnoffs.</t>
  </si>
  <si>
    <t>Google Maps reviewers repeatedly praise the staff’s kindness and helpfulness and report receiving useful food assistance. Several recent reviews echo those positive experiences. A minority of reviewers report inconsistent hours or arriving when the organization appeared closed despite posted times, indicating occasional reliability issues.</t>
  </si>
  <si>
    <t>accepted google identity: 14.2/15; review volume: 29.6/30; review consistency: 3.2/7; review freshness: 7.6/8; verified website: 0.0/15; confirmed irs record: 0.0/20; source corroboration: 1.7/5; Synthesis metadata: medium (not part of numeric confidence)</t>
  </si>
  <si>
    <t>2031 W Baltimore St, Baltimore, MD 21223</t>
  </si>
  <si>
    <t>(410) 233-8558</t>
  </si>
  <si>
    <t>The Central Baptist Church of Baltimore City</t>
  </si>
  <si>
    <t>Free community food distribution; held in front of the church. No eligibility documentation, referral, or intake requirements are stated in the available sources.</t>
  </si>
  <si>
    <t>FREE Community Food Distribution — Tuesday &amp; Thursdays, 2:00 PM (in front of the church)
Next Sunday Service — 9:45 AM
Church School — Saturdays, 11:00 AM until 12:00 PM
Adult S.E.E.D. Curriculum — Sundays, 8:15 AM</t>
  </si>
  <si>
    <t>A church-based community center (Gift of Love Center at Central Baptist Church) that operates a free community food pantry/food distribution and also hosts regular worship services and church educational programs.</t>
  </si>
  <si>
    <t>http://www.thecentralbaptistchurch.org/</t>
  </si>
  <si>
    <t>Google reviewers consistently praise the location’s food assistance and the supportive, community-oriented staff/volunteers, and several reviewers recount positive spiritual or personal support experiences. There are very few lower-rated or non-detailed reviews and no recurring service complaints visible in the fetched sample. The most recent reviews remain positive and align with the general pattern of community support.</t>
  </si>
  <si>
    <t>accepted google identity: 14.2/15; review volume: 25.2/30; review consistency: 4.3/7; review freshness: 7.5/8; verified website: 14.2/15; confirmed irs record: 0.0/20; source corroboration: 3.3/5; Synthesis metadata: high (not part of numeric confidence)</t>
  </si>
  <si>
    <t>120 N Front St, Baltimore, MD 21202</t>
  </si>
  <si>
    <t>(410) 962-5078</t>
  </si>
  <si>
    <t>St. Vincent de Paul Church</t>
  </si>
  <si>
    <t>Military Veterans Only</t>
  </si>
  <si>
    <t>Monday: 9:30 AM to 4:30 PM; Tuesday: 9:30 AM to 4:30 PM; Wednesday: 9:30 AM to 4:30 PM; Thursday: 9:30 AM to 4:30 PM; Friday: Closed; Saturday: Closed; Sunday: 9 to 10:30 AM</t>
  </si>
  <si>
    <t>St. Vincent de Paul Church in Baltimore operates parish ministries that include an on-site food distribution/food pantry (Saint Vincent’s Emergency Services / Food Distribution Center) and other community service programs such as a resource exchange, Friday night dinners, and a men’s clothing ministry.</t>
  </si>
  <si>
    <t>http://www.stvchurch.org/</t>
  </si>
  <si>
    <t>Google Maps reviewers most often highlight a warm, community-oriented parish with friendly and caring volunteers and positive experiences of parish-run meals and services. A smaller number of reviews express neutral or mild criticisms about worship style or other personal preferences, but complaints are infrequent. Recent reviews show a similar mix of appreciation with occasional neutral notes, indicating consistent user sentiment over time.</t>
  </si>
  <si>
    <t>accepted google identity: 14.2/15; review volume: 30.0/30; review consistency: 4.6/7; review freshness: 7.9/8; verified website: 14.2/15; confirmed irs record: 0.0/20; source corroboration: 3.3/5; Synthesis metadata: high (not part of numeric confidence)</t>
  </si>
  <si>
    <t>4 S Gay St, Baltimore, MD 21202</t>
  </si>
  <si>
    <t>(410) 685-5252</t>
  </si>
  <si>
    <t>Grace and Hope Mission - Food Distribution Center</t>
  </si>
  <si>
    <t>Appointment required; eligibility required.</t>
  </si>
  <si>
    <t>Monday: 3 to 5 PM; Tuesday: 3 to 5 PM; Wednesday: Closed; Thursday: 3 to 5 PM; Friday: 3 to 5 PM; Saturday: Closed; Sunday: Closed</t>
  </si>
  <si>
    <t>A physical food distribution site that, per its Google Maps profile, offers grocery pickup/food distribution and accepts food and monetary donations.</t>
  </si>
  <si>
    <t>The Google Maps listing provides structured hours, a phone number, and notes that services are by appointment and subject to eligibility requirements, but there is no verified website or registry match to corroborate those details. Public feedback is extremely limited: the available reviewer comment is a short positive remark expressing gratitude and gives no operational detail. Given the sparse corroboration, callers should confirm hours and intake procedures by phone before relying on the listing.</t>
  </si>
  <si>
    <t>accepted google identity: 14.2/15; review volume: 7.3/30; review consistency: 7.0/7; review freshness: 5.2/8; verified website: 0.0/15; confirmed irs record: 0.0/20; source corroboration: 1.7/5; Synthesis metadata: insufficient_evidence (not part of numeric confidence)</t>
  </si>
  <si>
    <t>219 N Chester St, Baltimore, MD 21231</t>
  </si>
  <si>
    <t>(410) 675-3288</t>
  </si>
  <si>
    <t>The Door Food Pantry - Food Distribution Center</t>
  </si>
  <si>
    <t>The Google listing indicates there is an eligibility requirement but does not provide details about who qualifies or what documentation is needed.</t>
  </si>
  <si>
    <t>Monday: Closed; Tuesday: 11 AM to 12 PM; Wednesday: Closed; Thursday: 11 AM to 12 PM; Friday: Closed; Saturday: Closed; Sunday: Closed</t>
  </si>
  <si>
    <t>In-person food distribution (food pantry) that offers on-site grocery pickup and distributes pantry items including frozen meat according to the listing and reviewer reports.</t>
  </si>
  <si>
    <t>Google reviewer feedback is generally positive: reviewers commonly note availability of pantry items and frozen meat and describe the organization as a helpful neighborhood resource. A minority of reviews are lower-rated or provide little detail, so some concerns are reported but not described. The Google listing supplies hours and service options, but no independent website verification or registry match was found to further corroborate official status.</t>
  </si>
  <si>
    <t>accepted google identity: 14.2/15; review volume: 18.0/30; review consistency: 2.8/7; review freshness: 6.9/8; verified website: 0.0/15; confirmed irs record: 0.0/20; source corroboration: 1.7/5; Synthesis metadata: medium (not part of numeric confidence)</t>
  </si>
  <si>
    <t>4301 Raspe Ave, Baltimore, MD 21206</t>
  </si>
  <si>
    <t>(410) 485-7654</t>
  </si>
  <si>
    <t>Epiphany Lutheran</t>
  </si>
  <si>
    <t>Worship services are open to all; the website states Holy Communion is offered at most services and everyone is invited. Google Maps indicates wheelchair-accessible entrance, parking, and restrooms. Reviewers report volunteer-run food/clothing distributions; no documented intake, referral, eligibility paperwork, or registration process is provided in the available sources.</t>
  </si>
  <si>
    <t>Monday: 9 AM to 3:30 PM; Tuesday: 9 AM to 3:30 PM; Wednesday: 9 AM to 3:30 PM, 6 to 7:30 PM; Thursday: 9 AM to 3:30 PM; Friday: 9 AM to 3:30 PM; Saturday: 5 to 6 PM; Sunday: 9 to 10 AM, 10:30 AM to 12 PM</t>
  </si>
  <si>
    <t>A local Lutheran congregation that holds regular in-person worship services and community activities. Reviewers report the congregation is welcoming and that volunteers operate periodic distributions of food, clothing, and toys for people in need.</t>
  </si>
  <si>
    <t>http://www.god-is-love.org/</t>
  </si>
  <si>
    <t>Reviewers repeatedly describe the congregation and staff as welcoming and supportive, and multiple reviewers describe volunteering and service activities that provide food and clothing to community members. There is at least one detailed negative report about a volunteer’s behavior and customer-service interactions, indicating an isolated but notable concern. The most recent reviews trend positive, and the organization’s identity is corroborated by a current registry match and a church website that lists worship schedule details.</t>
  </si>
  <si>
    <t>accepted google identity: 14.2/15; review volume: 27.6/30; review consistency: 3.5/7; review freshness: 5.2/8; verified website: 14.2/15; confirmed irs record: 20.0/20; source corroboration: 5.0/5; Synthesis metadata: high (not part of numeric confidence)</t>
  </si>
  <si>
    <t>2612 Wilkens Ave, Baltimore, MD 21223</t>
  </si>
  <si>
    <t>(410) 947-4988</t>
  </si>
  <si>
    <t>Benedict's Pantry</t>
  </si>
  <si>
    <t>Website states the pantry runs monthly distributions (4th Saturday of every month, 10am–12pm). The site notes an eligibility requirement but does not specify details. The website lists a contact for inquiries; Google Maps also shows Saturday hours and indicates grocery pickup is offered.</t>
  </si>
  <si>
    <t>Monday: Closed; Tuesday: Closed; Wednesday: Closed; Thursday: Closed; Friday: Closed; Saturday: 10 AM to 12 PM; Sunday: Closed</t>
  </si>
  <si>
    <t>A neighborhood pantry program operating from the Saint Benedict Neighborhood Center that provides food distribution and also helps people with clothing and household essentials through monthly pantry events and seasonal/holiday outreach.</t>
  </si>
  <si>
    <t>http://www.saintbenedict.org/guilds-and-organizations</t>
  </si>
  <si>
    <t>Available public review text is positive and describes the pantry helping with food, clothing, and household items; no recurring complaints appear in the small sample. The Saint Benedict Neighborhood Center website describes Benedict’s Pantry, monthly (4th-Saturday) pantry distributions, and seasonal outreach, which corroborates the listing. However, the online footprint is limited to the listing, the site content, and very few public reviews, and an IRS registry search did not return a match, so independent confirmation beyond these sources is limited.</t>
  </si>
  <si>
    <t>accepted google identity: 14.2/15; review volume: 7.3/30; review consistency: 7.0/7; review freshness: 6.6/8; verified website: 14.2/15; confirmed irs record: 0.0/20; source corroboration: 3.3/5; Synthesis metadata: medium (not part of numeric confidence)</t>
  </si>
  <si>
    <t>360 S Dukeland St, Baltimore, MD 21223</t>
  </si>
  <si>
    <t>(410) 233-1604</t>
  </si>
  <si>
    <t>The Pillar Worship Center</t>
  </si>
  <si>
    <t>Every  Friday 01:00 PM - 04:00 PM. by appointment. call ahead</t>
  </si>
  <si>
    <t>A place of worship listed as a church at 360 S Dukeland St in Baltimore. Google Maps reviewers describe it as community-oriented and a welcoming church home for local families, but publicly available information about specific programs or intake procedures is limited.</t>
  </si>
  <si>
    <t>Google Maps reviewers consistently portray the site as a welcoming, community-oriented church and emphasize support for local families; sampled reviews contain positive statements and no recurring complaints. The most recent reviews are brief or contain no text, so reviewer detail is limited despite a high average rating. The listing includes a phone number and accessibility/restroom notes, but no verified website or independent registry match was found, so corroborating information is sparse.</t>
  </si>
  <si>
    <t>accepted google identity: 13.5/15; review volume: 16.9/30; review consistency: 7.0/7; review freshness: 3.7/8; verified website: 0.0/15; confirmed irs record: 0.0/20; source corroboration: 1.7/5; Synthesis metadata: insufficient_evidence (not part of numeric confidence)</t>
  </si>
  <si>
    <t>A local church operating a physical worship site in Baltimore; Google Maps listing and reviewer comments indicate it functions as a place of worship and is active in serving its local community and families. The listing also shows on-site restroom facilities and a wheelchair-accessible parking lot.</t>
  </si>
  <si>
    <t>Public Google Maps reviews are uniformly positive and describe the site as a welcoming church that supports local families and community members; reviewers praise community involvement and recommend it as a church home. Review text is limited (only one substantive review sentence and several very short or empty reviews), so reported themes are based on a small sample. Google Maps listing shows contact phone, accessibility and restroom amenities but no published hours or verified website.</t>
  </si>
  <si>
    <t>accepted google identity: 13.5/15; review volume: 16.9/30; review consistency: 7.0/7; review freshness: 3.7/8; verified website: 0.0/15; confirmed irs record: 0.0/20; source corroboration: 1.7/5; Synthesis metadata: medium (not part of numeric confidence)</t>
  </si>
  <si>
    <t>5401 Frankford Ave, Baltimore, MD 21206</t>
  </si>
  <si>
    <t>(410) 488-5650</t>
  </si>
  <si>
    <t>Macedonia Project - Food Distribution Center</t>
  </si>
  <si>
    <t>ID required
Proof of address required</t>
  </si>
  <si>
    <t>Monday: Closed; Tuesday: 11 AM to 1 PM; Wednesday: Closed; Thursday: 11 AM to 1 PM; Friday: Closed; Saturday: Closed; Sunday: Closed</t>
  </si>
  <si>
    <t>A neighborhood food distribution center that provides grocery items and meal-service style distributions (Google Maps lists grocery pickup and meal service options).</t>
  </si>
  <si>
    <t>https://www.newcreation-md.org/our-community/macedonia-project/</t>
  </si>
  <si>
    <t>Google Maps users describe receiving generous portions, including multiple meat items and products for children, and they comment on friendly staff. The review sample is very small and includes one low-star rating that contains positive text, so the numeric rating is not well supported by review content alone. The organization's website page linked from the listing returns a “page not found,” so online details are unavailable and cannot corroborate the listing.</t>
  </si>
  <si>
    <t>accepted google identity: 14.2/15; review volume: 8.5/30; review consistency: 0.0/7; review freshness: 3.6/8; verified website: 14.2/15; confirmed irs record: 0.0/20; source corroboration: 3.3/5; Synthesis metadata: medium (not part of numeric confidence)</t>
  </si>
  <si>
    <t>141 S Clinton St, Baltimore, MD 21224</t>
  </si>
  <si>
    <t>(410) 675-5616</t>
  </si>
  <si>
    <t>Breath of God Lutheran Church</t>
  </si>
  <si>
    <t>Worship and most programming are open to all with no entrance requirements; Holy Communion is available to worship attendees. Some services and prayer opportunities are offered online (Zoom and YouTube). The congregation describes bilingual (English/Spanish) worship and a Prayground resource for families with young children. No evidence of client intake, referral, documentation, or enrollment requirements for these activities was found.</t>
  </si>
  <si>
    <t>Weekly Sunday worship with Holy Communion at 10:30am (in sanctuary and via Zoom/YouTube). Morning Prayer at 9:00am on Tuesday and Friday (on Zoom and Facebook Live). "Lively" worship for children normally every two weeks (check calendar). Stoop Worship: first Saturday of the month, 8:00pm, May through October. Mid-week prayer services: Wednesdays at 7:00pm in December (check calendar for specifics).</t>
  </si>
  <si>
    <t>A progressive, multi-cultural Lutheran congregation that holds regular in-person worship and prayer services, livestreams worship, and organizes volunteer/service opportunities in the neighborhood. The congregation emphasizes an inclusive, welcoming community and offers programming for children and families.</t>
  </si>
  <si>
    <t>http://www.breathofgodlc.org/</t>
  </si>
  <si>
    <t>Google reviewers consistently describe the congregation as welcoming, community-focused, and active in local service; several reviewers specifically note inclusive practices toward queer and trans people and praise opportunities to volunteer. Reviewers also mention family-focused programming and an attached preschool. The most recent reviews in the fetched sample are short or have no text, so they do not materially change the themes evident in earlier, detailed reviews.</t>
  </si>
  <si>
    <t>accepted google identity: 14.2/15; review volume: 23.3/30; review consistency: 5.8/7; review freshness: 3.4/8; verified website: 14.2/15; confirmed irs record: 0.0/20; source corroboration: 3.3/5; Synthesis metadata: high (not part of numeric confidence)</t>
  </si>
  <si>
    <t>8910 Waltham Woods Rd #2404, Parkville, MD 21234</t>
  </si>
  <si>
    <t>(410) 663-1300</t>
  </si>
  <si>
    <t>The Y in Parkville</t>
  </si>
  <si>
    <t>Many programs and classes are offered to Y members; the site states some outdoor or select classes require tokens that are distributed at Y family centers after you scan in (tokens distributed no earlier than 30 minutes before class and given to the instructor). The Parkville location publishes Stay &amp; Play childcare hours and a separate Y Fresh Mart schedule. (Access and program details as stated on the official site and Google listing.)</t>
  </si>
  <si>
    <t>Monday: 5 AM to 10 PM; Tuesday: 5 AM to 10 PM; Wednesday: 5 AM to 10 PM; Thursday: 5 AM to 10 PM; Friday: 5 AM to 10 PM; Saturday: 7 AM to 7 PM; Sunday: 7 AM to 7 PM</t>
  </si>
  <si>
    <t>A full-service Y family center providing on-site gym and fitness facilities, instructor-led group exercise and small-group training, personal training, aquatics programming (swim lessons and water exercise), childcare during workout times (Stay &amp; Play), and other community programs and volunteer opportunities.</t>
  </si>
  <si>
    <t>https://ymaryland.org/locations/parkvilley</t>
  </si>
  <si>
    <t>Reviewers commonly praise friendly, attentive staff, clean facilities, affordable membership options, a wide variety of group classes, on-site childcare, and community-oriented programs. Recurring concerns reported by guests include crowding or scheduling conflicts for gym space and courts, and occasional staff communication or guest check-in problems. Recent reviews continue to reflect this mix of positive feedback and occasional operational complaints, and management appears to engage with reviewers in responses.</t>
  </si>
  <si>
    <t>accepted google identity: 14.2/15; review volume: 30.0/30; review consistency: 2.9/7; review freshness: 8.0/8; verified website: 14.2/15; confirmed irs record: 0.0/20; source corroboration: 3.3/5; Synthesis metadata: high (not part of numeric confidence)</t>
  </si>
  <si>
    <t>6000 Radecke Ave Suite 202, Baltimore, MD 21206</t>
  </si>
  <si>
    <t>(443) 573-1370</t>
  </si>
  <si>
    <t>Mount Pleasant Development Corporation</t>
  </si>
  <si>
    <t>First come, first serve: open until food runs out</t>
  </si>
  <si>
    <t>A community organization that says it provides educational, recreational, and social activities intended to support holistic development in the neighborhood.</t>
  </si>
  <si>
    <t>http://mpdcorp.org/</t>
  </si>
  <si>
    <t>Available evidence is limited. The organization's own listing and website describe community-oriented educational, recreational, and social programming, but there is little additional corroboration. A single recent Google Maps reviewer reports attending a food-distribution event and describes severe quality and customer-service problems; that single review is strongly negative and there are no other public reviews to show whether this reflects a wider pattern. The entity has a reachable website (minimal content) and a Google Maps profile with published hours, but registry records do not corroborate organizational status.</t>
  </si>
  <si>
    <t>accepted google identity: 13.5/15; review volume: 5.0/30; review consistency: 7.0/7; review freshness: 5.9/8; verified website: 13.5/15; confirmed irs record: 0.0/20; source corroboration: 3.3/5; Synthesis metadata: insufficient_evidence (not part of numeric confidence)</t>
  </si>
  <si>
    <t>1777 Reisterstown Rd #199, Pikesville, MD 21208</t>
  </si>
  <si>
    <t>(410) 764-9400</t>
  </si>
  <si>
    <t>Baltimore Vet Center</t>
  </si>
  <si>
    <t>Services are available to Veterans, service members, and their families at no cost. You do not need to be registered for VA care or rated for a service‑connected disability to use Vet Center services. On first visit staff will look for documents such as discharge papers (e.g., DD214), deployment orders, or other proof of qualifying military service, but the center can work with you if you don’t have these documents. Call to schedule an appointment; some services are available walk‑in for people in crisis and non‑traditional hours may be available on request.</t>
  </si>
  <si>
    <t>Confidential, no‑cost counseling and outreach in a non‑medical, community setting for Veterans, service members, and their families. Services include individual, couples, and group counseling and support for issues such as PTSD, military sexual trauma, depression, bereavement, and transition-related needs, and staff can connect people with VA and community resources.</t>
  </si>
  <si>
    <t>https://www.va.gov/baltimore-vet-center/</t>
  </si>
  <si>
    <t>Google Maps review feedback is limited but historically leans positive; however, the most recent posted review is strongly negative and alleges repeated failures of staff follow‑up and that the center referred the reviewer elsewhere. The listing’s recent complaint has no visible owner response. Given the small amount of available public review text, these signals are mixed and users should consider calling or confirming availability before relying on a specific service.</t>
  </si>
  <si>
    <t>accepted google identity: 14.2/15; review volume: 11.1/30; review consistency: 7.0/7; review freshness: 5.5/8; verified website: 14.2/15; confirmed irs record: 0.0/20; source corroboration: 3.3/5; Synthesis metadata: high (not part of numeric confidence)</t>
  </si>
  <si>
    <t>3901 Loch Raven Blvd, Baltimore, MD 21218</t>
  </si>
  <si>
    <t>Loch Raven VA Medical Center - VA Maryland Health Care System</t>
  </si>
  <si>
    <t>Eligibility: services are described as serving Maryland's Veterans. No other intake, documentation, or referral requirements were evidenced.</t>
  </si>
  <si>
    <t>A Veterans Affairs medical center providing inpatient and outpatient medical care, rehabilitation and skilled nursing (including hospice and nursing-home care), and a broad range of outpatient specialty services such as mental health, optometry, dermatology, podiatry, audiology, radiology, women’s health, and diver’s rehabilitation.</t>
  </si>
  <si>
    <t>Google reviewers commonly praise staff professionalism, the prosthetics lab, and caring clinical teams; several reviewers describe the facility as clean and staffed by capable clinicians. Recurring negative comments relate to appointment scheduling delays, long waits, medication-access problems, and some serious facility and food-service concerns raised by individual reviewers. The newest reviews include positive accounts, so recent feedback does not uniformly reflect the older critical reports.</t>
  </si>
  <si>
    <t>accepted google identity: 14.2/15; review volume: 28.8/30; review consistency: 1.8/7; review freshness: 7.3/8; verified website: 0.0/15; confirmed irs record: 0.0/20; source corroboration: 1.7/5; Synthesis metadata: medium (not part of numeric confidence)</t>
  </si>
  <si>
    <t>301 S Central Ave, Baltimore, MD 21202</t>
  </si>
  <si>
    <t>(443) 780-1375</t>
  </si>
  <si>
    <t>NCIA Herbert J. Hoelter Professional Training Center</t>
  </si>
  <si>
    <t>Veterans eligible for VA benefits</t>
  </si>
  <si>
    <t>A physical training center in Baltimore that provides vocational training, career-preparation and employment support, along with residential and individualized support services for people facing barriers to employment and independent living.</t>
  </si>
  <si>
    <t>https://www.ncianet.org/</t>
  </si>
  <si>
    <t>Google Maps reviewers consistently praise knowledgeable, supportive instructors and thorough training that helped trainees prepare for careers; one reviewer specifically reported feeling "like family" and being prepared for a CDL career. The fetched review sample contains no substantive recurring complaints, and several recent entries are positive (many recent reviews are without text). Website content corroborates program offerings and populations served, and the listing shows accessible hours and contact details, supporting operational status.</t>
  </si>
  <si>
    <t>accepted google identity: 14.2/15; review volume: 24.3/30; review consistency: 5.7/7; review freshness: 4.4/8; verified website: 14.2/15; confirmed irs record: 0.0/20; source corroboration: 3.3/5; Synthesis metadata: high (not part of numeric confidence)</t>
  </si>
  <si>
    <t>949 Gorsuch Ave, Baltimore, MD 21218</t>
  </si>
  <si>
    <t>(410) 467-4121</t>
  </si>
  <si>
    <t>Marian House</t>
  </si>
  <si>
    <t>Programs are for women (and their children) seeking housing and rehabilitative services and describe a multi-phase, two-year rehabilitation track for women who are capable of and committed to changing their lives. Specific intake steps, documentation requirements, referral pathways, and eligibility screening are not detailed in the available evidence; contact with the organization is required for admission details.</t>
  </si>
  <si>
    <t>Monday: Open 24 hours; Tuesday: Open 24 hours; Wednesday: Open 24 hours; Thursday: Open 24 hours; Friday: Open 24 hours; Saturday: Closed; Sunday: Closed</t>
  </si>
  <si>
    <t>Marian House operates a residential rehabilitation program offering safe, sober housing and wraparound supportive services for women and their children, including job-readiness and employment partnership supports to help residents transition to stable, independent living.</t>
  </si>
  <si>
    <t>http://www.marianhouse.org/</t>
  </si>
  <si>
    <t>Public Google reviews consistently praise staff engagement and describe the organization as life-changing for many residents, noting strong personal support and program outcomes. A small number of reviewers express concerns about resource limits or uncertainty about whether the organization can help specific cases, indicating occasional gaps in perceived access or available services. The most recent reviews continue to be positive in tone, suggesting that recent feedback aligns with the longstanding pattern of supportive experiences.</t>
  </si>
  <si>
    <t>accepted google identity: 14.2/15; review volume: 30.0/30; review consistency: 2.7/7; review freshness: 7.5/8; verified website: 14.2/15; confirmed irs record: 20.0/20; source corroboration: 5.0/5; Synthesis metadata: high (not part of numeric confidence)</t>
  </si>
  <si>
    <t>2901 Druid Park Dr # 112, Baltimore, MD 21215</t>
  </si>
  <si>
    <t>(410) 728-1292</t>
  </si>
  <si>
    <t>Soul Harvest Church-Ministries</t>
  </si>
  <si>
    <t>Call ahead; program-specific eligibility</t>
  </si>
  <si>
    <t>Sunday Worship Service – 11:00 AM
Holy Communion Service – 11:00 AM (Every 1st Sunday)
Tuesday Bible Study – 07:00 PM</t>
  </si>
  <si>
    <t>A local church that holds regular worship services and Bible study and runs community programs described on its website, including an emergency food distribution/Harvest Food Pantry, holiday meal and toy drives, summer enrichment for children, and youth employment opportunities.</t>
  </si>
  <si>
    <t>https://thesoulharvestchurch.org/</t>
  </si>
  <si>
    <t>Written review text from Google Maps was unavailable or too thin to extract recurring positive themes or complaints; the fetched review sample contains star ratings but no written comments. The organization has an active, reachable website that describes the church services and several community programs (food distribution/pantry, holiday meal and toy drives, youth programs), and the Google Maps listing and website contact details corroborate each other. Registrar/IRS records were not found in the provided registry data, so identity relies on the live website and the Google Maps listing.</t>
  </si>
  <si>
    <t>accepted google identity: 14.2/15; review volume: 22.8/30; review consistency: 4.0/7; review freshness: 5.3/8; verified website: 14.2/15; confirmed irs record: 0.0/20; source corroboration: 3.3/5; Synthesis metadata: medium (not part of numeric confidence)</t>
  </si>
  <si>
    <t>3600 N Rogers Ave, Baltimore, MD 21207</t>
  </si>
  <si>
    <t>(410) 448-1215</t>
  </si>
  <si>
    <t>Trinity New Birth International Christian</t>
  </si>
  <si>
    <t>Women; intake required</t>
  </si>
  <si>
    <t>Residential; office hours vary</t>
  </si>
  <si>
    <t>A physical church location in Baltimore identified on Google Maps. The listing includes a contact phone number and notes several accessibility features (wheelchair-accessible entrance, parking, and restroom). No verified official website or published hours were found in the available evidence.</t>
  </si>
  <si>
    <t>Public review text was effectively unavailable: the fetched Google Maps reviews are all high-star entries but contain no reviewer comments, so there is little qualitative feedback to summarize. The Google Maps listing appears active and reports accessibility features and a contact phone, but no verified website or published hours were found, limiting online corroboration.</t>
  </si>
  <si>
    <t>accepted google identity: 14.2/15; review volume: 18.4/30; review consistency: 7.0/7; review freshness: 3.6/8; verified website: 0.0/15; confirmed irs record: 0.0/20; source corroboration: 1.7/5; Synthesis metadata: insufficient_evidence (not part of numeric confidence)</t>
  </si>
  <si>
    <t>5110 Frederick Ave, Baltimore, MD 21229</t>
  </si>
  <si>
    <t>(410) 525-3500</t>
  </si>
  <si>
    <t>Stillmeadow Food Pantry - Food Distribution Center</t>
  </si>
  <si>
    <t>Supplies are limited; distribution is while supplies last and may be weather-permitting. No other eligibility, documentation, referral, or intake requirements were stated in the available sources.</t>
  </si>
  <si>
    <t>Monday: Closed; Tuesday: Closed; Wednesday: Closed; Thursday: 12 to 1:30 PM; Friday: Closed; Saturday: Closed; Sunday: Closed</t>
  </si>
  <si>
    <t>A local food distribution center that operates a food pantry with limited supplies and offers grocery pickup as a service option. Operations are run from a community fellowship location and may be weather-dependent.</t>
  </si>
  <si>
    <t>https://stillmeadowcommunity.squarespace.com/food-pantry</t>
  </si>
  <si>
    <t>Public review text was unavailable or too thin to describe user experiences beyond the presence of a single positive rating. The Google Maps listing includes structured hours, a contact phone number, and an owner note that supplies are limited; however, the linked website page returns an expired/404 page. There is limited corroborating information beyond the Maps listing, so operational details are only partially supported.</t>
  </si>
  <si>
    <t>accepted google identity: 14.2/15; review volume: 5.0/30; review consistency: 7.0/7; review freshness: 1.5/8; verified website: 14.2/15; confirmed irs record: 0.0/20; source corroboration: 3.3/5; Synthesis metadata: medium (not part of numeric confidence)</t>
  </si>
  <si>
    <t>1708 Whitehead Rd Suite 101, Woodlawn, MD 21207</t>
  </si>
  <si>
    <t>(866) 354-0102</t>
  </si>
  <si>
    <t>ICNA Relief Maryland</t>
  </si>
  <si>
    <t>The Maryland page states services are provided free to people in the state. Transitional House programs list specific ineligibilities: individuals with severe mental-health concerns, those requiring convalescent/nursing care, active substance abusers, and (except for designated DV shelters) victims fleeing violent relationships; a psychological evaluation may be required to determine eligibility. Hunger-prevention programs may close on federal holidays. For program-specific intake and scheduling the Maryland office contact information is listed on the site.</t>
  </si>
  <si>
    <t>Monday: Closed; Tuesday: 10 AM to 4 PM; Wednesday: 10 AM to 4 PM; Thursday: 10 AM to 4 PM; Friday: 10 AM to 4 PM; Saturday: 10 AM to 4 PM; Sunday: Closed</t>
  </si>
  <si>
    <t>ICNA Relief Maryland operates a physical area office that provides community relief programs across the state, including hunger-prevention services (food pantry and related distributions), refugee support and resettlement assistance, mobile/basic health clinic services, family counseling/Muslim family services, transitional housing for women and children, disaster-relief activities, and volunteer programs. Services are described on the organization’s Maryland web page and the Google Maps listing for the Woodlawn office.</t>
  </si>
  <si>
    <t>https://icnarelief.org/maryland/</t>
  </si>
  <si>
    <t>Google reviewers are uniformly positive but the written feedback is sparse: most reviews contain no text and the few comments praise the work. There are no recurring complaints or negative experiences reported in the available review text. The most recent reviews are consistent with earlier ones, and the Google listing is corroborated by the organization’s Maryland webpage.</t>
  </si>
  <si>
    <t>accepted google identity: 13.5/15; review volume: 25.7/30; review consistency: 7.0/7; review freshness: 7.3/8; verified website: 13.5/15; confirmed irs record: 0.0/20; source corroboration: 3.3/5; Synthesis metadata: high (not part of numeric confidence)</t>
  </si>
  <si>
    <t>7222 Ambassador Rd, Windsor Mill, MD 21244</t>
  </si>
  <si>
    <t>(410) 498-8200</t>
  </si>
  <si>
    <t>Woodlawn Park Church of Christ</t>
  </si>
  <si>
    <t>Monday: 6 to 8:30 PM; Tuesday: 6:30 to 9 PM; Wednesday: 10:30 AM to 1 PM, 6 to 9 PM; Thursday: Closed; Friday: Closed; Saturday: 11 AM to 2 PM; Sunday: 8 AM to 2 PM</t>
  </si>
  <si>
    <t>A local church that holds regular worship services and Bible study and promotes community-focused fellowship and outreach. The physical site is marked as wheelchair-accessible and provides on-site restroom facilities.</t>
  </si>
  <si>
    <t>http://www.woodlawnpark.org/</t>
  </si>
  <si>
    <t>Recent Google reviews in the fetched sample describe the congregation as personable and welcoming, and single out the minister for praise. The fetched reviews show a consistently positive tone and do not include recurring complaints. Review text is limited in volume, but the newest feedback aligns with the earlier positive comments.</t>
  </si>
  <si>
    <t>accepted google identity: 14.2/15; review volume: 20.4/30; review consistency: 7.0/7; review freshness: 8.0/8; verified website: 14.2/15; confirmed irs record: 0.0/20; source corroboration: 3.3/5; Synthesis metadata: high (not part of numeric confidence)</t>
  </si>
  <si>
    <t>2216 Pot Spring Rd, Timonium, MD 21093</t>
  </si>
  <si>
    <t>(410) 252-4465</t>
  </si>
  <si>
    <t>St. Francis Episcopal Parish</t>
  </si>
  <si>
    <t>Pantry on the Go is a free, monthly drive‑thru distribution that begins at 3:00 pm and continues until supplies run out; cars form a line in the St. Francis parking lot and are met by greeters. The Community Pantry is available on Wednesdays (6:00–7:00 pm) except during Pantry on the Go weeks. Welcome Table Wednesday provides a free hot meal on the 1st and 3rd Wednesdays. Contact or parish‑office hours are published on the website for volunteer signups and general inquiries.</t>
  </si>
  <si>
    <t>Monday: Closed; Tuesday: Closed; Wednesday: Closed; Thursday: Closed; Friday: Closed; Saturday: Open 24 hours; Sunday: Open 24 hours</t>
  </si>
  <si>
    <t>A parish and community center that operates worship services (including a Spanish-language Mass) and multiple food ministries, including a monthly drive‑thru food distribution (Pantry on the Go), a weekly community pantry, and regular community dinners; the site also organizes volunteers and outreach through a Latino Ministry.</t>
  </si>
  <si>
    <t>https://stfrancismd.org/</t>
  </si>
  <si>
    <t>Google Maps reviewers consistently describe St. Francis as a welcoming, inclusive parish and frequently praise its food programs and community support. Recurring positive comments highlight helpful staff/volunteers and the usefulness of the pantry and food distributions; a small number of reviews raise language‑access questions about Spanish services. The newest reviews continue to emphasize the parish’s welcome and community support.</t>
  </si>
  <si>
    <t>accepted google identity: 14.2/15; review volume: 27.6/30; review consistency: 2.4/7; review freshness: 7.3/8; verified website: 14.2/15; confirmed irs record: 0.0/20; source corroboration: 3.3/5; Synthesis metadata: high (not part of numeric confidence)</t>
  </si>
  <si>
    <t>1040 S Beechfield Ave, Baltimore, MD 21229</t>
  </si>
  <si>
    <t>(410) 242-6303</t>
  </si>
  <si>
    <t>Deaf Shalom Zone</t>
  </si>
  <si>
    <t>The organization states it is not a direct-service provider but offers referrals and connects Deaf and DeafBlind people with government agencies, charities, and volunteers. The website and listing indicate a weekly pantry (free groceries provided via partnerships) and a weekly meal after worship; materials advise contacting the case manager or the organization for details and intake. The website lists regular contact hours on its contact page; reviewers advise calling or checking the website for details.</t>
  </si>
  <si>
    <t>Monday: Open 24 hours; Tuesday: Open 24 hours; Wednesday: Open 24 hours; Thursday: Closed; Friday: Open 24 hours; Saturday: Open 24 hours; Sunday: Open 24 hours</t>
  </si>
  <si>
    <t>A community organization serving Deaf and DeafBlind people that provides case management, advocacy, referral and education (C.A.R.E.), and that runs a weekly food pantry and regular community meals tied to its worship events. The group also hosts ASL-accessible worship services and volunteer/service-learning opportunities.</t>
  </si>
  <si>
    <t>http://deafshalomzone.org/</t>
  </si>
  <si>
    <t>Public reviews consistently praise ASL-accessible worship and describe the site as a welcoming place, noting a food pantry and community meal tied to Sunday worship; recent reviews continue that same positive tone. The official website corroborates those activities and additionally describes the organization’s focus on case management, advocacy, referral, and education for Deaf and DeafBlind people. Review volume is small but the available reviewer comments and the site content align on the core services.</t>
  </si>
  <si>
    <t>accepted google identity: 14.2/15; review volume: 12.5/30; review consistency: 7.0/7; review freshness: 3.8/8; verified website: 14.2/15; confirmed irs record: 0.0/20; source corroboration: 3.3/5; Synthesis metadata: medium (not part of numeric confidence)</t>
  </si>
  <si>
    <t>4414 Wilkens Ave, Baltimore, MD 21229</t>
  </si>
  <si>
    <t>(410) 242-0131</t>
  </si>
  <si>
    <t>Our Lady of Victory - Food Pantry</t>
  </si>
  <si>
    <t>Open to serve people in the community; distributions occur on Saturdays from 9:00 - 10:00 AM. Pantry is volunteer-run and operates based on donated non-perishable food and toiletries; donation drop-off locations are provided. No documentation, referral, or other eligibility requirements are stated in the available sources.</t>
  </si>
  <si>
    <t>Monday: Closed; Tuesday: Closed; Wednesday: Closed; Thursday: Closed; Friday: Closed; Saturday: 9 to 10 AM; Sunday: Closed</t>
  </si>
  <si>
    <t>A church-run food pantry that distributes non-perishable food and toiletry items to people in the local community, operating from a physical site at the parish.</t>
  </si>
  <si>
    <t>https://olvictory.org/olv-food-pantry</t>
  </si>
  <si>
    <t>Available Google reviews (a small sample of four) consistently praise the pantry as organized and staffed by kind, helpful people; reviewers describe the food arrival as a meaningful uplift for their households. There are no recurring negative comments in the fetched reviews, and the most recent reviews continue the same positive tone. The textual review evidence is limited in quantity but uniformly positive.</t>
  </si>
  <si>
    <t>accepted google identity: 14.2/15; review volume: 13.7/30; review consistency: 7.0/7; review freshness: 5.2/8; verified website: 14.2/15; confirmed irs record: 0.0/20; source corroboration: 3.3/5; Synthesis metadata: medium (not part of numeric confidence)</t>
  </si>
  <si>
    <t>8301 Liberty Rd, Windsor Mill, MD 21244</t>
  </si>
  <si>
    <t>(410) 922-1637</t>
  </si>
  <si>
    <t>The Good Shepherd Church of God in Christ</t>
  </si>
  <si>
    <t>Website states that “all are welcome.” The site lists the physical address and a phone contact for the main office and describes an online/telephonic ministry (live services and a nightly telephonic prayer line with specific weekday exceptions). No formal intake, referral, or documentation requirements are stated in the available sources.</t>
  </si>
  <si>
    <t>Monday: 6 AM to 6 PM; Tuesday: 6 AM to 6 PM; Wednesday: 6 AM to 6 PM; Thursday: 6 AM to 6 PM; Friday: 6 AM to 6 PM; Saturday: Closed; Sunday: 9:30 AM to 3 PM</t>
  </si>
  <si>
    <t>A physical Church of God in Christ congregation offering regular worship services, music/choir ministry, age-specific ministries (youth and seniors), an outreach program that includes a food distribution effort serving roughly 200 families per month, and online/telephonic ministry content and prayer meetings.</t>
  </si>
  <si>
    <t>http://www.the-good-shepherd.org/</t>
  </si>
  <si>
    <t>Google reviewers most often praise the worship services, choir/music, and a strong sense of church community. A small number of reviews describe negative staff interactions (including a specific complaint about how an usher addressed a child) and concerns about inclusivity; these criticisms appear in older reviews, while the newest reviews are enthusiastic about recent events and services. There is no evidence of owner responses to reviews in the fetched sample.</t>
  </si>
  <si>
    <t>accepted google identity: 14.2/15; review volume: 22.5/30; review consistency: 0.4/7; review freshness: 7.8/8; verified website: 14.2/15; confirmed irs record: 0.0/20; source corroboration: 3.3/5; Synthesis metadata: high (not part of numeric confidence)</t>
  </si>
  <si>
    <t>3301 Milford Mill Rd, Windsor Mill, MD 21244</t>
  </si>
  <si>
    <t>(410) 922-0050</t>
  </si>
  <si>
    <t>Liberty Food Pantry - Food Distribution Center</t>
  </si>
  <si>
    <t>Wheelchair-accessible entrance and wheelchair-accessible parking lot are reported.</t>
  </si>
  <si>
    <t>Fridays from 12 – 3 p.m. and Sundays hot meal is served at 1 p.m. and then pantry is open until 3 p.m. On Fridays, please use Maryland Ave. entrance. 4th Friday and following Sunday, eggs and milk are available.</t>
  </si>
  <si>
    <t>A physical food pantry / food distribution center operating from Liberty Seventh-day Adventist Church in Windsor Mill that provides on-site food distribution to people in the surrounding community.</t>
  </si>
  <si>
    <t>Google Maps reviewers consistently report positive experiences with the pantry and associated church services, and recent reviews continue that trend. Several reviews contain little or no written text, which limits detailed firsthand accounts, and there are no owner responses on the listing. The listing has no verified website and independent registry corroboration is not available, so external documentation is limited.</t>
  </si>
  <si>
    <t>accepted google identity: 14.2/15; review volume: 16.8/30; review consistency: 7.0/7; review freshness: 5.3/8; verified website: 0.0/15; confirmed irs record: 0.0/20; source corroboration: 1.7/5; Synthesis metadata: medium (not part of numeric confidence)</t>
  </si>
  <si>
    <t>1930 Brookdale Rd, Windsor Mill, MD 21244</t>
  </si>
  <si>
    <t>(410) 944-6683</t>
  </si>
  <si>
    <t>Christ the King Episcopal Church</t>
  </si>
  <si>
    <t>Open to all; no requirements stated. Weekly food distribution on Wednesdays from 11:00 AM to 2:30 PM available to anyone in need (no referral or documentation requirements specified).</t>
  </si>
  <si>
    <t>Monday: 9 AM to 6 PM; Tuesday: 9 AM to 6 PM; Wednesday: 9 AM to 6 PM; Thursday: 9 AM to 6 PM; Friday: 9 AM to 6 PM; Saturday: 9 AM to 6 PM; Sunday: 9 AM to 6 PM</t>
  </si>
  <si>
    <t>An Episcopal congregation that holds regular worship (including Scripture readings and Eucharist) and operates a weekly food distribution for people in need.</t>
  </si>
  <si>
    <t>Available Google Maps reviews emphasize that the congregation is welcoming and peaceful, and commenters note strong Sunday services. Reviewers do not raise recurring complaints in the fetched sample, and the most recent reviews continue the same positive themes. The owner has responded to at least one review.</t>
  </si>
  <si>
    <t>accepted google identity: 13.5/15; review volume: 21.1/30; review consistency: 7.0/7; review freshness: 5.2/8; verified website: 0.0/15; confirmed irs record: 0.0/20; source corroboration: 1.7/5; Synthesis metadata: medium (not part of numeric confidence)</t>
  </si>
  <si>
    <t>7710 Windsor Mill Rd, Windsor Mill, MD 21244</t>
  </si>
  <si>
    <t>(410) 521-4783</t>
  </si>
  <si>
    <t>Jesus House Baltimore - Food Distribution Center</t>
  </si>
  <si>
    <t>the 3rd Saturday of every other month from 8 to 10 a.m. and by appointment, if needed</t>
  </si>
  <si>
    <t>A physical food distribution center run by Jesus House Baltimore that provides food distribution/food-bank services and community outreach programming.</t>
  </si>
  <si>
    <t>https://www.jesushousebaltimore.org/portfolio-item/event1/</t>
  </si>
  <si>
    <t>Available Google Maps reviews are uniformly positive and highlight staff and volunteers as kind and helpful; one review specifically mentions a Thanksgiving food event and the organization’s community focus. The newest review adds no substantive detail. Review feedback is limited in quantity, so these comments suggest positive local experiences but are too thin to fully characterize consistency or scope of services.</t>
  </si>
  <si>
    <t>accepted google identity: 14.2/15; review volume: 8.5/30; review consistency: 7.0/7; review freshness: 4.6/8; verified website: 14.2/15; confirmed irs record: 0.0/20; source corroboration: 3.3/5; Synthesis metadata: medium (not part of numeric confidence)</t>
  </si>
  <si>
    <t>5115 Old Court Rd, Randallstown, MD 21133</t>
  </si>
  <si>
    <t>(410) 922-2853</t>
  </si>
  <si>
    <t>Loaves &amp; Fishes at Mount Olive - Food Distribution Center</t>
  </si>
  <si>
    <t>Appointment required for service; grocery pickup available; delivery not offered.</t>
  </si>
  <si>
    <t>Monday: 10 AM to 2 PM; Tuesday: 10 AM to 2 PM; Wednesday: 10 AM to 2 PM; Thursday: 10 AM to 2 PM; Friday: Closed; Saturday: Closed; Sunday: Closed</t>
  </si>
  <si>
    <t>A food distribution center operated from Mount Olive United Methodist Church that provides grocery-style food distributions and grocery pickup; the pantry tailors food to clients' preferences and accepts food and monetary donations and volunteers.</t>
  </si>
  <si>
    <t>https://mountoliveumcmd.org/loaves-and-fishes/</t>
  </si>
  <si>
    <t>Public reviews on the Google Maps listing are overwhelmingly positive. Reviewers who left text praise personalized service (providing foods people actually eat), the availability of fresh meat and varied groceries, and friendly, caring volunteers; the location is described as safe and clean. There were no recurring negative themes in the fetched review sample, though most recent reviews include ratings without written comments and much of the qualitative detail comes from a single detailed account.</t>
  </si>
  <si>
    <t>accepted google identity: 14.2/15; review volume: 18.0/30; review consistency: 5.7/7; review freshness: 7.9/8; verified website: 14.2/15; confirmed irs record: 0.0/20; source corroboration: 3.3/5; Synthesis metadata: high (not part of numeric confidence)</t>
  </si>
  <si>
    <t>7900 Baltimore St, Baltimore, MD 21224</t>
  </si>
  <si>
    <t>(410) 285-4674</t>
  </si>
  <si>
    <t>Community Assistance Network</t>
  </si>
  <si>
    <t>Food pantry operating hours (per the organization's service pages) are Monday, Wednesday, Thursday and Friday 9:00 AM–10:45 AM &amp; 1:00 PM–2:45 PM; closed Tuesdays (noting the pantry hours are subject to change based on capacity). The site asks users to use the service-specific contact information rather than the general contact form when requesting services. Reviews and the listing note documentation requirements may apply. The facility lists a wheelchair-accessible entrance and accessible parking.</t>
  </si>
  <si>
    <t>A Baltimore County community resource organization that operates an on-site food pantry and offers a range of social-support programs (housing/homelessness assistance, utility and eviction prevention help, and workforce/job-readiness supports) serving individuals and families experiencing economic hardship.</t>
  </si>
  <si>
    <t>http://www.canconnects.org/</t>
  </si>
  <si>
    <t>Reviewers consistently praise friendly, helpful, and supportive staff and report receiving meaningful food assistance; multiple recent reports describe staff going above and beyond for clients. Recurring concerns in the feedback include occasional long waits and at least one complaint about food quality/near-expiration items. Newer reviews in the fetched sample remain mostly positive, reinforcing the pattern of strong staff support with sporadic operational complaints.</t>
  </si>
  <si>
    <t>accepted google identity: 14.2/15; review volume: 30.0/30; review consistency: 5.3/7; review freshness: 7.5/8; verified website: 14.2/15; confirmed irs record: 0.0/20; source corroboration: 3.3/5; Synthesis metadata: high (not part of numeric confidence)</t>
  </si>
  <si>
    <t>3225 Round Rd, Baltimore, MD 21225</t>
  </si>
  <si>
    <t>(410) 355-0022</t>
  </si>
  <si>
    <t>Cherry Hill United Methodist Church Food Program - Food Distribution Center</t>
  </si>
  <si>
    <t>Mondays and Wednesdays from 10 a.m. – 2 p.m. and the 3rd Saturday of every month (for meal and food distribution)</t>
  </si>
  <si>
    <t>Google Maps lists this site at Cherry Hill United Methodist Church as a food distribution center / food program and the listing indicates grocery pickup and meal-service options.</t>
  </si>
  <si>
    <t>The only substantive public source available is a Google Maps listing that names the location as a food distribution center and lists service options; the listing includes a phone number but no published hours. Public-review text is effectively unavailable, so reviewer feedback is too thin to describe recurring positive themes or concerns. A website could not be verified and registry records did not match, so independent corroboration is limited.</t>
  </si>
  <si>
    <t>accepted google identity: 14.2/15; review volume: 7.3/30; review consistency: 7.0/7; review freshness: 1.3/8; verified website: 0.0/15; confirmed irs record: 0.0/20; source corroboration: 1.7/5; Synthesis metadata: insufficient_evidence (not part of numeric confidence)</t>
  </si>
  <si>
    <t>23 Bloomsbury Ave, Catonsville, MD 21228</t>
  </si>
  <si>
    <t>(410) 747-4357</t>
  </si>
  <si>
    <t>Catonsville Emergency Assistance</t>
  </si>
  <si>
    <t>Serves clients by appointment; donation drop-offs and client service hours are by appointment. Website states donation drop-off hours are Monday–Thursday 9 AM–1 PM and additional donation hours can be arranged by calling or emailing. Website also notes (temporarily) that food donations may not be accepted while preparing for construction. Services are presented as for Greater Catonsville residents.</t>
  </si>
  <si>
    <t>Monday: 9 AM to 1 PM; Tuesday: 9 AM to 1 PM; Wednesday: 9 AM to 1 PM; Thursday: 9 AM to 1 PM; Friday: Closed; Saturday: Closed; Sunday: Closed</t>
  </si>
  <si>
    <t>Catonsville Emergency Assistance (CEA) provides emergency food support, short-term utility and eviction-prevention assistance, and referrals to other local services for residents of the greater Catonsville area.</t>
  </si>
  <si>
    <t>http://catonsvillehelp.org/</t>
  </si>
  <si>
    <t>Google reviewers repeatedly praise staff and volunteers as warm, respectful, and helpful, and many comments highlight strong volunteer spirit and long-term community commitment. Recurring concerns in the reviews focus on appointment-only policies, scheduling delays, and paperwork required for food assistance, which some reviewers found stressful. The newest reviews continue to emphasize helpful, courteous staff, so recent feedback remains largely positive despite the scheduling-related criticisms.</t>
  </si>
  <si>
    <t>accepted google identity: 14.2/15; review volume: 30.0/30; review consistency: 3.9/7; review freshness: 4.4/8; verified website: 14.2/15; confirmed irs record: 0.0/20; source corroboration: 3.3/5; Synthesis metadata: high (not part of numeric confidence)</t>
  </si>
  <si>
    <t>1200 Linden Ave, Baltimore, MD 21227</t>
  </si>
  <si>
    <t>(410) 242-9441</t>
  </si>
  <si>
    <t>Holy Nativity Lutheran Church</t>
  </si>
  <si>
    <t>Website states outreach activities (including the Food Pantry and Clothes Pantry) are open to both the congregation and the community. Google Maps indicates a named "Food Distribution Center" with an additional set of hours for the food distribution: Tuesday 3–5 PM. No documentation, referral, or other eligibility requirements are documented in the available sources.</t>
  </si>
  <si>
    <t>Monday: 9 AM to 2 PM; Tuesday: 9 AM to 2 PM; Wednesday: 9 AM to 2 PM; Thursday: 9 AM to 2 PM; Friday: 9 AM to 2 PM; Saturday: Closed; Sunday: 8:30 AM to 12:30 PM</t>
  </si>
  <si>
    <t>A local Lutheran church that runs community outreach programs including an on-site food distribution/pantry and a clothing pantry, and offers regular worship services and other community activities.</t>
  </si>
  <si>
    <t>https://www.holy-nativity.com/</t>
  </si>
  <si>
    <t>Public reviews emphasize gratitude for outreach events (for example, a turkey distribution) and describe the church and volunteers as helpful to families. A small number of reviews contain no text; one low-rated review received an owner response but did not include details of the complaint. The website and the Google Maps listing consistently describe the church's food- and clothing-related outreach, supporting that these services are actively offered.</t>
  </si>
  <si>
    <t>accepted google identity: 14.2/15; review volume: 18.2/30; review consistency: 0.4/7; review freshness: 4.7/8; verified website: 14.2/15; confirmed irs record: 0.0/20; source corroboration: 3.3/5; Synthesis metadata: high (not part of numeric confidence)</t>
  </si>
  <si>
    <t>2700 Washington Ave, Halethorpe, MD 21227</t>
  </si>
  <si>
    <t>(410) 242-1025</t>
  </si>
  <si>
    <t>Saint Clement Food Pantry - Food Distribution Center</t>
  </si>
  <si>
    <t>Wheelchair-accessible entrance and parking are indicated. Grocery pickup is listed as a service option. Reviewers report that posted online hours may be inaccurate and that the distribution sometimes operates on an every-other-weekend or irregular schedule; callers/clients are advised to call, email, or check posted flyers at the site before coming.</t>
  </si>
  <si>
    <t>A physical food distribution pantry operating out of St. Clement that provides groceries to people in need; the listing indicates in-person grocery pickup is offered and the site notes Spanish-language service and wheelchair-accessible entry and parking.</t>
  </si>
  <si>
    <t>Recent Google reviewers consistently praise the staff as friendly and helpful, and several reviewers affirm positive experiences receiving food. A recurring concern in reviews is that the online hours are not always accurate; reviewers warn the pantry can run on an irregular or every-other-weekend schedule, and advise checking posted flyers or contacting the pantry first. The newest reviews continue to praise staff while also reiterating uncertainty about the posted hours.</t>
  </si>
  <si>
    <t>accepted google identity: 14.2/15; review volume: 17.5/30; review consistency: 7.0/7; review freshness: 7.8/8; verified website: 0.0/15; confirmed irs record: 0.0/20; source corroboration: 1.7/5; Synthesis metadata: medium (not part of numeric confidence)</t>
  </si>
  <si>
    <t>67 Winters Ln, Catonsville, MD 21228</t>
  </si>
  <si>
    <t>(410) 744-9478</t>
  </si>
  <si>
    <t>Women's Missionary Outreach - Food Distribution Center</t>
  </si>
  <si>
    <t>Monday: Closed; Tuesday: 1 to 4 PM; Wednesday: Closed; Thursday: 1 to 4 PM; Friday: Closed; Saturday: Closed; Sunday: Closed</t>
  </si>
  <si>
    <t>A physical food distribution site / food bank that provides on-site food distribution to the local community during posted hours.</t>
  </si>
  <si>
    <t>Available Google reviews consistently praise staff as kind, helpful, and nonjudgmental, and several reviewers report positive, supportive interactions. Some reviewers have raised concerns about organization and difficulty reaching the site by phone. The most recent reviews are positive, indicating that recent visitor experiences trend toward the favorable side of earlier feedback.</t>
  </si>
  <si>
    <t>accepted google identity: 14.2/15; review volume: 17.5/30; review consistency: 1.4/7; review freshness: 7.1/8; verified website: 0.0/15; confirmed irs record: 0.0/20; source corroboration: 1.7/5; Synthesis metadata: medium (not part of numeric confidence)</t>
  </si>
  <si>
    <t>7000 Rossville Blvd, Rosedale, MD 21237</t>
  </si>
  <si>
    <t>(410) 391-8000</t>
  </si>
  <si>
    <t>Life Source International Church</t>
  </si>
  <si>
    <t>Open to the public. New attendees are invited to complete a connect card to get plugged in; a children's ministry is offered. No evidence was found for required documents, formal intake, or referral requirements.</t>
  </si>
  <si>
    <t>Monday: 9 AM to 5 PM; Tuesday: 9 AM to 5 PM; Wednesday: 9 AM to 5 PM; Thursday: 9 AM to 5 PM; Friday: 9 AM to 5 PM; Saturday: Closed; Sunday: 9 AM to 2 PM</t>
  </si>
  <si>
    <t>A local church offering in-person worship services, faith teaching and pastoral leadership, congregational connection/discipleship opportunities, a children's (kids) ministry, and prayer/care ministries.</t>
  </si>
  <si>
    <t>http://lifesourcechurches.com/</t>
  </si>
  <si>
    <t>Reviewers frequently praise the worship experience, music, and pastoral leadership and describe the congregation as welcoming and spiritually impactful. Some reviewers report negative experiences, notably concerns about children’s supervision and staff communication during at least one serious incident. The newest reviews remain largely positive, though the critical reports suggest a small number of attendees have had significant problems with child-related procedures or staff interactions.</t>
  </si>
  <si>
    <t>accepted google identity: 14.2/15; review volume: 30.0/30; review consistency: 1.4/7; review freshness: 8.0/8; verified website: 14.2/15; confirmed irs record: 0.0/20; source corroboration: 3.3/5; Synthesis metadata: high (not part of numeric confidence)</t>
  </si>
  <si>
    <t>8701 Winands Rd, Randallstown, MD 21133</t>
  </si>
  <si>
    <t>(443) 433-8949</t>
  </si>
  <si>
    <t>Gethsemane Sanctuary Baltimore</t>
  </si>
  <si>
    <t>The website and listing state the congregation is open to all and welcomes new attendees; no eligibility, referral, documents, or intake requirements are listed. Services are offered in-person (with an online eChurch option) and include Sunday School for children. (Claims supported by Website (evidence 95) and Google Maps listing (evidence 93).)</t>
  </si>
  <si>
    <t>Monday: Closed; Tuesday: 10 AM to 6 PM; Wednesday: 10 AM to 6 PM; Thursday: 9 AM to 5 PM; Friday: 10 AM to 6 PM; Saturday: 10 AM to 5 PM; Sunday: 9 AM to 2 PM</t>
  </si>
  <si>
    <t>A faith-based church (Gethsemane Sanctuary Baltimore) that holds in-person worship services, Sunday School, mid-week services, periodic Holy Communion, and offers an online "eChurch" option.</t>
  </si>
  <si>
    <t>http://mygsbaltimore.org/</t>
  </si>
  <si>
    <t>Google reviewers consistently describe a welcoming, faith-centered congregation and praise the Sunday services and children’s department; multiple recent reviews express positive experiences. A small number of reviews raise a noise/disturbance concern about late-night vigil activity, and the owner regularly responds to reviewers addressing feedback. The organization’s website and an IRS registry match corroborate the listing identity.</t>
  </si>
  <si>
    <t>accepted google identity: 14.2/15; review volume: 30.0/30; review consistency: 2.4/7; review freshness: 7.7/8; verified website: 14.2/15; confirmed irs record: 20.0/20; source corroboration: 5.0/5; Synthesis metadata: high (not part of numeric confidence)</t>
  </si>
  <si>
    <t>3501 7th St, Baltimore, MD 21225</t>
  </si>
  <si>
    <t>(410) 355-6707</t>
  </si>
  <si>
    <t>City of Refuge Baltimore- Main Campus</t>
  </si>
  <si>
    <t>Food distribution: numbers are given based on supply; families may access the pantry up to twice per month and must bring ID; baby pantry and food pantry registrations are distinct; some food services have specific weekday schedules and limited capacity (website notes some waitlists are not currently accepting new entries). Family Stability program: currently limited to families with children enrolled in the Baltimore City Public School system and meeting additional criteria. Workforce and some other supports are provided by appointment or referral; specific program enrollment or appointment instructions are available through the organization.</t>
  </si>
  <si>
    <t>Monday: 8 AM to 4 PM; Tuesday: 8 AM to 4 PM; Wednesday: 8 AM to 4 PM; Thursday: 8 AM to 4 PM; Friday: 8 AM to 2 PM; Saturday: Closed; Sunday: Closed</t>
  </si>
  <si>
    <t>Neighborhood-based organization operating a physical campus that provides coordinated, wraparound supports including a weekly food pantry and meal distribution, workforce development and job‑training classes, supportive/bridge housing and family-stability services, and youth enrichment and after-school programming. The site also hosts periodic on-site mobile medical unit visits.</t>
  </si>
  <si>
    <t>http://cityofrefugebaltimore.org/</t>
  </si>
  <si>
    <t>Google reviewers consistently describe the location as a community-oriented, helpful ‘one-stop’ center with friendly staff and volunteers; many recent reviews praise the staff’s attentiveness and the breadth of services. Recurring positives include mentions of food assistance, a family atmosphere, and staff/volunteer helpfulness; a small number of reviewers note wait times or the need to arrive early for certain distributions. The newest reviews continue the pattern of positive feedback and occasional notes about service logistics, and the owner has responded to multiple reviews.</t>
  </si>
  <si>
    <t>accepted google identity: 14.2/15; review volume: 30.0/30; review consistency: 4.5/7; review freshness: 7.7/8; verified website: 14.2/15; confirmed irs record: 0.0/20; source corroboration: 3.3/5; Synthesis metadata: high (not part of numeric confidence)</t>
  </si>
  <si>
    <t>603 E Patapsco Ave, Baltimore, MD 21225</t>
  </si>
  <si>
    <t>(410) 355-4026</t>
  </si>
  <si>
    <t>Rehoboth Church Food Pantry - Food Distribution Center</t>
  </si>
  <si>
    <t>Every Wednesday from 6 to 7 p.m., Saturdays from 12 to 4 p.m. and Sunday from 1 to 2 p.m.</t>
  </si>
  <si>
    <t>A local food distribution point identified on Google Maps as a food bank operating at the Rehoboth Church location in Baltimore. The listing shows a physical site that appears to provide food pantry/distribution services but provides no program details or published hours.</t>
  </si>
  <si>
    <t>No public reviewer feedback or user reviews were available to describe client experiences. The only corroborating source is a Google Maps business listing that provides a location, category (food bank), and limited facility details but no posted hours or detailed program information. There is no verified website attribution available to confirm schedules, eligibility, or intake procedures, so operational details remain unconfirmed.</t>
  </si>
  <si>
    <t>3701 4th St, Brooklyn, MD 21225</t>
  </si>
  <si>
    <t>(443) 312-8700</t>
  </si>
  <si>
    <t>The Transformation Center</t>
  </si>
  <si>
    <t>Lilies Place operates as a store-like distribution where guests may select items and typically receive a multi-day supply of groceries and clothing; it is open on Saturdays (see hours). Transformation Kids is an after-school program that meets weekly and requires registration for the term. The Bridge is a weekly service for unhoused and displaced people providing meals, clothing, showers, and related supports. T.C. Prints operates as a staffed workplace open weekdays and focuses on hiring individuals recently released from prison. Medstar Mobile Health Center provides on-site primary and urgent care, testing, and insurance assistance on a weekly schedule. (All access details above are described on the organization’s website.)</t>
  </si>
  <si>
    <t>Monday: Closed; Tuesday: 8 AM to 4 PM; Wednesday: 8 AM to 4 PM; Thursday: 8 AM to 4 PM; Friday: 8 AM to 4 PM; Saturday: 9 to 10:30 AM; Sunday: Closed</t>
  </si>
  <si>
    <t>A faith-based community center that runs a food and clothing distribution (market-style pantry), an after-school program for children, services for people experiencing homelessness (meals, showers, clothing, haircuts), a screen-printing social enterprise employing people reentering from prison, and hosts a weekly mobile primary-care clinic on site.</t>
  </si>
  <si>
    <t>http://transformationcenter.tc/</t>
  </si>
  <si>
    <t>Public Google review feedback consistently praises the organization’s food pantry and volunteers, describing a respectful, community-oriented atmosphere and useful material support. Reviewers also describe positive experiences with events and staff helpfulness, while occasional complaints mention specific event logistics (for example, an instance of changing distribution arrangements). The website and Google listing corroborate the programs mentioned in reviews, and recent reviews continue to reflect the same positive themes.</t>
  </si>
  <si>
    <t>accepted google identity: 14.2/15; review volume: 30.0/30; review consistency: 3.1/7; review freshness: 8.0/8; verified website: 14.2/15; confirmed irs record: 0.0/20; source corroboration: 3.3/5; Synthesis metadata: high (not part of numeric confidence)</t>
  </si>
  <si>
    <t>9202 Philadelphia Rd, Baltimore, MD 21237</t>
  </si>
  <si>
    <t>(410) 682-4114</t>
  </si>
  <si>
    <t>Rosedale Baptist Church</t>
  </si>
  <si>
    <t>* Families can come twice a month, * Must bring ID</t>
  </si>
  <si>
    <t>Monday: 8 AM to 4 PM; Tuesday: 8 AM to 4 PM; Wednesday: 8 AM to 4 PM, 6:30 to 7:30 PM; Thursday: 8 AM to 4 PM; Friday: 7 to 8 PM; Saturday: Closed; Sunday: 8 AM to 12 PM</t>
  </si>
  <si>
    <t>A local church that holds in-person worship services, Bible study / life-group meetings, and children’s ministry (RKids); reviewers also report the church operates an on-site food pantry where clients can choose their own food.</t>
  </si>
  <si>
    <t>http://www.rosedalebaptist.org/</t>
  </si>
  <si>
    <t>Google Maps reviewers consistently praise a welcoming congregation, helpful volunteers, and volunteers who assist with loading groceries; multiple recent reviews specifically mention a food pantry where people select their own items. A small number of reviews express a negative personal experience with the pastor’s delivery or an uninviting interaction, and the listing owner responded publicly to at least one critical review. The newest reviews continue to highlight the church’s community, worship, and pantry support.</t>
  </si>
  <si>
    <t>accepted google identity: 14.2/15; review volume: 30.0/30; review consistency: 3.4/7; review freshness: 7.2/8; verified website: 14.2/15; confirmed irs record: 0.0/20; source corroboration: 3.3/5; Synthesis metadata: high (not part of numeric confidence)</t>
  </si>
  <si>
    <t>518 Franklin Ave, Essex, MD 21221</t>
  </si>
  <si>
    <t>(410) 687-4621</t>
  </si>
  <si>
    <t>St John's Evangelical Lutheran Church</t>
  </si>
  <si>
    <t>Friends for Supper is offered free and is a monthly meal program (not held in December); dates vary and attendees are asked to contact the church office to confirm the next meal date. Office hours are by appointment. No other eligibility, documentation, intake, or referral requirements are stated in the available sources.</t>
  </si>
  <si>
    <t>Monday: 8 AM to 12 PM; Tuesday: 8 AM to 12 PM; Wednesday: 8 AM to 12 PM; Thursday: 8 AM to 12 PM; Friday: 8 AM to 12 PM; Saturday: Closed; Sunday: 10:30 to 11:30 AM</t>
  </si>
  <si>
    <t>A neighborhood church that runs community ministries including a monthly free meal program, an on-site food pantry and holiday food-basket distributions, seasonal toy giveaways, and regular worship and family activities.</t>
  </si>
  <si>
    <t>http://www.stjohnsofessex.org/</t>
  </si>
  <si>
    <t>Google reviewers consistently describe the site as friendly and welcoming, with multiple comments calling out warm staff or volunteers and positive experiences at the community meal. The fetched review sample showed little critical feedback, and the most recent reviews continue the same positive tone. The listing is corroborated by an operational website that lists the same ministries and contact details.</t>
  </si>
  <si>
    <t>accepted google identity: 14.2/15; review volume: 24.0/30; review consistency: 5.6/7; review freshness: 7.5/8; verified website: 14.2/15; confirmed irs record: 0.0/20; source corroboration: 3.3/5; Synthesis metadata: high (not part of numeric confidence)</t>
  </si>
  <si>
    <t>524 Maryland Ave, Essex, MD 21221</t>
  </si>
  <si>
    <t>(410) 686-2867</t>
  </si>
  <si>
    <t>Essex United Methodist Church Food Program - Food Distribution Center</t>
  </si>
  <si>
    <t>Wheelchair-accessible entrance and wheelchair-accessible parking lot are indicated on the listing. Clothing recycling is noted as available.</t>
  </si>
  <si>
    <t>Every Friday from 5:30 to 7:30 p.m.</t>
  </si>
  <si>
    <t>A church-based food distribution program that operates a food pantry/food distribution center on-site and accepts clothing recycling/donations. The program is described on its public Google Maps listing and reviewers report receiving groceries and other food items there.</t>
  </si>
  <si>
    <t>Public Google Maps reviewers consistently praise the staff as friendly and say the site provides ample food (including canned goods, produce and other groceries), with the most recent reviews continuing the positive tone. Some reviews show users seeking clarity about specific services (for example asking whether a soup kitchen is open), which suggests limited public information about schedules or program details. The listing has no verified website and no registry match, so outside corroboration beyond the Google listing and reviews is limited.</t>
  </si>
  <si>
    <t>accepted google identity: 14.2/15; review volume: 28.3/30; review consistency: 5.2/7; review freshness: 7.6/8; verified website: 0.0/15; confirmed irs record: 0.0/20; source corroboration: 1.7/5; Synthesis metadata: medium (not part of numeric confidence)</t>
  </si>
  <si>
    <t>75 Chandelle Rd, Middle River, MD 21220</t>
  </si>
  <si>
    <t>(410) 686-0141</t>
  </si>
  <si>
    <t>Victory Villa Baptist Church</t>
  </si>
  <si>
    <t>Sunday Service 10:30 am; Bible Study Wednesday Night 7:00 pm</t>
  </si>
  <si>
    <t>A local church congregation that operates an on-site food pantry ministry and holds regular worship services, children’s church, youth group meetings, and weekly Bible study sessions.</t>
  </si>
  <si>
    <t>http://www.vvbcministries.com/</t>
  </si>
  <si>
    <t>Google Maps reviewers consistently describe the congregation as welcoming and praise the music, fellowship, and inspirational messages. There is very little critical feedback in the visible review text, and the most recent reviews continue the same positive tone. The listing shows no visible owner responses to reviews.</t>
  </si>
  <si>
    <t>accepted google identity: 14.2/15; review volume: 25.2/30; review consistency: 5.7/7; review freshness: 4.7/8; verified website: 14.2/15; confirmed irs record: 0.0/20; source corroboration: 3.3/5; Synthesis metadata: high (not part of numeric confidence)</t>
  </si>
  <si>
    <t>155 Orville Rd, Essex, MD 21221</t>
  </si>
  <si>
    <t>(443) 915-6449</t>
  </si>
  <si>
    <t>Love Thy Neighbor Food Pantry</t>
  </si>
  <si>
    <t>Website states food is provided to anyone who is hungry with no special requirements; the site lists service area as Baltimore County and Baltimore City.</t>
  </si>
  <si>
    <t>Monday: Closed; Tuesday: 12 to 3 PM; Wednesday: Closed; Thursday: Closed; Friday: Closed; Saturday: Closed; Sunday: Closed</t>
  </si>
  <si>
    <t>A local food pantry that provides groceries and meal items to people in need.</t>
  </si>
  <si>
    <t>https://lovethyneighborfoodpantry.us/?utm_campaign=gmb</t>
  </si>
  <si>
    <t>Public Google Maps reviews show mixed, first-hand experiences. Several reviewers praise the organization or generosity, holiday assistance, and the pastor eing helpful; however multiple reviewers report serious access problems — arriving to a closed or abandoned address, long waits, disorganization, or staff rudeness. Newer reviews include both positive reports of good food and continued complaints about access and organization, so recent feedback remains mixed.</t>
  </si>
  <si>
    <t>accepted google identity: 14.2/15; review volume: 30.0/30; review consistency: 0.9/7; review freshness: 7.6/8; verified website: 14.2/15; confirmed irs record: 0.0/20; source corroboration: 3.3/5; Synthesis metadata: medium (not part of numeric confidence)</t>
  </si>
  <si>
    <t>9189 Red Branch Rd, Columbia, MD 21045</t>
  </si>
  <si>
    <t>(410) 992-5832</t>
  </si>
  <si>
    <t>Bridgeway Community Church - Columbia Campus</t>
  </si>
  <si>
    <t>Monday: Closed; Tuesday: 9 AM to 5 PM; Wednesday: 9 AM to 5 PM; Thursday: 9 AM to 5 PM; Friday: 9 AM to 5 PM; Saturday: Closed; Sunday: Closed</t>
  </si>
  <si>
    <t>A non-denominational church offering regular worship services at its Columbia campus, online livestreamed services, and congregational community programming focused on multicultural outreach and spiritual growth.</t>
  </si>
  <si>
    <t>http://www.bridgeway.cc/</t>
  </si>
  <si>
    <t>Google reviewers consistently praise the church’s worship experience, welcoming atmosphere, and multicultural community; reviewers frequently describe it as a spiritually positive place to attend. Owner responses are frequent and recent, and the newest reviews show similar positive sentiment (including mentions of attending events such as a funeral). The organization’s identity is corroborated by its official website and a recent IRS BMF filing, which supports the listing’s legitimacy.</t>
  </si>
  <si>
    <t>accepted google identity: 14.2/15; review volume: 30.0/30; review consistency: 4.2/7; review freshness: 7.6/8; verified website: 14.2/15; confirmed irs record: 20.0/20; source corroboration: 5.0/5; Synthesis metadata: high (not part of numeric confidence)</t>
  </si>
  <si>
    <t>4317 North Point Blvd, Dundalk, MD 21222</t>
  </si>
  <si>
    <t>(410) 388-0585</t>
  </si>
  <si>
    <t>Pleasant Zion Youth Outreach Center - Food Distribution Center</t>
  </si>
  <si>
    <t>Monday: Closed; Tuesday: Closed; Wednesday: 9:30 AM to 12 PM; Thursday: Closed; Friday: Closed; Saturday: Closed; Sunday: Closed</t>
  </si>
  <si>
    <t>A local food distribution point operating at a physical location; Google Maps lists it as a food bank/food distribution center and reviewers report it provides pantry items, primarily nonperishable/canned goods with occasional frozen items.</t>
  </si>
  <si>
    <t>Public feedback on the Google Maps listing is limited and mixed. One recent reviewer praises the people and notes the inventory is mostly canned and shelf-stable items with occasional frozen goods; an earlier negative review contains no text, indicating dissatisfaction but without details. The listing has structured hours on Google but there is no verified website and no registry match, so overall reliability is constrained by sparse, single-platform evidence.</t>
  </si>
  <si>
    <t>accepted google identity: 14.2/15; review volume: 11.3/30; review consistency: 3.5/7; review freshness: 6.2/8; verified website: 0.0/15; confirmed irs record: 0.0/20; source corroboration: 1.7/5; Synthesis metadata: medium (not part of numeric confidence)</t>
  </si>
  <si>
    <t>725 Main St, Reisterstown, MD 21136</t>
  </si>
  <si>
    <t>(410) 526-7111</t>
  </si>
  <si>
    <t>Community Crisis Center Inc</t>
  </si>
  <si>
    <t>Services are income‑qualified. Drive‑through distribution is weather‑permitting and the site is closed on federal holidays; updates are posted on the organization’s Facebook page. Visitors are asked to remain in their vehicles and have a photo ID ready when entering the driveway. Home deliveries require at least 48 hours’ notice and are available only for specified local ZIP codes (Reisterstown 21136, Owings Mills 21117, Glyndon 21071).</t>
  </si>
  <si>
    <t>Monday: 5 to 7 PM; Tuesday: Closed; Wednesday: Closed; Thursday: Closed; Friday: Closed; Saturday: 9 to 11 AM; Sunday: Closed</t>
  </si>
  <si>
    <t>A local drive‑through food distribution and essentials program that provides supplemental groceries, personal care items, and clothing to income‑qualified neighbors; the organization also arranges home deliveries for eligible, homebound residents and accepts donations and volunteers.</t>
  </si>
  <si>
    <t>http://www.communitycrisiscenterinc.org/</t>
  </si>
  <si>
    <t>Google reviewers most often praise the organization for providing food, toiletries, and usable clothing and frequently call out individual staff or volunteers who were helpful. Recurring negative comments describe inconsistent treatment at intake (being turned away or encountering unfriendly staff) and occasional problems with donation handling. The recent reviews are largely positive but include some mid‑rated reports echoing those access and consistency concerns.</t>
  </si>
  <si>
    <t>accepted google identity: 14.2/15; review volume: 30.0/30; review consistency: 4.3/7; review freshness: 4.6/8; verified website: 14.2/15; confirmed irs record: 0.0/20; source corroboration: 3.3/5; Synthesis metadata: high (not part of numeric confidence)</t>
  </si>
  <si>
    <t>308 Main St, Reisterstown, MD 21136</t>
  </si>
  <si>
    <t>(410) 833-5440</t>
  </si>
  <si>
    <t>Reisterstown United Methodist Church - Food Distribution Center</t>
  </si>
  <si>
    <t>Serves residents of Reisterstown, Owings Mills, Glyndon, and Finksburg; visitors from those communities may stop by once a month for a free bag of food. ID is required to show residence in the listed service areas. Located in the basement of the Dale Chambers Community Center at 308 Main Street (enter from the back ramp); limited parking behind the pantry with additional parking in the main lot behind the church.</t>
  </si>
  <si>
    <t>Monday: Closed; Tuesday: Closed; Wednesday: Closed; Thursday: Closed; Friday: Closed; Saturday: 8 to 10:30 AM; Sunday: Closed</t>
  </si>
  <si>
    <t>A church-run food pantry that distributes free monthly bags of groceries to local residents and operates a small clothing "swap shop" for people with additional needs; it is staffed by volunteers and accepts donations and volunteers.</t>
  </si>
  <si>
    <t>http://rumcweb.org/serve/food-pantry/</t>
  </si>
  <si>
    <t>Available public review text is sparse and mixed: one recent review reports poor staff interaction and complaints about line/order behavior, while an earlier positive review contains no written detail. The small number of written reviews makes it difficult to generalize about typical client experience. Independent online listings and the organization's site consistently show active Saturday hours and volunteer-run operations, supporting that the pantry is currently functioning.</t>
  </si>
  <si>
    <t>accepted google identity: 14.2/15; review volume: 10.1/30; review consistency: 1.8/7; review freshness: 4.4/8; verified website: 14.2/15; confirmed irs record: 0.0/20; source corroboration: 3.3/5; Synthesis metadata: high (not part of numeric confidence)</t>
  </si>
  <si>
    <t>11832 Eastern Ave 410 335 7772, Middle River, MD 21220</t>
  </si>
  <si>
    <t>443-425-9694</t>
  </si>
  <si>
    <t>11832 Eastern Ave 410 335 7772</t>
  </si>
  <si>
    <t>Wednesdays from 9 – 12 p.m.</t>
  </si>
  <si>
    <t>A physical location/business listing identified for the address in Middle River, MD. Public sources contain minimal detail about what is offered and do not describe services, hours, or access procedures.</t>
  </si>
  <si>
    <t>The Google Maps listing exists but contains very little information (no categories, no hours, and no public reviews). Review feedback is unavailable, so there are no reviewer-reported positives or recurring complaints to summarize. Additional corroborating sources were not verified and website attribution was rejected, leaving the public profile thin and hard to evaluate.</t>
  </si>
  <si>
    <t>accepted google identity: 14.9/15; review volume: 0.0/30; review consistency: 0.0/7; review freshness: 0.0/8; verified website: 0.0/15; confirmed irs record: 0.0/20; source corroboration: 1.7/5; Synthesis metadata: insufficient_evidence (not part of numeric confidence)</t>
  </si>
  <si>
    <t>Bridgeway Community Cupboard - Food Pantry</t>
  </si>
  <si>
    <t>Described as “open to the community” and noted to operate on specified Saturdays; the listing also indicates there may be an eligibility requirement but no documents, referral, or intake details are provided. The website advises checking for updated hours.</t>
  </si>
  <si>
    <t>2nd and 4th Saturdays</t>
  </si>
  <si>
    <t>A congregation-run food pantry that distributes free prepackaged grocery boxes to community members and coordinates donations and volunteers through the church’s outreach program.</t>
  </si>
  <si>
    <t>https://www.bridgeway.cc/outreach/</t>
  </si>
  <si>
    <t>Review excerpts describe visitors encountering kind, helpful, and professional staff and express gratitude for the assistance; another reviewer described a meaningful worship experience at the location. There are no recurring negative themes in the fetched review text. The available review excerpts are positive but limited in quantity, so they offer a consistent but narrow view.</t>
  </si>
  <si>
    <t>accepted google identity: 14.2/15; review volume: 12.3/30; review consistency: 7.0/7; review freshness: 1.6/8; verified website: 14.2/15; confirmed irs record: 0.0/20; source corroboration: 3.3/5; Synthesis metadata: medium (not part of numeric confidence)</t>
  </si>
  <si>
    <t>10264 Baltimore National Pike, Ellicott City, MD 21042</t>
  </si>
  <si>
    <t>(410) 988-5392</t>
  </si>
  <si>
    <t>Food and Care For All (FCFA)</t>
  </si>
  <si>
    <t>Website and listing state the pantry serves Howard County residents only and operates as a Client Choice Pantry. The health clinic is described as serving uninsured and under-insured clients and offers free education, testing, immunizations and linkage to care; the clinic is described as CLIA-certified for waived testing. The website lists a texting intake/contact option ('JOIN P-CAT') for follow-up. (All access details supported by website (evidence_id 136) and corroborated by gmaps_listing (evidence_id 134).)</t>
  </si>
  <si>
    <t>Monday: Closed; Tuesday: 10 AM to 1 PM; Wednesday: Closed; Thursday: Closed; Friday: Closed; Saturday: 10 AM to 1 PM; Sunday: Closed</t>
  </si>
  <si>
    <t>A community organization operating a client-choice food pantry in Ellicott City and an on-site sexual and reproductive health clinic; also runs vaccination events, diabetes-prevention and other community health and empowerment programs and accepts donations and volunteers.</t>
  </si>
  <si>
    <t>http://www.fcfaglobal.org/</t>
  </si>
  <si>
    <t>Public reviews describe gracious, caring and knowledgeable staff and an organized, dignity-preserving experience for clients; reviewers specifically praise individual staff and note the organization’s welcoming approach. There are no recurring negative reports in the available review text, and the most recent review (though without a written comment) is consistent with the positive ratings. Operational status and program details are corroborated by the organization’s official website and an active IRS filing.</t>
  </si>
  <si>
    <t>accepted google identity: 14.2/15; review volume: 15.7/30; review consistency: 7.0/7; review freshness: 2.1/8; verified website: 14.2/15; confirmed irs record: 20.0/20; source corroboration: 5.0/5; Synthesis metadata: high (not part of numeric confidence)</t>
  </si>
  <si>
    <t>7414 Ellen Ave, Sparrows Point, MD 21219</t>
  </si>
  <si>
    <t>(410) 477-0697</t>
  </si>
  <si>
    <t>Edgemere Church of God</t>
  </si>
  <si>
    <t>Office hours listed on the website: Tuesday–Friday, 10:00 AM–3:00 PM; contact via the website contact form or church office for inquiries. The website does not state any eligibility restrictions, intake, or referral requirements for general attendance.</t>
  </si>
  <si>
    <t>Monday: Closed; Tuesday: Closed; Wednesday: 7 to 8 PM; Thursday: Closed; Friday: Closed; Saturday: Closed; Sunday: 10 AM to 12 PM, 6 to 8 PM</t>
  </si>
  <si>
    <t>A local church that holds in-person worship services and offers programs and ministries for children, youth, young adults, and families, plus small-group and volunteer/missions opportunities. Services are available in-person and the site indicates services are live-streamed when unable to attend in person.</t>
  </si>
  <si>
    <t>https://www.edgemerechurch.com/</t>
  </si>
  <si>
    <t>Google Maps reviewers consistently praise the congregation’s caring members, strong teaching, and community involvement, and multiple recent reviews echo that positive tone. Negative feedback is infrequent in the fetched sample and does not show a recurring operational problem. The newest reviews continue to reflect similar positive experiences, suggesting reviewer sentiment has been stable.</t>
  </si>
  <si>
    <t>accepted google identity: 14.2/15; review volume: 30.0/30; review consistency: 5.0/7; review freshness: 6.1/8; verified website: 14.2/15; confirmed irs record: 0.0/20; source corroboration: 3.3/5; Synthesis metadata: high (not part of numeric confidence)</t>
  </si>
  <si>
    <t>7566 E Howard Rd, Glen Burnie, MD 21060</t>
  </si>
  <si>
    <t>(410) 761-9272</t>
  </si>
  <si>
    <t>Rock &amp; Steward Ministry Outreach - Food Distribution Center</t>
  </si>
  <si>
    <t>Tuesday &amp; Thursday from 10 a.m. to 3 p.m. Saturday from 10 a.m. to 1 p.m. A clothing closet and health clinic are also available.</t>
  </si>
  <si>
    <t>A local, physical food-distribution service listed on Google Maps as a food bank / food distribution center operating at the Glen Burnie address (located within a church).</t>
  </si>
  <si>
    <t>Google Maps provides a listing for this organization but contains no substantive written reviews to indicate user experience; reviewer feedback is therefore unavailable or too thin to judge service quality. The listing includes accessibility details (wheelchair-accessible entrance and parking), which may be useful to visitors. No verified official website could be found to corroborate or expand on the listing details online.</t>
  </si>
  <si>
    <t>accepted google identity: 14.2/15; review volume: 8.9/30; review consistency: 7.0/7; review freshness: 5.5/8; verified website: 0.0/15; confirmed irs record: 0.0/20; source corroboration: 1.7/5; Synthesis metadata: insufficient_evidence (not part of numeric confidence)</t>
  </si>
  <si>
    <t>9055 Tamar Dr, Columbia, MD 21045</t>
  </si>
  <si>
    <t>(301) 596-5571</t>
  </si>
  <si>
    <t>Saint John Baptist Church - Food Pantry</t>
  </si>
  <si>
    <t>The Google Maps profile indicates an eligibility requirement but does not list specific documentation, intake steps, or hours. No verified website is available; contact details on the profile (phone) may be needed to confirm access rules and schedule.</t>
  </si>
  <si>
    <t>the 1st, 2nd, and 4th Wednesday of each month from 9 – 12 p.m., and the 3rd Thursday of each month.</t>
  </si>
  <si>
    <t>A church-based food pantry providing in-person food distribution and grocery pickup; the listing also indicates wheelchair-accessible entrance and parking at the location.</t>
  </si>
  <si>
    <t>Public Google Maps reviews are uniformly positive, with reviewers describing friendly, helpful staff and a supportive community atmosphere. There are no recurring negative reports in the available review text. The most recent reviews continue to reflect the same positive themes.</t>
  </si>
  <si>
    <t>accepted google identity: 14.2/15; review volume: 15.9/30; review consistency: 7.0/7; review freshness: 4.6/8; verified website: 0.0/15; confirmed irs record: 0.0/20; source corroboration: 1.7/5; Synthesis metadata: medium (not part of numeric confidence)</t>
  </si>
  <si>
    <t>7006 Graces Quarters Rd, Baltimore, MD 21220</t>
  </si>
  <si>
    <t>(410) 335-0059</t>
  </si>
  <si>
    <t>J &amp; C Unity - Food Distribution Center</t>
  </si>
  <si>
    <t>Operates from inside a church location (located in J &amp; C Unity Christian Church). Google listing shows a phone contact; no verified website or posted hours were found. Reviews indicate people have received help quickly (including same-day/next-day assistance). The site listing notes wheelchair-accessible entrance and parking.</t>
  </si>
  <si>
    <t>Mondays, Tuesdays, Thursdays, and Fridays from 9 a.m. to 5 p.m. and Wednesdays from 9 a.m. to 12:30 p.m. Free Farmers Market on the first and third Saturdays of the month from 8 to 10 a.m. More information can be found on their Facebook page.</t>
  </si>
  <si>
    <t>A local food distribution program operating from a church location that provides households with groceries and emergency food support, with reviewers reporting on-site distributions and timely assistance.</t>
  </si>
  <si>
    <t>Reviewer feedback is uniformly positive: visitors report plentiful food, quick assistance, and helpful staff (one reviewer named a staff person). There are no negative or mixed reviews in the available sample; the newest review continues the same positive pattern. Corroborating information is limited to the Google Maps listing and a small set of reviews, and there is no verified website or registry match to further confirm operations.</t>
  </si>
  <si>
    <t>accepted google identity: 14.2/15; review volume: 11.3/30; review consistency: 7.0/7; review freshness: 4.5/8; verified website: 0.0/15; confirmed irs record: 0.0/20; source corroboration: 1.7/5; Synthesis metadata: medium (not part of numeric confidence)</t>
  </si>
  <si>
    <t>8146 Quarterfield Rd, Severn, MD 21144</t>
  </si>
  <si>
    <t>(410) 551-8500</t>
  </si>
  <si>
    <t>Heritage Community Church</t>
  </si>
  <si>
    <t>Monday: 9 AM to 4 PM; Tuesday: 9 AM to 4 PM; Wednesday: 9 AM to 4 PM, 6 to 8:30 PM; Thursday: 9 AM to 4 PM; Friday: 9 AM to 1 PM; Saturday: Closed; Sunday: 9 to 11:30 AM</t>
  </si>
  <si>
    <t>A local Christian church that holds regular worship services and offers congregation-based programs such as small groups, Bible studies, discipleship/growth-track programming, youth and family ministries, and community support activities (patrons report a food pantry/food bank operated from the site).</t>
  </si>
  <si>
    <t>https://www.heritage-cc.org/</t>
  </si>
  <si>
    <t>Reviewers most often praise the congregation’s kindness, generosity, and volunteer-run community support (multiple recent reviews specifically note helpfulness at the church food distribution). Many reviewers also describe positive worship experiences and a welcoming atmosphere across age groups. There is at least one detailed negative report describing poor pastoral follow-up after a family emergency, so experiences are not uniformly positive; the newest reviews remain largely positive and emphasize the church’s food assistance and welcoming volunteers.</t>
  </si>
  <si>
    <t>accepted google identity: 14.2/15; review volume: 30.0/30; review consistency: 2.6/7; review freshness: 5.3/8; verified website: 14.2/15; confirmed irs record: 0.0/20; source corroboration: 3.3/5; Synthesis metadata: high (not part of numeric confidence)</t>
  </si>
  <si>
    <t>112 Connolly Rd # D, Fallston, MD 21047</t>
  </si>
  <si>
    <t>(410) 877-9730</t>
  </si>
  <si>
    <t>Tabitha's House at Fallston</t>
  </si>
  <si>
    <t>Donation center hours (per website) at Fallston: Tuesday, Thursday, Saturday 10:00 AM–2:00 PM. The site lists accepted and not-accepted donation items; items not accepted include televisions, computers/monitors/printers, large furniture, large appliances, cribs, car seats, encyclopedias, VHS tapes or recorders, mattresses, bed pillows, sporting goods, curtain rods without hardware, paint, large exercise equipment, and broken/damaged items. The food pantry is described as serving individuals and families facing food insecurity. No evidence of specific client documentation, referral, or intake requirements was found.</t>
  </si>
  <si>
    <t>Monday: Closed; Tuesday: 9 AM to 4 PM; Wednesday: 9 AM to 5 PM; Thursday: 9 AM to 4 PM; Friday: 9 AM to 4 PM; Saturday: 9 AM to 4 PM; Sunday: Closed</t>
  </si>
  <si>
    <t>A mission-driven thrift store that sells donated clothing, household goods, toys, books, and specialty marketplace items; it also operates a food pantry and provides case-management style support for under-resourced community members.</t>
  </si>
  <si>
    <t>http://www.tabithashouse.org/</t>
  </si>
  <si>
    <t>Google reviewers commonly praise friendly, helpful staff, a clean and well-organized store environment, and good deals that support the local community. Recurring concerns include recent complaints about pricing (some reviewers say items have become less affordable), difficulties with donation hours/process and parking, and occasional quality issues (for example, missing puzzle pieces or questions about high-value items being sold off-site). The most recent reviews in the fetched sample are mostly positive, indicating current sentiment leans favorable despite several notable critical reports in the sample.</t>
  </si>
  <si>
    <t>accepted google identity: 14.2/15; review volume: 30.0/30; review consistency: 1.7/7; review freshness: 7.9/8; verified website: 14.2/15; confirmed irs record: 0.0/20; source corroboration: 3.3/5; Synthesis metadata: high (not part of numeric confidence)</t>
  </si>
  <si>
    <t>1100 Philadelphia Rd, Joppatowne, MD 21085</t>
  </si>
  <si>
    <t>(410) 679-4000</t>
  </si>
  <si>
    <t>Trinity Lutheran Church - Food Distribution Center</t>
  </si>
  <si>
    <t>The listing indicates there is an eligibility requirement but does not specify the eligibility criteria or required documentation.</t>
  </si>
  <si>
    <t>Monday: Closed; Tuesday: 6 to 7:30 PM; Wednesday: Closed; Thursday: 3:30 to 5 PM; Friday: Closed; Saturday: 10 AM to 12 PM; Sunday: Closed</t>
  </si>
  <si>
    <t>A church-run food distribution center / food bank that provides grocery pickup and food assistance; the listing also indicates it accepts food and monetary donations and new volunteers.</t>
  </si>
  <si>
    <t>http://trinityjoppa.org/</t>
  </si>
  <si>
    <t>Google reviewers consistently describe the ministry as helpful and say they received food assistance when in need, with multiple reviewers expressing gratitude and calling the service a blessing. There is little detailed negative feedback in the sampled reviews, so specific recurring concerns are not evident. The most recent reviews remain positive, indicating reviewers continue to report similar helpful experiences.</t>
  </si>
  <si>
    <t>accepted google identity: 14.2/15; review volume: 20.4/30; review consistency: 4.4/7; review freshness: 5.9/8; verified website: 14.2/15; confirmed irs record: 0.0/20; source corroboration: 3.3/5; Synthesis metadata: medium (not part of numeric confidence)</t>
  </si>
  <si>
    <t>9385 Gerwig Ln J, Columbia, MD 21046</t>
  </si>
  <si>
    <t>(410) 313-6185</t>
  </si>
  <si>
    <t>Howard County Food Bank</t>
  </si>
  <si>
    <t>Registration/appointment and eligibility verification are required. Clients must complete a two-step application and provide photo ID, proof of Howard County residency, and proof of income for the past 30 days for household members age 18+. Clients may shop up to twice a month; a registration link for walk-in shopping opens at 12:30 PM on service days.</t>
  </si>
  <si>
    <t>Monday: Closed; Tuesday: 1 to 4 PM; Wednesday: 1 to 7 PM; Thursday: 1 to 4 PM; Friday: Closed; Saturday: Closed; Sunday: Closed</t>
  </si>
  <si>
    <t>A community food bank offering onsite grocery-style shopping and food assistance, distribution of baby and hygiene supplies, and connections to SNAP and other county support programs. The site also hosts volunteer opportunities and accepts food and monetary donations.</t>
  </si>
  <si>
    <t>https://www.cac-hc.org/programs-services/food-assistance/</t>
  </si>
  <si>
    <t>Google reviewers consistently praise friendly, helpful staff and note a good selection of items and efficient service; several recent reviews reiterate those positive experiences. Critical feedback in the review sample is minimal and often lacks detailed text. Review content is recent and consistent with the site’s operational details, supporting that the service is active and accessible as described.</t>
  </si>
  <si>
    <t>accepted google identity: 14.2/15; review volume: 30.0/30; review consistency: 3.0/7; review freshness: 7.5/8; verified website: 14.2/15; confirmed irs record: 0.0/20; source corroboration: 3.3/5; Synthesis metadata: high (not part of numeric confidence)</t>
  </si>
  <si>
    <t>1321 Woodbridge Station Way B, Edgewood, MD 21040</t>
  </si>
  <si>
    <t>(410) 612-9909</t>
  </si>
  <si>
    <t>Harford Community Action Agency-Energy Assistance &amp; Food Bank</t>
  </si>
  <si>
    <t>Direct client services are provided at the Edgewood site. The agency is the county-designated Community Action Agency serving Harford County residents experiencing financial hardship; clients are expected to contact the agency for intake and for SNAP application assistance (agency operates a SNAP hotline).</t>
  </si>
  <si>
    <t>Monday: 8 AM to 4:30 PM; Tuesday: 8 AM to 4:30 PM; Wednesday: 8 AM to 4:30 PM; Thursday: 8 AM to 4:30 PM; Friday: 8 AM to 12 PM; Saturday: Closed; Sunday: Closed</t>
  </si>
  <si>
    <t>A Harford County community action agency location offering on-site food pantry services and energy-assistance programs along with related client support such as SNAP application help and family/budget counseling programs.</t>
  </si>
  <si>
    <t>http://harfordcaa.org/</t>
  </si>
  <si>
    <t>Recent Google reviewers commonly praise helpful staff and the food pantry’s offerings, noting fresh produce and substantial support for clients; some reviewers say the agency’s services were life-changing. Recurring criticisms focus on difficulty reaching the pantry by phone and a few reports of rude or unhelpful interactions. The newest reviews in the fetched sample trend positive, though negative comments about phone access and customer service appear repeatedly in earlier recent reviews.</t>
  </si>
  <si>
    <t>accepted google identity: 14.2/15; review volume: 30.0/30; review consistency: 0.7/7; review freshness: 6.7/8; verified website: 14.2/15; confirmed irs record: 0.0/20; source corroboration: 3.3/5; Synthesis metadata: high (not part of numeric confidence)</t>
  </si>
  <si>
    <t>26 Magothy Beach Rd, Pasadena, MD 21122</t>
  </si>
  <si>
    <t>(410) 437-4242</t>
  </si>
  <si>
    <t>The Y in Pasadena</t>
  </si>
  <si>
    <t>Facility use and most programs/classes are for Y members. Class offerings vary by location. Some outdoor or select classes require tokens distributed at the center (tokens are available no earlier than 30 minutes before class). Program enrollment or scheduling details (e.g., FitQuest, personal training, swim lessons) are provided by the center.</t>
  </si>
  <si>
    <t>A local YMCA family center providing a full-service fitness facility with gym equipment, an indoor pool and splash pad, group exercise and water classes, personal and small-group training programs, swim lessons, supervised child play, and an on-site market.</t>
  </si>
  <si>
    <t>https://ymaryland.org/locations/pasadenay</t>
  </si>
  <si>
    <t>Google Maps reviewers frequently praise the facilities, equipment, pool, variety of classes, and welcoming staff; many recent reviews repeat those positives. Recurring criticisms cite occasional cleanliness and pool maintenance issues, concerns about lifeguard interactions and waitlist management, and some reports of slow responsiveness for scheduling small paid services. While most recent feedback remains positive, the negative reports indicate some variability in customer service and facility upkeep.</t>
  </si>
  <si>
    <t>accepted google identity: 14.2/15; review volume: 30.0/30; review consistency: 1.9/7; review freshness: 8.0/8; verified website: 14.2/15; confirmed irs record: 0.0/20; source corroboration: 3.3/5; Synthesis metadata: high (not part of numeric confidence)</t>
  </si>
  <si>
    <t>961 Johnsville Rd, Sykesville, MD 21784</t>
  </si>
  <si>
    <t>(410) 795-2777</t>
  </si>
  <si>
    <t>Wesley Freedom Pantry - Food Distribution Center</t>
  </si>
  <si>
    <t>Monday, Wednesday, Thursday 9 to 11 a.m. and 1 to 3 p.m. Fridays 9 to 11 a.m. only.</t>
  </si>
  <si>
    <t>A local food pantry / distribution center that provides grocery-style food distribution and offers opportunities to donate food or money and to volunteer with the pantry.</t>
  </si>
  <si>
    <t>https://wesleyfreedom.org/south-carroll-food-pantry-and-feed-my-sheep/</t>
  </si>
  <si>
    <t>Google Maps reviewers who left feedback consistently express strong appreciation for the pantry and its volunteers; one recent written review calls it the "Best Pantry around" and thanks staff for selfless service. Most posted reviews contain no written detail, so specific operational strengths or weaknesses beyond general praise are limited. The most recent reviews continue the same positive tone, but the organization’s own web page for this program returned a 404 at the time of checking, so online corroboration beyond the Maps listing is weak.</t>
  </si>
  <si>
    <t>accepted google identity: 14.2/15; review volume: 12.5/30; review consistency: 7.0/7; review freshness: 5.8/8; verified website: 14.2/15; confirmed irs record: 0.0/20; source corroboration: 3.3/5; Synthesis metadata: medium (not part of numeric confidence)</t>
  </si>
  <si>
    <t>Derwood, MD 20855</t>
  </si>
  <si>
    <t>(301) 915-7538</t>
  </si>
  <si>
    <t>Celestial Manna</t>
  </si>
  <si>
    <t>Daily (website states daily recovery and pick-up and that it provides food every day at multiple community distribution sites).</t>
  </si>
  <si>
    <t>Faith-driven organization that rescues surplus food and distributes meals and other essential items through food recovery, partner pickups, and community distribution sites. It accepts donated food and other goods, offers volunteer opportunities and online donation options, and provides occasional spiritual/prayer support to recipients.</t>
  </si>
  <si>
    <t>https://www.celestialmanna.org/</t>
  </si>
  <si>
    <t>Public review text was not available for analysis (the listing shows two public reviews but no review content was fetched), so reviewer feedback is too thin to describe user experience. The organization has a reachable official website that describes detailed, ongoing food-recovery and distribution programs, and the Google Maps listing includes a phone number and charity category that match the website identity. There is no matched IRS BMF record in the provided registry data.</t>
  </si>
  <si>
    <t>accepted google identity: 14.2/15; review volume: 6.1/30; review consistency: 0.0/7; review freshness: 0.0/8; verified website: 14.2/15; confirmed irs record: 0.0/20; source corroboration: 3.3/5; Synthesis metadata: medium (not part of numeric confidence)</t>
  </si>
  <si>
    <t>1918 Pulaski Hwy, Edgewood, MD 21040</t>
  </si>
  <si>
    <t>(443) 981-3742</t>
  </si>
  <si>
    <t>The EPICENTER at Edgewood</t>
  </si>
  <si>
    <t>Food distribution noted by reviewers as occurring on specific weekdays (reviewers reported Tuesday and Thursday); at least some food distributions reportedly require ID, benefit cards, and proof of address (reported in Google reviews). Contact or intake details are not provided in the available evidence beyond site phone numbers and posted weekday hours.</t>
  </si>
  <si>
    <t>Monday: 10 AM to 3 PM; Tuesday: 10 AM to 3 PM; Wednesday: 10 AM to 3 PM; Thursday: 10 AM to 3 PM; Friday: Closed; Saturday: Closed; Sunday: Closed</t>
  </si>
  <si>
    <t>A community center offering programs and on-site services for local residents, with a focus on youth programming, basic needs (food pantry, thrift store), life-skills supports, recovery resources, and staffed assistance for connections to services.</t>
  </si>
  <si>
    <t>http://epicentercc.org/</t>
  </si>
  <si>
    <t>Google reviewers consistently describe friendly, helpful staff and a welcoming community atmosphere, and repeatedly cite on-site resources such as a food pantry, thrift store, after-school care, computers/wifi, and youth programming. Reported experiences in the most recent reviews continue this positive pattern; reviewers also provide concrete operational details (days for food distribution, examples of classes and camps). The organization’s reachable website corroborates the listing’s program claims and hours.</t>
  </si>
  <si>
    <t>accepted google identity: 14.2/15; review volume: 30.0/30; review consistency: 4.0/7; review freshness: 8.0/8; verified website: 14.2/15; confirmed irs record: 0.0/20; source corroboration: 3.3/5; Synthesis metadata: high (not part of numeric confidence)</t>
  </si>
  <si>
    <t>915 Liberty Rd, Sykesville, MD 21784</t>
  </si>
  <si>
    <t>(443) 920-9191</t>
  </si>
  <si>
    <t>St Joseph Catholic Church</t>
  </si>
  <si>
    <t>Reconciliation is offered by appointment; the website instructs callers to contact the parish office to schedule and notes there is no Reconciliation when the parish office is closed. (See evidence listed.)</t>
  </si>
  <si>
    <t>Monday: 9:30 AM to 3:30 PM; Tuesday: 9:30 AM to 3:30 PM; Wednesday: 9:30 AM to 3:30 PM; Thursday: 9:30 AM to 3:30 PM; Friday: 9:30 AM to 3:30 PM; Saturday: 3:30 to 6 PM; Sunday: 8 to 9 AM, 10:45 to 11:45 AM, 5 to 6 PM</t>
  </si>
  <si>
    <t>Parish church that holds regular Masses and runs multiple community programs; the parish hosts a Carroll County Food Sunday food program and lists local assistance (Saint Vincent de Paul) and faith-formation/youth activities on its site.</t>
  </si>
  <si>
    <t>http://www.saintjoseph.cc/</t>
  </si>
  <si>
    <t>Public Google Maps reviews mostly praise the parish community, friendly congregation, and the availability of multiple worship times and youth/faith-formation activities. A recurring concern in the most recent feedback is disruptive behavior by children during Mass, noted in a recent critical review; otherwise recent reviews are largely positive. The listing has an active website that corroborates program listings, but the parish does not show a confirmed registry match in the provided records.</t>
  </si>
  <si>
    <t>accepted google identity: 14.2/15; review volume: 30.0/30; review consistency: 2.2/7; review freshness: 7.6/8; verified website: 14.2/15; confirmed irs record: 0.0/20; source corroboration: 3.3/5; Synthesis metadata: high (not part of numeric confidence)</t>
  </si>
  <si>
    <t>8232 Redmiles Ln, Odenton, MD 21113</t>
  </si>
  <si>
    <t>(410) 551-8434</t>
  </si>
  <si>
    <t>River of Life Worship Center (formerly Full Gospel Emancipation Church)</t>
  </si>
  <si>
    <t>Reviewer accounts and an owner response indicate the food pantry operates by appointment and that clients should call to schedule with the food bank coordinator; a reviewer reported being turned away for lacking an appointment and not receiving a follow-up call. The website lists office hours (see service_days) during which staff can be reached; some food access is described as controlled by designated staff who manage refrigerated/freezer items.</t>
  </si>
  <si>
    <t>Monday: Closed; Tuesday: 10 AM to 4 PM; Wednesday: Closed; Thursday: 10 AM to 4 PM; Friday: 10 AM to 4 PM; Saturday: Closed; Sunday: 9:30 AM to 1 PM</t>
  </si>
  <si>
    <t>River of Life Worship Center is a local church in Odenton, MD that holds regular worship services and maintains an on-site food distribution/pantry (listed in association with a food distribution center). The organization publishes office hours and contact information on its official website.</t>
  </si>
  <si>
    <t>https://theriveroflifeworshipcenter.org/contact-us/</t>
  </si>
  <si>
    <t>Google Maps reviewers consistently praise the pastor and the worship experience, and multiple recent reviews express positive sentiments about the church community and leadership. A minority of reviews report a negative experience related to food pantry access—specifically being told an appointment was required and then not receiving a callback; the owner posted an apologetic response clarifying the appointment policy and offering to schedule assistance. Overall, public review text emphasizes strong spiritual leadership while the main recurring concern involves appointment-based access to the food distribution.</t>
  </si>
  <si>
    <t>accepted google identity: 14.2/15; review volume: 27.6/30; review consistency: 2.4/7; review freshness: 4.1/8; verified website: 14.2/15; confirmed irs record: 0.0/20; source corroboration: 3.3/5; Synthesis metadata: high (not part of numeric confidence)</t>
  </si>
  <si>
    <t>1980 Trimble Rd, Edgewood, MD 21040</t>
  </si>
  <si>
    <t>(410) 679-5662</t>
  </si>
  <si>
    <t>Crosspoint Community Church</t>
  </si>
  <si>
    <t>Website states services are open to everyone and invites the public to attend; no eligibility, referral, or documentation requirements are stated in the available sources.</t>
  </si>
  <si>
    <t>Monday: Closed; Tuesday: Closed; Wednesday: Closed; Thursday: Closed; Friday: Closed; Saturday: 9 PM to 1 AM; Sunday: 11:15 AM to 1 PM</t>
  </si>
  <si>
    <t>A local church that holds regular Sunday worship services and promotes community service; reviewers also report the operation of a food pantry connected to the site.</t>
  </si>
  <si>
    <t>http://cross-point-church.org/</t>
  </si>
  <si>
    <t>Google reviewers (the fetched sample) praise the on-site food pantry and a minister associated with the church; the website independently describes Sunday worship and community service activities. However, only a single recent review text was fetched and public listings provide limited sampled review text, so reviewer feedback is limited and cannot establish broader patterns beyond the positive comments available.</t>
  </si>
  <si>
    <t>accepted google identity: 14.2/15; review volume: 14.9/30; review consistency: 7.0/7; review freshness: 1.6/8; verified website: 14.2/15; confirmed irs record: 0.0/20; source corroboration: 3.3/5; Synthesis metadata: medium (not part of numeric confidence)</t>
  </si>
  <si>
    <t>21 Linwood Ave, Bel Air, MD 21014</t>
  </si>
  <si>
    <t>(410) 838-5181</t>
  </si>
  <si>
    <t>Manna House Soup Kitchen - Food Distribution Center</t>
  </si>
  <si>
    <t>Google Maps listing indicates there is an eligibility requirement for services but does not provide details about who qualifies or what documentation is needed.</t>
  </si>
  <si>
    <t>Tuesday from 12 p.m. to 2 p.m. &amp; by appointment.</t>
  </si>
  <si>
    <t>A food-distribution program operating at the Bel Air United Methodist Church location that provides meal service and food distribution (including senior food baskets) and accepts donations and volunteers.</t>
  </si>
  <si>
    <t>https://belairumc.org/</t>
  </si>
  <si>
    <t>Public feedback is extremely limited: there is a single, brief, positive Google review that is too sparse to support conclusions about user experience. Operational signals are corroborated by the Bel Air United Methodist Church website (which includes a senior food baskets page) and an accepted Google Maps listing, and an IRS BMF filing from 2025 further supports that the program is currently active.</t>
  </si>
  <si>
    <t>accepted google identity: 14.2/15; review volume: 5.0/30; review consistency: 7.0/7; review freshness: 5.5/8; verified website: 14.2/15; confirmed irs record: 0.0/20; source corroboration: 3.3/5; Synthesis metadata: medium (not part of numeric confidence)</t>
  </si>
  <si>
    <t>13900 Burntwoods Rd, Glenelg, MD 21737</t>
  </si>
  <si>
    <t>(410) 489-7260</t>
  </si>
  <si>
    <t>Glenelg United Methodist Church</t>
  </si>
  <si>
    <t>Monday: 9 AM to 3 PM; Tuesday: 9 AM to 3 PM; Wednesday: 9 AM to 3 PM; Thursday: 9 AM to 3 PM; Friday: Closed; Saturday: Closed; Sunday: 9:30 AM to 1 PM</t>
  </si>
  <si>
    <t>An on-site food distribution service (food pantry) operating at Glenelg United Methodist Church, providing physical, in-person food assistance at the church location.</t>
  </si>
  <si>
    <t>http://www.glenelgumc.org/</t>
  </si>
  <si>
    <t>Review text for this listing is effectively unavailable or too thin to summarize (the visible recent review has no written feedback), so there is no usable reviewer commentary to report. The Google Maps listing and the church’s official website both corroborate the organization’s identity, published hours, and contact information; the Maps record explicitly references a food distribution/pantry location within the church. The website was reachable and corroborated the Maps identity information.</t>
  </si>
  <si>
    <t>accepted google identity: 14.2/15; review volume: 10.1/30; review consistency: 7.0/7; review freshness: 1.6/8; verified website: 14.2/15; confirmed irs record: 0.0/20; source corroboration: 3.3/5; Synthesis metadata: medium (not part of numeric confidence)</t>
  </si>
  <si>
    <t>12430 Scaggsville Rd, Fulton, MD 20759</t>
  </si>
  <si>
    <t>(301) 854-2324</t>
  </si>
  <si>
    <t>Open Door Food Pantry - Food Distribution Center</t>
  </si>
  <si>
    <t>Google Maps listing indicates an eligibility requirement for services but provides no details about who qualifies or what documentation is needed.</t>
  </si>
  <si>
    <t>Monday, Tuesday, and Wednesday from 10 a.m. to 1 p.m. We have an active baby pantry.</t>
  </si>
  <si>
    <t>A physical food distribution pantry at a church location that offers grocery pickup and basic on-site food distribution; the Google Maps listing also notes accessibility features and accepts monetary donations.</t>
  </si>
  <si>
    <t>Public review text is unavailable or too thin to characterize client experiences: the fetched review contains no written feedback although the listing’s public ratings are positive. The Google Maps listing supplies operational details (address, phone, service options and accessibility notes), but there is no verified website and no authoritative registry match to further corroborate the organization’s status, which limits what can be confidently asserted about services and access procedures.</t>
  </si>
  <si>
    <t>accepted google identity: 14.2/15; review volume: 7.3/30; review consistency: 7.0/7; review freshness: 4.3/8; verified website: 0.0/15; confirmed irs record: 0.0/20; source corroboration: 1.7/5; Synthesis metadata: insufficient_evidence (not part of numeric confidence)</t>
  </si>
  <si>
    <t>6750 Woodbine Rd, Woodbine, MD 21797</t>
  </si>
  <si>
    <t>(410) 970-2485</t>
  </si>
  <si>
    <t>Morgan Chapel United Methodist Church</t>
  </si>
  <si>
    <t>The website states the Marketplace food pantry has a regular schedule (see service days) and that the 2nd and 4th Saturdays include expanded distributions intended for large families (defined on-site as 6 or more people) with milk vouchers available. The Pet Pantry is open on the 2nd Saturday of each month. The social hall is available for rent to community groups, families, and businesses (arrangements made by contacting the church).</t>
  </si>
  <si>
    <t>Monday: Closed; Tuesday: 1 to 6 PM; Wednesday: 1 to 6 PM; Thursday: 1 to 6 PM; Friday: 1 to 7 PM; Saturday: Closed; Sunday: 10:30 AM to 12 PM</t>
  </si>
  <si>
    <t>A local United Methodist church that operates an on-site food pantry/marketplace and related community services (including a monthly pet pantry and facility rental). Reviewers describe regular pantry distributions with volunteers handing groceries to visitors at their vehicles and many accounts of fresh produce and bakery items being available.</t>
  </si>
  <si>
    <t>https://morganchapel.church/</t>
  </si>
  <si>
    <t>Google Maps reviewers consistently praise the church’s pantry events and volunteers, noting friendly, helpful staff and frequent availability of fresh produce, breads, and a drive-up distribution process that places groceries directly into vehicles. There are very few negative or mixed comments in the sampled reviews; most recent reviews continue the pattern of positive feedback about the pantry and community support. Review text is plentiful and coherent enough to support these recurring themes.</t>
  </si>
  <si>
    <t>accepted google identity: 14.2/15; review volume: 29.1/30; review consistency: 6.0/7; review freshness: 6.2/8; verified website: 14.2/15; confirmed irs record: 0.0/20; source corroboration: 3.3/5; Synthesis metadata: high (not part of numeric confidence)</t>
  </si>
  <si>
    <t>4901 Woodbine Rd, Sykesville, MD 21784</t>
  </si>
  <si>
    <t>Rock of Help Food Pantry - Food Distribution Center</t>
  </si>
  <si>
    <t>Open to people in need in the local community. For more information or to arrange access, contact Sue Bergmann at the church office.</t>
  </si>
  <si>
    <t>On the 3rd Saturday of every month between the hours of 9:00 AM 	6:00 AM 	6:00 AM 	11:00 AM</t>
  </si>
  <si>
    <t>A local food pantry operating out of Ebenezer United Methodist Church that provides monthly grocery distributions (including grocery items and protein sources) to people in the surrounding community.</t>
  </si>
  <si>
    <t>https://www.ebenezerumchurch.org/rock-of-help-food-pantry/</t>
  </si>
  <si>
    <t>Available public reviews are few but consistently positive: reviewers express gratitude and appreciation, and one reviewer corroborates the pantry s monthly third-Saturday distribution and typical family counts served. There are no recurring negative themes in the visible review text. The site listing and the church website corroborate the service, but the small number of reviews limits how confidently user experience can be generalized.</t>
  </si>
  <si>
    <t>accepted google identity: 14.2/15; review volume: 11.3/30; review consistency: 5.4/7; review freshness: 4.5/8; verified website: 14.2/15; confirmed irs record: 0.0/20; source corroboration: 3.3/5; Synthesis metadata: medium (not part of numeric confidence)</t>
  </si>
  <si>
    <t>638 Lucabaugh Mill Rd, Westminster, MD 21157</t>
  </si>
  <si>
    <t>(410) 848-5537</t>
  </si>
  <si>
    <t>Deeds of Faith Food Pantry</t>
  </si>
  <si>
    <t>Service is by appointment only; clients must request an appointment via the pantry’s online form / waiting list. The pantry states there are no qualifications to request an appointment. Clients are asked to bring boxes or bags; the pantry does not provide deliveries. Operations follow Carroll County school-closure policies for inclement weather. (Access details documented on the pantry website and Google Maps listing.)</t>
  </si>
  <si>
    <t>The Deeds of Faith Food Pantry is open one day each week and by appointment only.</t>
  </si>
  <si>
    <t>A volunteer-run community food pantry that provides grocery distributions to local residents through appointment-based curbside pickup.</t>
  </si>
  <si>
    <t>https://www.mycrosswind.com/foodpantry</t>
  </si>
  <si>
    <t>Google Maps reviewers consistently describe generous, kind volunteers and good quantities/quality of food; multiple recent comments praise the pantry’s helpfulness and inclusiveness and note minimal paperwork. A few reviewers mention waits or minor logistical issues, and one low-rating review lacked explanatory text. The pantry’s active website and a recent IRS BMF filing (2025) further corroborate that the pantry is currently operating.</t>
  </si>
  <si>
    <t>accepted google identity: 14.2/15; review volume: 29.1/30; review consistency: 3.0/7; review freshness: 5.3/8; verified website: 14.2/15; confirmed irs record: 20.0/20; source corroboration: 5.0/5; Synthesis metadata: high (not part of numeric confidence)</t>
  </si>
  <si>
    <t>658 Lucabaugh Mill Rd, Westminster, MD 21157</t>
  </si>
  <si>
    <t>(410) 848-2222</t>
  </si>
  <si>
    <t>Westminster Rescue Mission</t>
  </si>
  <si>
    <t>Men-only residential program; outpatient services available to men and women. The AHC uses a faith-based approach but states faith is not required to receive services. The men's residential program is described as having a no-pay-barrier policy and states services are not denied due to inability to pay. The food program serves individuals and families and operates via campus distributions and partner redistribution.</t>
  </si>
  <si>
    <t>A faith-based organization that operates an Addiction Healing Center offering accredited residential and outpatient substance-use disorder treatment and transitional housing alongside a Mission Food Program that runs a food pantry, mobile/distribution partnerships, and county-wide food redistribution.</t>
  </si>
  <si>
    <t>https://www.westminsterrescuemission.org/</t>
  </si>
  <si>
    <t>Public reviews are mixed: some reviewers report the mission as helpful for people in need, while at least one reviewer raised specific, serious concerns about program management, staff turnover, and food safety. Several recent reviews are brief and positive or neutral, and the newest visible review expresses that the service helps people. The organization’s own website provides detailed program descriptions (including accreditation and specific ASAM levels) that corroborate the presence of both addiction-treatment programming and a sizable food-distribution ministry.</t>
  </si>
  <si>
    <t>accepted google identity: 14.2/15; review volume: 13.7/30; review consistency: 1.3/7; review freshness: 5.5/8; verified website: 14.2/15; confirmed irs record: 0.0/20; source corroboration: 3.3/5; Synthesis metadata: high (not part of numeric confidence)</t>
  </si>
  <si>
    <t>10 Distillery Dr, Westminster, MD 21157</t>
  </si>
  <si>
    <t>(410) 857-7926</t>
  </si>
  <si>
    <t>Carroll County Food Sunday</t>
  </si>
  <si>
    <t>Distributions are weekly and the grocery package is provided based on household size. Locations include Westminster, Eldersburg, and Taneytown sites. The program follows a snow/inclement-weather policy tied to Carroll County Public Schools (closed when schools are closed; open when schools are delayed). The site observes holiday closures (example: closed Dec 24–Jan 1) and posts event/closure notices on its site. Volunteers perform client greeting and interviews during intake. (All items above are supported by the organization’s official website and the Google Maps listing.)</t>
  </si>
  <si>
    <t>Monday: Closed; Tuesday: 10 to 11:15 AM, 1 to 2:15 PM; Wednesday: 10 to 11:15 AM, 1 to 2:15 PM; Thursday: 10 to 11:15 AM, 1 to 2:15 PM; Friday: Closed; Saturday: 9 to 11:15 AM; Sunday: Closed</t>
  </si>
  <si>
    <t>A county-based food program that distributes weekly supplemental grocery packages (including meat, eggs, bread, canned/boxed foods, milk and fresh-vegetable vouchers), runs multiple weekly distribution sites, accepts donations, and coordinates volunteers to staff packing and client intake.</t>
  </si>
  <si>
    <t>https://ccfoodsunday.org/</t>
  </si>
  <si>
    <t>Public reviews consistently praise the volunteers as friendly, helpful, and considerate, and many reviewers describe the program as an important local resource for obtaining basic groceries. A recurring negative theme in reviews is long waits or slow service at distribution times. The newest reviews continue to be positive and focus on volunteer helpfulness, indicating recent feedback aligns with the prevailing positive impressions.</t>
  </si>
  <si>
    <t>accepted google identity: 14.2/15; review volume: 30.0/30; review consistency: 3.0/7; review freshness: 7.6/8; verified website: 14.2/15; confirmed irs record: 0.0/20; source corroboration: 3.3/5; Synthesis metadata: high (not part of numeric confidence)</t>
  </si>
  <si>
    <t>708 Highland Rd, Street, MD 21154</t>
  </si>
  <si>
    <t>(410) 452-9025</t>
  </si>
  <si>
    <t>Mason-Dixon Community Services</t>
  </si>
  <si>
    <t>The agency states it serves low-income residents of northern Harford County (MD) and southeastern York County (PA). Some programs require eligibility (the client-choice pantry is available to eligible clients on a monthly basis), and WIC services are provided at the Delta office by a partner (Community Progress Council) on a scheduled day; callers are directed to phone numbers on the website for eligibility and scheduling.</t>
  </si>
  <si>
    <t>Monday: 9 AM to 12 PM; Tuesday: 9 AM to 12 PM; Wednesday: 9 AM to 12 PM; Thursday: 9 AM to 12 PM; Friday: Closed; Saturday: Closed; Sunday: Closed</t>
  </si>
  <si>
    <t>A community human-services agency offering emergency basic-needs support and anti-poverty programs, including a client-choice food pantry, utility and eviction-prevention assistance, children &amp; youth supports (e.g., backpack nutrition and school-supply programs), and individualized information/referral and coaching services.</t>
  </si>
  <si>
    <t>http://www.mason-dixon.org/</t>
  </si>
  <si>
    <t>Google Maps reviewers consistently praise the organization for helping people in need and note caring staff; reviewers provide uniformly positive, brief comments and the most recent reviews continue that pattern. The available review text is limited in length but coherent in theme (helpful, caring). Website content corroborates program details and lists an EIN and contact information, but official registry matching was not found in the provided registry signal.</t>
  </si>
  <si>
    <t>accepted google identity: 14.2/15; review volume: 21.1/30; review consistency: 7.0/7; review freshness: 7.2/8; verified website: 14.2/15; confirmed irs record: 0.0/20; source corroboration: 3.3/5; Synthesis metadata: high (not part of numeric confidence)</t>
  </si>
  <si>
    <t>10 Hudson St, Annapolis, MD 21401</t>
  </si>
  <si>
    <t>(410) 349-5056</t>
  </si>
  <si>
    <t>The Light House, Inc.</t>
  </si>
  <si>
    <t>A local homeless shelter and support center that provides emergency shelter and related services aimed at preventing homelessness and helping people transition toward stable housing, employment, and self-sufficiency.</t>
  </si>
  <si>
    <t>http://www.annapolislighthouse.org/</t>
  </si>
  <si>
    <t>Public reviews show a mix of strong praise for staff and the shelter’s long-term positive outcomes alongside recurring, specific complaints about the intake experience and reports of an unsafe environment. Multiple recent reviewers describe problems with the intake/coordinated-entry process and rude or unhelpful interactions, while other reviewers credit staff members and the program for life-changing support. The newest reviews include serious safety and intake complaints, indicating some recent negative experiences alongside longstanding positive feedback.</t>
  </si>
  <si>
    <t>accepted google identity: 14.2/15; review volume: 30.0/30; review consistency: 1.4/7; review freshness: 7.1/8; verified website: 14.2/15; confirmed irs record: 0.0/20; source corroboration: 3.3/5; Synthesis metadata: high (not part of numeric confidence)</t>
  </si>
  <si>
    <t>410 E Jeffrey St, Brooklyn, MD 21225</t>
  </si>
  <si>
    <t>(410) 269-7600</t>
  </si>
  <si>
    <t>The Children's Guild School of Baltimore</t>
  </si>
  <si>
    <t>Students are served via referral through the local school district’s Nonpublic Placement office/team and the IEP process; the school serves ages 5–21 and has a published enrollment capacity (80 students). Student instruction is directed by an IEP; the school calendar and intake information are provided to parents/guardians and local school systems at intake. School-to-Work operates during the 10-month school year with optional summer sessions if required by a student’s IEP.</t>
  </si>
  <si>
    <t>Monday: 8 AM to 4 PM; Tuesday: 8 AM to 4 PM; Wednesday: 8 AM to 4 PM; Thursday: 8 AM to 4 PM; Friday: 8 AM to 4 PM; Saturday: Closed; Sunday: Closed</t>
  </si>
  <si>
    <t>A non-public special-education day school in Baltimore serving school-aged children and young adults. The program provides individualized instruction directed by Individualized Education Programs (IEPs), licensed clinical/outpatient mental-health services, and a School-to-Work vocational transition program for older students.</t>
  </si>
  <si>
    <t>https://childrensguildschools.org/baltimore</t>
  </si>
  <si>
    <t>Review feedback was unavailable or too thin to summarize community experiences. The organization’s official website and its Google Maps listing consistently describe it as a Maryland-approved non-public special education day school with licensed clinical services, published hours, and verified contact details. Because public reviewer text is absent, there is no corroborating user-experience information to confirm how services are delivered in practice.</t>
  </si>
  <si>
    <t>21366 E Sharp St, Rock Hall, MD 21661</t>
  </si>
  <si>
    <t>(410) 639-2926</t>
  </si>
  <si>
    <t>Rock Hall Seventh-day Adventist Church</t>
  </si>
  <si>
    <t>Monday: Closed; Tuesday: 2:30 to 5:30 PM; Wednesday: Closed; Thursday: Closed; Friday: Closed; Saturday: 9 AM to 2:30 PM; Sunday: Closed</t>
  </si>
  <si>
    <t>A local Seventh-day Adventist church offering in-person Sabbath worship and Sabbath School, Bible study and prayer gatherings, and a streamed Saturday worship service.</t>
  </si>
  <si>
    <t>http://www.rockhallsda.org/</t>
  </si>
  <si>
    <t>Google Maps reviewers consistently describe the congregation as welcoming and friendly and note examples of community-oriented activity; recent reviewer comments repeat that positive impression. The available review text does not surface recurring complaints or negative experiences. Website content corroborates scheduled worship and study times and the availability of an online stream.</t>
  </si>
  <si>
    <t>accepted google identity: 14.2/15; review volume: 16.3/30; review consistency: 7.0/7; review freshness: 4.9/8; verified website: 14.2/15; confirmed irs record: 0.0/20; source corroboration: 3.3/5; Synthesis metadata: high (not part of numeric confidence)</t>
  </si>
  <si>
    <t>110 W Bel Air Ave, Aberdeen, MD 21001</t>
  </si>
  <si>
    <t>(410) 272-0909</t>
  </si>
  <si>
    <t>Grace United Methodist Church</t>
  </si>
  <si>
    <t>Food pantry: Wednesdays 4:30 0:00 PM (on the church parking lot / Fellowship Hall entrance); shopping-style distribution with some pre-packed meals; quantities limited, first-come, first-served; no ID required. Children's Sunday School: guardians sign children in at the front pew with background-checked adults and sign them out at the classroom. Office hours: Monday - Friday, 8AM - 2PM (as listed on the organization's contact page).</t>
  </si>
  <si>
    <t>Monday: 8 AM to 2 PM; Tuesday: 8 AM to 2 PM; Wednesday: 8 AM to 2 PM; Thursday: 8 AM to 2 PM; Friday: 8 AM to 2 PM; Saturday: Closed; Sunday: 8:30 AM to 12 PM</t>
  </si>
  <si>
    <t>A local United Methodist church that holds regular worship services (contemporary and traditional), operates a weekly food pantry, and runs a children s Sunday School program. The site and listing indicate accessible facilities and an affirming, LGBTQ+ friendly environment.</t>
  </si>
  <si>
    <t>https://www.graceumchurch.org/</t>
  </si>
  <si>
    <t>Google Maps reviewers repeatedly describe the congregation and staff as welcoming, accepting, and supportive; recent reviewer comments emphasize a friendly atmosphere and appreciation for the worship style. The fetched review sample is uniformly positive and the newest reviews continue that pattern. Public listing metadata and the organization s official website corroborate operational hours and the existence of a weekly food pantry and children s programs.</t>
  </si>
  <si>
    <t>accepted google identity: 14.2/15; review volume: 25.2/30; review consistency: 7.0/7; review freshness: 5.5/8; verified website: 14.2/15; confirmed irs record: 0.0/20; source corroboration: 3.3/5; Synthesis metadata: high (not part of numeric confidence)</t>
  </si>
  <si>
    <t>21 Aberdeen Shopping Plz, Aberdeen, MD 21001</t>
  </si>
  <si>
    <t>(443) 788-1016</t>
  </si>
  <si>
    <t>The EPICENTER at Aberdeen</t>
  </si>
  <si>
    <t>Multiple reviewers allege that some children with special needs were excluded from certain activities and field trips. Several reviewers report difficulty reaching staff by phone or email and say the center has been closed at times that were inconvenient for working parents.</t>
  </si>
  <si>
    <t>Monday: 11 AM to 1 PM; Tuesday: 11 AM to 1 PM; Wednesday: 11 AM to 1 PM; Thursday: 11 AM to 1 PM; Friday: Closed; Saturday: Closed; Sunday: Closed</t>
  </si>
  <si>
    <t>A community center in Aberdeen that operates a food pantry and a community café serving meals, and that runs youth programming including before/ and after-school care and a summer camp. The organization also advertises life-skills supports such as case management, employment connections, recovery programs, fitness classes, and access to internet/laptops.</t>
  </si>
  <si>
    <t>Public reviews include both strong praise and substantial complaints. Several reviewers describe positive staff interactions, a welcoming environment for children (including reported support for special needs in older reviews), and accessibility of the food pantry/community café. Recurring concerns in more recent reviews are poor responsiveness to phone calls and emails, unexpected closures or inconvenient hours for working parents, and allegations of excluding neurodivergent children from some activities; the newest reviews emphasize those negative accessibility and inclusion issues.</t>
  </si>
  <si>
    <t>accepted google identity: 14.2/15; review volume: 29.6/30; review consistency: 0.7/7; review freshness: 6.8/8; verified website: 14.2/15; confirmed irs record: 0.0/20; source corroboration: 3.3/5; Synthesis metadata: medium (not part of numeric confidence)</t>
  </si>
  <si>
    <t>200 Old Post Rd, Aberdeen, MD 21001</t>
  </si>
  <si>
    <t>(667) 229-5560</t>
  </si>
  <si>
    <t>Chosen CDC</t>
  </si>
  <si>
    <t>Website states some programs are delivered in partnership with Harford County Public Schools and that CHOSEN to RISE is an after-school program for middle-school students. The site lists volunteer opportunities and a Contact page for sign-ups; no formal intake, required documents, or referral processes are published on the available pages.</t>
  </si>
  <si>
    <t>Every Wednesday from 5 to 6 p.m. Neighbors can shop the pantry and take a bagged dinner as well.</t>
  </si>
  <si>
    <t>A community development organization that operates youth education and mentorship programs (including a leadership academy and an after-school entrepreneurship academy for middle-school students), runs community health and outreach initiatives, and coordinates volunteer-driven events in Harford and Cecil Counties.</t>
  </si>
  <si>
    <t>https://www.chosencdc.org/contact-us</t>
  </si>
  <si>
    <t>No public user-review text or star ratings were available for the Google Maps listing, so reviewer feedback is unavailable or too thin to assess user experiences. The organization maintains an official website that describes multiple youth and community programs and provides a contact phone number and address matching the Google Maps listing; these two online presences corroborate each other. The website claims the organization was designated a 501(c)(3) in May 2020, but the provided registry data did not find a clear authoritative IRS match for that claim.</t>
  </si>
  <si>
    <t>accepted google identity: 13.5/15; review volume: 0.0/30; review consistency: 0.0/7; review freshness: 0.0/8; verified website: 13.5/15; confirmed irs record: 0.0/20; source corroboration: 3.3/5; Synthesis metadata: medium (not part of numeric confidence)</t>
  </si>
  <si>
    <t>475 W Central Ave, Davidsonville, MD 21035</t>
  </si>
  <si>
    <t>(410) 798-4868</t>
  </si>
  <si>
    <t>Riva Trace Baptist Church - Food Distribution Center</t>
  </si>
  <si>
    <t>Service restricted to residents of specified Anne Arundel County ZIP codes; individuals and families living in the listed ZIP codes are eligible to enroll for continuing food assistance. ZIP codes listed on the organization's site: 20711, 20733, 20751, 20758, 20765, 20778, 21032, 21037, 21106, 21140, 20714, 20736, 20754, 20764, 20776, 20779, 21035, 21054, 21114.</t>
  </si>
  <si>
    <t>1st Saturday of Every Month 8:00AM to 10:00AM</t>
  </si>
  <si>
    <t>A church-run food pantry that distributes groceries on a monthly schedule to families and individuals in specified Anne Arundel County ZIP codes.</t>
  </si>
  <si>
    <t>https://www.rtbc.org/get-involved/food-pantry/</t>
  </si>
  <si>
    <t>Review feedback was unavailable or too thin to draw conclusions: the Google Maps review content contains no substantive text. The organization's official website provides a detailed description of the pantry, publishes the monthly schedule, and lists ZIP-code eligibility, and the website was reachable and accepted as matching the Google Maps listing. These corroborating sources support the listed service details, but public review detail is minimal.</t>
  </si>
  <si>
    <t>accepted google identity: 14.2/15; review volume: 5.0/30; review consistency: 7.0/7; review freshness: 1.4/8; verified website: 14.2/15; confirmed irs record: 0.0/20; source corroboration: 3.3/5; Synthesis metadata: high (not part of numeric confidence)</t>
  </si>
  <si>
    <t>300 Seneca Ave, Havre De Grace, MD 21078</t>
  </si>
  <si>
    <t>(410) 939-3535</t>
  </si>
  <si>
    <t>Salvation Army</t>
  </si>
  <si>
    <t>Monday: Open 24 hours; Tuesday: Closed; Wednesday: Closed; Thursday: Closed; Friday: Closed; Saturday: Closed; Sunday: Open 24 hours</t>
  </si>
  <si>
    <t>Local Salvation Army location listed at this address that, according to the Google Maps listing, accepts clothing for recycling/donation and has accessible facilities and an on-site restroom. The listing shows a published phone number and an official website link.</t>
  </si>
  <si>
    <t>https://www.salvationarmyusa.org/</t>
  </si>
  <si>
    <t>Google reviewers commonly praise staff interactions and some users describe fast, helpful service. Recurring concerns focus on poor phone responsiveness and occasional negative experiences reported without much detail. The newest reviews are mixed—recent entries include both strongly positive and strongly negative impressions, suggesting variable experiences over time.</t>
  </si>
  <si>
    <t>accepted google identity: 14.2/15; review volume: 26.4/30; review consistency: 0.8/7; review freshness: 4.4/8; verified website: 14.2/15; confirmed irs record: 0.0/20; source corroboration: 3.3/5; Synthesis metadata: medium (not part of numeric confidence)</t>
  </si>
  <si>
    <t>105 N Mill St, Chestertown, MD 21620</t>
  </si>
  <si>
    <t>(410) 778-0550</t>
  </si>
  <si>
    <t>Community Food Pantry</t>
  </si>
  <si>
    <t>Monday – Friday from 10 a.m. – 2 p.m. by appointment, and Sundays 8 a.m. – 2 p.m.</t>
  </si>
  <si>
    <t>Public-facing listing and reviewer reports indicate this organization operates as a social-services site where patrons receive food and fresh grocery products and sometimes household items.</t>
  </si>
  <si>
    <t>https://kentfoodpantry.org/</t>
  </si>
  <si>
    <t>Google reviewers most often describe helpful, friendly staff and receiving fresh food or groceries; several reviewers explicitly call the staff "wonderful" and reference fresh products. A small number of reviews differ — the newest fetched review is a low rating claiming the reviewer has never been there, which departs from the earlier pattern of praise. The listing owner has not posted visible responses to reviews.</t>
  </si>
  <si>
    <t>accepted google identity: 14.2/15; review volume: 25.3/30; review consistency: 2.4/7; review freshness: 5.5/8; verified website: 14.2/15; confirmed irs record: 0.0/20; source corroboration: 3.3/5; Synthesis metadata: medium (not part of numeric confidence)</t>
  </si>
  <si>
    <t>304 Aiken Ave, Perryville, MD 21903</t>
  </si>
  <si>
    <t>(443) 966-4381</t>
  </si>
  <si>
    <t>New Victory Community 100 - Food Distribution Center</t>
  </si>
  <si>
    <t>Wheelchair-accessible entrance and wheelchair-accessible parking lot are noted on the Google Maps listing.</t>
  </si>
  <si>
    <t>Monday: Closed; Tuesday: 5 to 6:30 PM; Wednesday: Closed; Thursday: Closed; Friday: Closed; Saturday: Closed; Sunday: Closed</t>
  </si>
  <si>
    <t>A physical food distribution point (food bank/food pantry) operating at the New Victory Christian Church location that provides on-site food distribution services.</t>
  </si>
  <si>
    <t>Reviewer feedback is unavailable or too thin to identify recurring positive themes or concerns because the Google Maps review(s) include no review text. The Google Maps listing supplies structured hours and a phone number, but there is no verified official website and no clear registry match, so independent corroboration is limited.</t>
  </si>
  <si>
    <t>accepted google identity: 14.2/15; review volume: 5.0/30; review consistency: 7.0/7; review freshness: 3.6/8; verified website: 0.0/15; confirmed irs record: 0.0/20; source corroboration: 1.7/5; Synthesis metadata: insufficient_evidence (not part of numeric confidence)</t>
  </si>
  <si>
    <t>960 Craigtown Rd, Port Deposit, MD 21904</t>
  </si>
  <si>
    <t>(410) 378-9800</t>
  </si>
  <si>
    <t>Ray of Hope Mission Center</t>
  </si>
  <si>
    <t>Food pantry: open Fridays 9:30 AM–3:00 PM for clients. Service area restricted to Cecil County residents. To become a client, callers must schedule an appointment with the intake counselor. Holiday assistance requires completing an application; non-clients must bring required documentation to be approved. (Access details and eligibility are stated on the organization's website.)</t>
  </si>
  <si>
    <t>Monday: Closed; Tuesday: 9 AM to 4 PM; Wednesday: 9 AM to 4 PM; Thursday: 9 AM to 4 PM; Friday: 9 AM to 4 PM; Saturday: Closed; Sunday: Closed</t>
  </si>
  <si>
    <t>A local mission center that operates an on-site food pantry and a thrift/resale store, provides clothing and furniture assistance, runs holiday food and toy distribution programs, and offers short-term emergency help and some basic health/outreach services (for example, periodic blood pressure screening and pastoral counseling).</t>
  </si>
  <si>
    <t>http://rayofhopemissioncenter.com/</t>
  </si>
  <si>
    <t>Google reviewers consistently describe helpful, pleasant staff and note that the site provides free or low-cost food and donated items that help people get through the month; several reviewers specifically mention donated bakery and perishable items. Reviewers praise the organization’s community support and thrift-store offerings, while a few comments note that donation acceptance or item availability can vary. The organization's website publicly lists program details and hours (including a Friday food pantry schedule) and asserts 501(c)(3) status; an IRS BMF match was not found in the provided registry data, which is a point of unresolved administrative corroboration.</t>
  </si>
  <si>
    <t>accepted google identity: 14.2/15; review volume: 30.0/30; review consistency: 3.9/7; review freshness: 7.8/8; verified website: 14.2/15; confirmed irs record: 0.0/20; source corroboration: 3.3/5; Synthesis metadata: high (not part of numeric confidence)</t>
  </si>
  <si>
    <t>74 Frederick St, Taneytown, MD 21787</t>
  </si>
  <si>
    <t>(443) 500-1139</t>
  </si>
  <si>
    <t>Brian Safe Haven</t>
  </si>
  <si>
    <t>Saturdays from 1:30 to 3 p.m.</t>
  </si>
  <si>
    <t>Available sources do not describe specific programs or services. The public Google Maps listing identifies an organization called Brian Safe Haven at the given address but provides no explicit description of services offered.</t>
  </si>
  <si>
    <t>Public Google Maps reviews are uniformly positive and reviewers who left text praise the people and volunteers, but most reviews contain little or no written detail, which limits what can be learned from them. The Google Maps listing is marked as permanently closed and the organization’s website could not be verified, so current operational status and the presence or scope of services cannot be confirmed from available sources.</t>
  </si>
  <si>
    <t>accepted google identity: 14.2/15; review volume: 15.9/30; review consistency: 7.0/7; review freshness: 4.6/8; verified website: 0.0/15; confirmed irs record: 0.0/20; source corroboration: 1.7/5; Synthesis metadata: insufficient_evidence (not part of numeric confidence)</t>
  </si>
  <si>
    <t>206 Del Rhodes Ave, Queenstown, MD 21658</t>
  </si>
  <si>
    <t>(410) 827-7194</t>
  </si>
  <si>
    <t>Haven Ministries - Food Pantry</t>
  </si>
  <si>
    <t>Clients are asked to contact the organization to request assistance (phone contact is published on their website). The emergency shelter requires contacting the Emergency Shelter Case Manager and operates seasonally (October–April). The main food pantry is configured as a grocery-style pantry that allows clients to ‘shop’ for items. Multiple program locations are listed (a main Queenstown pantry and a mobile pantry/truck location), and some programs use case management and intake to determine assistance.</t>
  </si>
  <si>
    <t>Monday: 8:30 AM to 4:30 PM; Tuesday: 8:30 AM to 7 PM; Wednesday: 8:30 AM to 4:30 PM; Thursday: 8:30 AM to 4:30 PM; Friday: 8:30 AM to 4:30 PM; Saturday: Closed; Sunday: Closed</t>
  </si>
  <si>
    <t>Haven Ministries operates community programs that include a grocery-style food pantry, seasonal emergency shelter, clothing assistance via a thrift/boutique operation, furniture assistance, a resource/benevolence fund, housing-assistance programs, and street outreach and case-management supports for people experiencing hardship.</t>
  </si>
  <si>
    <t>https://www.haven-ministries.org/services-3</t>
  </si>
  <si>
    <t>Public reviews on the Google listing are overwhelmingly positive, with reviewers repeatedly praising polite, helpful staff and a clean, well-stocked pantry and thrift operation. Reviewers also comment that volunteers and specific staff are friendly and supportive; recent reviews continue the same positive tone. Review text is plentiful and consistent, so user feedback is strongly favorable and stable.</t>
  </si>
  <si>
    <t>accepted google identity: 14.2/15; review volume: 28.3/30; review consistency: 6.1/7; review freshness: 7.9/8; verified website: 14.2/15; confirmed irs record: 0.0/20; source corroboration: 3.3/5; Synthesis metadata: high (not part of numeric confidence)</t>
  </si>
  <si>
    <t>301 Homewood Ave, Centreville, MD 21617</t>
  </si>
  <si>
    <t>(410) 758-0143</t>
  </si>
  <si>
    <t>Our Mother of Sorrows - Food Distribution Center</t>
  </si>
  <si>
    <t>Repeats every second Thursday of the month, 4:00 PM - 6:00 PM</t>
  </si>
  <si>
    <t>An in-person parish-run food pantry / food distribution that provides food to the local community at the church location.</t>
  </si>
  <si>
    <t>https://sorrowsparish.org/events/food-pantry-2</t>
  </si>
  <si>
    <t>Public review feedback was unavailable or too thin to assess user experience. The organization's parish website publishes a recurring food pantry event with date/time and a church contact phone number, and a Google Maps listing corroborates the location and phone. The lack of public reviews and of a matched registry filing limits confirmation of user-reported reliability.</t>
  </si>
  <si>
    <t>21 W Frederick St, Walkersville, MD 21793</t>
  </si>
  <si>
    <t>(301) 845-4229</t>
  </si>
  <si>
    <t>Walkersville Food Bank</t>
  </si>
  <si>
    <t>Curbside pickup only; volunteers will assist once you pull down the Town Hall entrance. New clients are welcome. Eligibility includes being a resident of the greater Glade Valley area (specifically living in the Walkersville High School feeder pattern) and meeting listed categories such as SNAP, unemployment, Medical Assistance, Energy Assistance, TANF, or household income at or below 185% of the Federal Poverty Guidelines.</t>
  </si>
  <si>
    <t>Monday: 6:30 to 7:30 PM; Tuesday: Closed; Wednesday: Closed; Thursday: 1 to 3 PM; Friday: Closed; Saturday: Closed; Sunday: Closed</t>
  </si>
  <si>
    <t>A curbside food bank located in the lower level of Walkersville Town Hall that distributes a variety of baked goods, meats, fresh produce and staple grocery items; volunteers assist clients during curbside pickup. The program also accepts food and monetary donations.</t>
  </si>
  <si>
    <t>http://gladevalley.org/services/food-bank/</t>
  </si>
  <si>
    <t>Google reviewer feedback is consistently positive: reviewers praise friendly, helpful volunteers and describe donation and distribution events as well organized and smooth. There were no recurring complaints evident in the recent review sample, and the most recent reviews remain positive. The organization's website and Google listing corroborate the curbside pickup model, published hours, and eligibility requirements.</t>
  </si>
  <si>
    <t>accepted google identity: 14.2/15; review volume: 22.4/30; review consistency: 7.0/7; review freshness: 5.7/8; verified website: 14.2/15; confirmed irs record: 0.0/20; source corroboration: 3.3/5; Synthesis metadata: high (not part of numeric confidence)</t>
  </si>
  <si>
    <t>336 N Market St, Frederick, MD 21701</t>
  </si>
  <si>
    <t>(301) 662-7003</t>
  </si>
  <si>
    <t>Gale House</t>
  </si>
  <si>
    <t>Intake requires an appointment and an independent evaluation may be conducted (often required for court-involved individuals). Applicants must provide a current TB test (within the past 12 months) prior to scheduling certain prescreen or admission steps. If medication-assisted treatment (e.g., buprenorphine or Vivitrol) is needed, patients may be referred to telemedicine psychiatry services. (Source material indicates additional application and “what to bring” guidance.)</t>
  </si>
  <si>
    <t>A location of a substance-use treatment provider offering evaluations and a continuum of addiction treatment services including outpatient, intensive outpatient, and residential-level care, plus counseling, case management, medication monitoring, telemedicine referrals, and peer-support components.</t>
  </si>
  <si>
    <t>https://www.wellshouse.org/locations/frederick-md/frederick-gale-house/</t>
  </si>
  <si>
    <t>Public review data for this listing is limited: the Google Maps profile shows a small number of public reviews and the fetched sample is a single recent comment, so reviewer feedback is too thin to identify consistent praise or recurring complaints. Website content on the provider’s domain describes a broad set of substance-use services and intake requirements, but the specific location page returned a 404 on scrape, which weakens direct confirmation of location-level details. Directory metadata (Google Maps listing) does include published hours, phone, and an addiction-treatment category, providing partial corroboration.</t>
  </si>
  <si>
    <t>accepted google identity: 14.2/15; review volume: 12.0/30; review consistency: 7.0/7; review freshness: 3.4/8; verified website: 14.2/15; confirmed irs record: 0.0/20; source corroboration: 3.3/5; Synthesis metadata: medium (not part of numeric confidence)</t>
  </si>
  <si>
    <t>419 W South St, Frederick, MD 21701</t>
  </si>
  <si>
    <t>(301) 695-6633</t>
  </si>
  <si>
    <t>Frederick Rescue Mission</t>
  </si>
  <si>
    <t>Reviewer reports indicate guests may be limited to shopping at the clothing store once per month and that hygiene items (including feminine products) can be in limited supply; several reviewers advise calling ahead to confirm availability and hours. No official eligibility, intake, or document requirements were published on the verified website or listing payload.</t>
  </si>
  <si>
    <t>Monday: 9 AM to 4 PM; Tuesday: 9 AM to 4 PM; Wednesday: 9 AM to 4 PM; Thursday: 9 AM to 4 PM; Friday: 9 AM to 2 PM; Saturday: Closed; Sunday: Closed</t>
  </si>
  <si>
    <t>A mission-run site that operates an on-site food distribution/pantry and provides clothing through a free clothing store; reviewers and the site also note distribution of basic hygiene items. The organization runs volunteer-supported programs and residential or programmatic services referenced on its website.</t>
  </si>
  <si>
    <t>http://www.therescuemission.org/</t>
  </si>
  <si>
    <t>Google reviewers commonly praise hardworking and dedicated staff and volunteers, and multiple reviewers describe the clothing store and food distribution as helpful to people in need. Recurring concerns in recent reviews include food quality or expired items, limited parking and safety at the site, and constrained supplies of hygiene products. The newest reviews remain mixed—some recent high-rated comments praise staff while a few recent low-rated comments raise concrete complaints about access, safety, and item quality.</t>
  </si>
  <si>
    <t>accepted google identity: 14.2/15; review volume: 30.0/30; review consistency: 1.1/7; review freshness: 7.7/8; verified website: 14.2/15; confirmed irs record: 0.0/20; source corroboration: 3.3/5; Synthesis metadata: high (not part of numeric confidence)</t>
  </si>
  <si>
    <t>392 Cypress St, Millington, MD 21651</t>
  </si>
  <si>
    <t>(443) 480-0053</t>
  </si>
  <si>
    <t>Millington-Crumpton Food Pantry - Asbury United Methodist Church - Food Distribution Center</t>
  </si>
  <si>
    <t>No eligibility, intake, referral, hours, or documentation requirements are listed on the Google Maps entry. The listing identifies a phone number for contact but provides no published hours or intake details.</t>
  </si>
  <si>
    <t>Monday – Friday from 7 a.m. – 5 p.m.</t>
  </si>
  <si>
    <t>A local, site-based food distribution operation (described on Google Maps as a food pantry/food distribution center) operating from the Asbury United Methodist Church location in Millington, MD.</t>
  </si>
  <si>
    <t>Public review text is effectively unavailable for assessing user experience: the fetched Google review contains no written comment. The Google Maps entry supplies basic contact and location information and accessibility notes but no linked website or published hours, and the most recent review is over a year old. Because there is only the single sparse review and no other corroborating sources, operational details are thin and not well-documented.</t>
  </si>
  <si>
    <t>accepted google identity: 14.2/15; review volume: 7.3/30; review consistency: 7.0/7; review freshness: 3.6/8; verified website: 0.0/15; confirmed irs record: 0.0/20; source corroboration: 1.7/5; Synthesis metadata: insufficient_evidence (not part of numeric confidence)</t>
  </si>
  <si>
    <t>130 S Seton Ave Rear, Emmitsburg, MD 21727</t>
  </si>
  <si>
    <t>(717) 642-6963</t>
  </si>
  <si>
    <t>Emmitsburg Food Bank - Food Distribution Center</t>
  </si>
  <si>
    <t>Food assistance is available to any Frederick County resident in need; no referral is required. First-time visitors are required to show a photo ID and proof of physical address (PO Box addresses are not accepted). Use rear entrance for visits.</t>
  </si>
  <si>
    <t>Monday: 7 to 8 PM; Tuesday: Closed; Wednesday: 7 to 8 PM; Thursday: Closed; Friday: 10 to 11 AM; Saturday: 10 to 11 AM; Sunday: Closed</t>
  </si>
  <si>
    <t>A local, in-person food bank that distributes food to people in need and accepts donations and volunteers to support its operations.</t>
  </si>
  <si>
    <t>https://www.emmitsburgmd.gov/community_outreach/food_bank/index.php</t>
  </si>
  <si>
    <t>Reviewer feedback is unavailable or too thin to identify recurring positive themes or concerns (the Google review text is empty). The listing and the Town of Emmitsburg's official page provide matching contact details, hours, and intake rules, which together corroborate that the food bank is currently operating and reachable. The municipal website adds specific intake requirements and county eligibility that align with the listing.</t>
  </si>
  <si>
    <t>accepted google identity: 14.2/15; review volume: 5.0/30; review consistency: 7.0/7; review freshness: 2.8/8; verified website: 14.2/15; confirmed irs record: 0.0/20; source corroboration: 3.3/5; Synthesis metadata: high (not part of numeric confidence)</t>
  </si>
  <si>
    <t>227 Basil Ave, Chesapeake City, MD 21915</t>
  </si>
  <si>
    <t>(410) 885-3244</t>
  </si>
  <si>
    <t>Chesapeake City Ecumenical Association</t>
  </si>
  <si>
    <t>Food pantry hours are limited to the organization’s published times (see service_days). Clothing and household donations and distributions occur at the site during business hours. Emergency assistance is offered for items such as rent, shelter, utilities, prescription drugs for seniors, and small-scale home repairs; scholarship eligibility is for adults currently in or returning to the workforce and is awarded as funds permit through a partnership with Cecil College. The site listing also indicates wheelchair-accessible entrance and parking.</t>
  </si>
  <si>
    <t>Monday: Closed; Tuesday: 9 to 11:45 AM; Wednesday: 9 to 11:45 AM; Thursday: Closed; Friday: Closed; Saturday: Closed; Sunday: Closed</t>
  </si>
  <si>
    <t>A community-based organization that operates a food pantry and clothing/household pantry, provides emergency financial assistance for needs like rent, utilities, prescriptions and small home repairs, runs health education/wellness activities, and administers an adult continuing-education scholarship and youth programs.</t>
  </si>
  <si>
    <t>http://ccea4u.org/</t>
  </si>
  <si>
    <t>Available Google review text describes positive, useful experiences—reviewers specifically note help with clothes and food and indicate they would use the service again. No recurring concerns or negative themes appear in the accessible review text, and the most recent review(s) are consistent with earlier praise. The organization’s own website and the Google Maps listing corroborate service descriptions, published hours, and accessibility details.</t>
  </si>
  <si>
    <t>accepted google identity: 14.2/15; review volume: 16.1/30; review consistency: 7.0/7; review freshness: 6.5/8; verified website: 14.2/15; confirmed irs record: 0.0/20; source corroboration: 3.3/5; Synthesis metadata: high (not part of numeric confidence)</t>
  </si>
  <si>
    <t>4004 Ballenger Creek Pike, Frederick, MD 21703</t>
  </si>
  <si>
    <t>(301) 624-5838</t>
  </si>
  <si>
    <t>Emmanuel Trinity Lutheran Church</t>
  </si>
  <si>
    <t>The food bank serves people in the Tuscarora School District and the website states it is open on the 2nd and 4th Saturdays (site lists specific 9:00–11:00 a.m. opening times for some dates). The listing also indicates the facility has a wheelchair-accessible entrance, parking, and restroom. No other eligibility, intake, referral, or required-document details were provided in the available sources.</t>
  </si>
  <si>
    <t>Monday: 12 to 4 PM; Tuesday: Closed; Wednesday: 12 to 4 PM; Thursday: Closed; Friday: Closed; Saturday: Closed; Sunday: 9:30 AM to 12 PM</t>
  </si>
  <si>
    <t>A Lutheran congregation that holds regular worship services and operates a local food bank that distributes groceries and seasonal food baskets to families in its community.</t>
  </si>
  <si>
    <t>http://www.emmanueltrinity.org/</t>
  </si>
  <si>
    <t>Review text from Google Maps was unavailable or too thin to summarize reviewer experiences, so public-review feedback cannot be characterized. The organization's official website and the Google Maps listing are both reachable and describe the same core activities (worship services and a food bank), with the website providing program details and schedules. There is no authoritative public registry match for the organization in the provided records, so tax/registry status is unknown from these sources.</t>
  </si>
  <si>
    <t>accepted google identity: 14.2/15; review volume: 10.1/30; review consistency: 7.0/7; review freshness: 1.3/8; verified website: 14.2/15; confirmed irs record: 0.0/20; source corroboration: 3.3/5; Synthesis metadata: medium (not part of numeric confidence)</t>
  </si>
  <si>
    <t>103 Railroad Ave, St Michaels, MD 21663</t>
  </si>
  <si>
    <t>(410) 745-6073</t>
  </si>
  <si>
    <t>St Michaels Community Center</t>
  </si>
  <si>
    <t>Administrative hours Mon–Fri 9am–5pm; Community Café &amp; Pantry operate Mon, Wed, and Fri 1–3pm. The pantry provides pantry bags, eat‑in and take‑out options, and offers delivery; the website instructs people to request delivery by email and to call the center for pantry inquiries (contact details shown on the website).</t>
  </si>
  <si>
    <t>A physical community center in St. Michaels that operates a Community Café and Community Pantry offering pantry bags and prepared meals (eat‑in and take‑out) with delivery available, and that runs a thrift shop and offers senior and youth programs.</t>
  </si>
  <si>
    <t>http://www.stmichaelscc.org/</t>
  </si>
  <si>
    <t>Google reviewers most often praise the center’s food programs and the helpfulness of staff, with specific positive comments about free food and community service. Some reviews raise concerns about donation handling at the thrift shop and report rude interactions; the most recent review in the sample is a negative account about donations, which contrasts with earlier positive comments. Review text is available but limited in sample size, so these themes reflect actual reviewer reports rather than a large-scale consensus.</t>
  </si>
  <si>
    <t>accepted google identity: 14.2/15; review volume: 17.8/30; review consistency: 0.4/7; review freshness: 7.7/8; verified website: 14.2/15; confirmed irs record: 0.0/20; source corroboration: 3.3/5; Synthesis metadata: high (not part of numeric confidence)</t>
  </si>
  <si>
    <t>10 Frederick Rd, Thurmont, MD 21788</t>
  </si>
  <si>
    <t>(240) 288-1865</t>
  </si>
  <si>
    <t>Thurmont Food Bank</t>
  </si>
  <si>
    <t>Serves households in northern Frederick County; each household may receive food twice a month. Recipients are asked to bring a photo ID with current address (or a picture ID plus a piece of mail showing residence). Cars may line up 30 minutes before opening. Non-perishable donations may be dropped off in the entryway or an outdoor shed any time; perishable donations can be dropped off Tuesday and Friday from 11:00 a.m. to 1:00 p.m. Volunteers must be 16 years or older or accompanied by a parent.</t>
  </si>
  <si>
    <t>Monday: Closed; Tuesday: 5 to 7 PM; Wednesday: Closed; Thursday: Closed; Friday: 4 to 6 PM; Saturday: Closed; Sunday: Closed</t>
  </si>
  <si>
    <t>A community food pantry that distributes groceries to local households and accepts food donations; also coordinates volunteer opportunities for packing and distribution.</t>
  </si>
  <si>
    <t>http://www.thurmontfoodbank.com/contact</t>
  </si>
  <si>
    <t>Google Maps reviewers describe staff and volunteers as welcoming, helpful, and respectful; several reviews specifically mention feeling comfortable and supported when visiting. There are no recurring negative themes in the available review text, and the most recent reviews continue the same positive tone. Website content corroborates operational details such as hours, eligibility (photo ID and proof of address), and donation/volunteer procedures.</t>
  </si>
  <si>
    <t>accepted google identity: 14.2/15; review volume: 18.9/30; review consistency: 7.0/7; review freshness: 6.8/8; verified website: 14.2/15; confirmed irs record: 0.0/20; source corroboration: 3.3/5; Synthesis metadata: high (not part of numeric confidence)</t>
  </si>
  <si>
    <t>135 E High St, Elkton, MD 21921</t>
  </si>
  <si>
    <t>(410) 996-0260</t>
  </si>
  <si>
    <t>Cecil County Help Center</t>
  </si>
  <si>
    <t>Monday: 9 to 11:45 AM, 1 to 3:15 PM; Tuesday: 9 to 11:45 AM, 1 to 3:15 PM; Wednesday: 9 to 11:45 AM, 1 to 3:15 PM; Thursday: Closed; Friday: 9 to 11:45 AM, 1 to 3:15 PM; Saturday: Closed; Sunday: Closed</t>
  </si>
  <si>
    <t>A physical community help center that operates an onsite food bank/distribution and offers clothing recycling/distribution; listing also indicates accessible entrance and parking.</t>
  </si>
  <si>
    <t>Google Maps reviewers consistently report friendly, helpful staff and an organized, clean distribution experience with a good variety of food (reviewers specifically note fresh vegetables). A small number of reviews mention an isolated volunteer-related incident, but recent reviews remain positive and corroborate consistent service and hours. No verified official website was identified and there is no registry match, so independent corroboration beyond the Google listing and reviews is limited.</t>
  </si>
  <si>
    <t>accepted google identity: 14.2/15; review volume: 30.0/30; review consistency: 6.1/7; review freshness: 7.8/8; verified website: 0.0/15; confirmed irs record: 0.0/20; source corroboration: 1.7/5; Synthesis metadata: medium (not part of numeric confidence)</t>
  </si>
  <si>
    <t>14376 Benedictine Ln, Ridgely, MD 21660</t>
  </si>
  <si>
    <t>(410) 634-1140</t>
  </si>
  <si>
    <t>Martin's House &amp; Barn</t>
  </si>
  <si>
    <t>Food distribution is provided to Caroline County residents and others in need; recipients are required to wear a mask during distribution and are asked to remain in their vehicles while staff bring food and groceries. Thrift shop accepts donations (drop-off box at rear of store or by appointment); emergency supplies are available by appointment. (Sourced from the organization's website and its Google Maps listing.)</t>
  </si>
  <si>
    <t>Martin's House &amp; Barn operates a rural community service site that provides a family shelter, an on-site food pantry/emergency food distribution, a thrift shop for clothing and household items, and homelessness-prevention case management and referrals.</t>
  </si>
  <si>
    <t>https://www.martinshouseandbarn.org/</t>
  </si>
  <si>
    <t>Public reviewer comments that include text describe Martin's House &amp; Barn as a caring place that accepts donations and helps people in need; donors and visitors report confidence that donated items are used to help local families. The available review texts are limited (many recent reviews contain no written comments), but ratings remain positive and the newest entries do not indicate new negative themes. The organizational website corroborates specific programs and operating practices, and the Google Maps listing provides current structured hours and accessibility details.</t>
  </si>
  <si>
    <t>accepted google identity: 14.2/15; review volume: 20.1/30; review consistency: 5.2/7; review freshness: 8.0/8; verified website: 14.2/15; confirmed irs record: 0.0/20; source corroboration: 3.3/5; Synthesis metadata: high (not part of numeric confidence)</t>
  </si>
  <si>
    <t>6021 Solomons Island Rd, Huntingtown, MD 20639</t>
  </si>
  <si>
    <t>(410) 257-3444</t>
  </si>
  <si>
    <t>Chesapeake Cares Food Pantry</t>
  </si>
  <si>
    <t>Open to anyone with a need; no other qualifications required — simply stop in during published pantry openings to receive weekly support. Drive-thru service available (remain in vehicle; staff will assist using an electronic menu). Delivery available for homebound seniors; callers should contact the pantry for details.</t>
  </si>
  <si>
    <t>Monday: Closed; Tuesday: 4:30 to 7:30 PM; Wednesday: Closed; Thursday: 9 AM to 12:30 PM; Friday: Closed; Saturday: Closed; Sunday: Closed</t>
  </si>
  <si>
    <t>A church-run food pantry that provides weekly, choice-based grocery assistance (clients select items from a menu). The pantry offers drive‑thru distribution, delivery for homebound seniors, and periodic on-site outpatient health and wellness services through a partner mobile medical outreach.</t>
  </si>
  <si>
    <t>https://chesapeakechurch.org/visit-food-pantry/</t>
  </si>
  <si>
    <t>Google reviewers who left text praise polite, friendly staff and volunteers, and describe positive, helpful interactions when picking up groceries. There are few reviewer complaints evident in the fetched review text, and the most recent written review continues the same positive tone. The website and the accepted Google listing consistently describe the same hours, services, and access procedures.</t>
  </si>
  <si>
    <t>accepted google identity: 14.2/15; review volume: 24.0/30; review consistency: 5.6/7; review freshness: 3.5/8; verified website: 14.2/15; confirmed irs record: 0.0/20; source corroboration: 3.3/5; Synthesis metadata: high (not part of numeric confidence)</t>
  </si>
  <si>
    <t>1009 N Washington St, Easton, MD 21601</t>
  </si>
  <si>
    <t>(410) 822-3088</t>
  </si>
  <si>
    <t>Harvest of Hope - Food Pantry Easton Church of God</t>
  </si>
  <si>
    <t>Monday: Closed; Tuesday: Closed; Wednesday: Closed; Thursday: 12 to 2 PM; Friday: Closed; Saturday: Closed; Sunday: Closed</t>
  </si>
  <si>
    <t>A physical food pantry run from the Easton Church of God location that provides in-person food distribution. The listing also indicates a delivery option and notes the organization accepts monetary donations and volunteers.</t>
  </si>
  <si>
    <t>http://www.eastoncog.org/</t>
  </si>
  <si>
    <t>Public review feedback is very limited. One reviewer left a negative comment specifically about the timing (unable to use the Thursday noon–2 PM hours because of work), while another left a positive rating without comment; the newest review is the negative comment about hours. The Google Maps listing and the Easton Church of God website both corroborate the location, phone number, and published hours, but the small number of textual reviews limits what can be concluded about typical client experiences.</t>
  </si>
  <si>
    <t>accepted google identity: 14.2/15; review volume: 8.5/30; review consistency: 0.0/7; review freshness: 4.2/8; verified website: 14.2/15; confirmed irs record: 0.0/20; source corroboration: 3.3/5; Synthesis metadata: medium (not part of numeric confidence)</t>
  </si>
  <si>
    <t>3451 Falls Rd, Baltimore, MD 21211</t>
  </si>
  <si>
    <t>(410) 235-0679</t>
  </si>
  <si>
    <t>Hampden United Methodist Church</t>
  </si>
  <si>
    <t>Open to any residents of Baltimore City. The Pantry is held in the church building; the entrance is on the left side of the building and is handicapped accessible. The pantry operates on a set monthly schedule (see service_days). Food donations may be dropped off during pantry hours or by appointment as noted on the church website.</t>
  </si>
  <si>
    <t>First 4 Wednesdays of each month, from 9   11 a.m.; closed on the 5th Wednesday of the month.</t>
  </si>
  <si>
    <t>A church-hosted, on-site food pantry that distributes non-perishable food items to local residents at the Hampden United Methodist Church location.</t>
  </si>
  <si>
    <t>https://hampdenchurch.org/</t>
  </si>
  <si>
    <t>Public reviews that mention the pantry describe friendly staff and a positive experience with the food distribution. There are no recurring complaints visible in the fetched review text; the most recent reviews are brief but continue the positive trend. Review feedback is limited in volume, but the organization’s official website provides a clear, corroborating schedule and accessibility details.</t>
  </si>
  <si>
    <t>accepted google identity: 14.2/15; review volume: 18.6/30; review consistency: 5.4/7; review freshness: 6.2/8; verified website: 14.2/15; confirmed irs record: 0.0/20; source corroboration: 3.3/5; Synthesis metadata: high (not part of numeric confidence)</t>
  </si>
  <si>
    <t>25550 Point Lookout Rd, Leonardtown, MD 20650</t>
  </si>
  <si>
    <t>(301) 475-7200</t>
  </si>
  <si>
    <t>First Saints Community Church</t>
  </si>
  <si>
    <t>Anyone in need of food is welcome; no referral indicated. Service is provided as a drive-up or walk-up distribution. If weather is bad the site asks callers to contact the church office to check for rescheduling (church phone provided on site).</t>
  </si>
  <si>
    <t>Tuesdays from 10:30am-Noon</t>
  </si>
  <si>
    <t>Loaves &amp; Fishes is a food pantry operated at the First Saints | Leonardtown campus that provides weekly drive-up or walk-up groceries to people in need at the Leonardtown location.</t>
  </si>
  <si>
    <t>https://www.firstsaints.org/</t>
  </si>
  <si>
    <t>Google reviewers include many older positive assessments but the small sample of recent reviews contains a serious complaint: the newest review (1‑star) alleges disrespectful or discriminatory treatment. Other reviewers note minor facility concerns such as lighting or parking but otherwise report routine, positive interactions. The organization has not responded to recent review complaints and the fetched review sample is small relative to the total public-review count, so recent feedback may not fully represent typical patron experience.</t>
  </si>
  <si>
    <t>accepted google identity: 14.2/15; review volume: 20.2/30; review consistency: 1.1/7; review freshness: 4.0/8; verified website: 14.2/15; confirmed irs record: 0.0/20; source corroboration: 3.3/5; Synthesis metadata: medium (not part of numeric confidence)</t>
  </si>
  <si>
    <t>Wesley Freedom United Methodist Church</t>
  </si>
  <si>
    <t>once a month</t>
  </si>
  <si>
    <t>Monday: 9 AM to 1 PM; Tuesday: Closed; Wednesday: 9 AM to 1 PM; Thursday: 9 AM to 1 PM; Friday: Closed; Saturday: Closed; Sunday: 8 AM to 12:30 PM</t>
  </si>
  <si>
    <t>A local United Methodist church offering in-person worship services and hosting youth and community activities, including children’s programs and a Boy Scout troop.</t>
  </si>
  <si>
    <t>https://wesleyfreedom.org/</t>
  </si>
  <si>
    <t>Google Maps reviewers consistently describe the congregation as welcoming, praising the music and preaching and noting active children’s programs and community groups such as a Boy Scout troop. There are few negative comments in the sampled reviews, and the most recent reviews continue that positive tone. The organization’s website and Google Maps profile corroborate the church identity and published worship schedule.</t>
  </si>
  <si>
    <t>accepted google identity: 14.2/15; review volume: 30.0/30; review consistency: 7.0/7; review freshness: 6.5/8; verified website: 14.2/15; confirmed irs record: 0.0/20; source corroboration: 3.3/5; Synthesis metadata: high (not part of numeric confidence)</t>
  </si>
  <si>
    <t>8106 Georgia Ave, Silver Spring, MD 20910</t>
  </si>
  <si>
    <t>(301) 585-6463</t>
  </si>
  <si>
    <t>Shepherd's Table Inc.</t>
  </si>
  <si>
    <t>Website states the organization 'welcomes all' to meals and identifies guests as DMV neighbors—individuals and families experiencing food insecurity, homelessness, poverty, or housing instability in Montgomery County and surrounding areas. Google Maps notes onsite services and lists a wheelchair-accessible entrance and wheelchair-accessible parking. Volunteer sign-up is available (website).</t>
  </si>
  <si>
    <t>Monday: 7:30 AM to 7 PM; Tuesday: 7:30 AM to 7 PM; Wednesday: 7:30 AM to 7 PM; Thursday: 7:30 AM to 7 PM; Friday: 7:30 AM to 7 PM; Saturday: 10 AM to 7 PM; Sunday: 10 AM to 7 PM</t>
  </si>
  <si>
    <t>Provides daily onsite meals and access to social supports, plus volunteer opportunities and clothing recycling/donation at a physical location in Silver Spring.</t>
  </si>
  <si>
    <t>http://www.shepherdstable.org/</t>
  </si>
  <si>
    <t>Google reviewers repeatedly praise the volunteer program, helpful staff, and the organization's impact feeding people in the community; many volunteers describe the meal service as organized and the meals as good quality. Recurring concerns in reviews include slow service/long waits during meal distribution and safety/security issues at night. The most recent reviews continue to show this mix of strong volunteer praise alongside occasional reports about wait times and nighttime safety.</t>
  </si>
  <si>
    <t>accepted google identity: 14.2/15; review volume: 30.0/30; review consistency: 2.5/7; review freshness: 7.8/8; verified website: 14.2/15; confirmed irs record: 0.0/20; source corroboration: 3.3/5; Synthesis metadata: high (not part of numeric confidence)</t>
  </si>
  <si>
    <t>305 Smallwood Dr, Waldorf, MD 20602</t>
  </si>
  <si>
    <t>(240) 210-9813</t>
  </si>
  <si>
    <t>Our Place Waldorf Soup Kitchen</t>
  </si>
  <si>
    <t>Open to Charles County, Maryland residents in need; no specific intake, referral, or documentation requirements are stated on the listing or website.</t>
  </si>
  <si>
    <t>Monday: 5:15 to 7 PM; Tuesday: Closed; Wednesday: Closed; Thursday: 5:15 to 7 PM; Friday: 5:15 to 7 PM; Saturday: 5:15 to 7 PM; Sunday: Closed</t>
  </si>
  <si>
    <t>Provides regular evening meals to Charles County, Maryland residents experiencing hunger or economic need; operates as a community soup kitchen and has offered take-away meal service.</t>
  </si>
  <si>
    <t>http://www.ourplacewaldorf.com/contact/</t>
  </si>
  <si>
    <t>Public review text is effectively unavailable: the Google Maps listing has one very recent-seeming rating but no review text, so reviewer feedback cannot be generalized. The organization has an active official website and a Google Maps listing that align on mission, contact details, and published evening hours, providing corroborating operational details.</t>
  </si>
  <si>
    <t>accepted google identity: 14.2/15; review volume: 5.0/30; review consistency: 7.0/7; review freshness: 2.3/8; verified website: 14.2/15; confirmed irs record: 0.0/20; source corroboration: 3.3/5; Synthesis metadata: high (not part of numeric confidence)</t>
  </si>
  <si>
    <t>20331 Point Lookout Rd, Great Mills, MD 20634</t>
  </si>
  <si>
    <t>(301) 863-5700</t>
  </si>
  <si>
    <t>St. Mary's Caring Soup Kitchen</t>
  </si>
  <si>
    <t>Meals are provided to anyone in need with a 'no questions asked' policy. Family-in-Food-Crisis assistance provides groceries to individuals or families in immediate need. Summer Shine Dinners operate seasonally (mid-June through late August). The Operation No Starvation junior volunteer program requires registration (website instructs callers to register by phone). The soup kitchen follows local public-school closures for inclement weather.</t>
  </si>
  <si>
    <t>Monday: 8:30 AM to 1 PM; Tuesday: 8:30 AM to 1 PM; Wednesday: 8:30 AM to 1 PM; Thursday: 8:30 AM to 1 PM; Friday: 8:30 AM to 2:30 PM; Saturday: 8:30 AM to 1 PM; Sunday: Closed</t>
  </si>
  <si>
    <t>A community soup kitchen offering free meals (breakfast and lunch) most weekdays and Saturdays, seasonal evening dinners in summer, and multiple food-assistance programs including emergency groceries, school-break meal packs, and youth volunteer programming.</t>
  </si>
  <si>
    <t>https://www.stmaryscaring.org/</t>
  </si>
  <si>
    <t>Reviewer comments emphasize caring, attentive volunteers and consistently good food; reviewers express appreciation for the service’s community role. There are no recurring negative themes in the review text, and the owner has responded publicly to reviews to confirm hours and service practices. The newest reviews continue the same positive tone as earlier feedback.</t>
  </si>
  <si>
    <t>accepted google identity: 14.2/15; review volume: 15.9/30; review consistency: 7.0/7; review freshness: 7.7/8; verified website: 14.2/15; confirmed irs record: 0.0/20; source corroboration: 3.3/5; Synthesis metadata: high (not part of numeric confidence)</t>
  </si>
  <si>
    <t>1501 McCulloh St, Baltimore, MD 21217</t>
  </si>
  <si>
    <t>(410) 728-9657</t>
  </si>
  <si>
    <t>New Metropolitan Baptist Church</t>
  </si>
  <si>
    <t>Locations, days, and times of service vary.</t>
  </si>
  <si>
    <t>Varies.</t>
  </si>
  <si>
    <t>A Baptist church in Baltimore that conducts worship and community activities; the Google Maps listing indicates an on-site food distribution center (food pantry/distribution) associated with the location.</t>
  </si>
  <si>
    <t>http://thenewmetropolitanbaptistchurch.com/</t>
  </si>
  <si>
    <t>Google Maps reviewers consistently praise the building_x007f_s historic architecture, cleanliness, and welcoming congregation, and several mention the pastor_x007f_s community involvement and positive experiences hosting events. There are no recurring complaints in the available recent review text sample. The newest reviews remain positive, suggesting reviewer sentiment has stayed consistent over time.</t>
  </si>
  <si>
    <t>accepted google identity: 13.3/15; review volume: 27.6/30; review consistency: 5.8/7; review freshness: 6.6/8; verified website: 13.3/15; confirmed irs record: 0.0/20; source corroboration: 3.3/5; Synthesis metadata: high (not part of numeric confidence)</t>
  </si>
  <si>
    <t>200 N Prospect St, Hagerstown, MD 21740</t>
  </si>
  <si>
    <t>(301) 733-7330</t>
  </si>
  <si>
    <t>Horizon Goodwill Industries Resource Center</t>
  </si>
  <si>
    <t>Served every 3rd Sunday.</t>
  </si>
  <si>
    <t>A Goodwill resource center that provides in-person employment and career support, with staff who offer individualized assistance, access to computers and printers, job leads, and connections to community resources for personal or family needs.</t>
  </si>
  <si>
    <t>http://www.horizongoodwill.org/</t>
  </si>
  <si>
    <t>Reviewers most often describe friendly, helpful staff and quick, effective assistance from counselors at this resource center. However, a recent reviewer reports being denied help after a referral, which suggests some visitors may experience inconsistent outcomes. The available review sample is small and the newest feedback is less positive than earlier comments, so user experiences may vary.</t>
  </si>
  <si>
    <t>accepted google identity: 14.2/15; review volume: 19.8/30; review consistency: 0.9/7; review freshness: 2.0/8; verified website: 14.2/15; confirmed irs record: 0.0/20; source corroboration: 3.3/5; Synthesis metadata: medium (not part of numeric confidence)</t>
  </si>
  <si>
    <t>525 N Caroline St, Baltimore, MD 21205</t>
  </si>
  <si>
    <t>(410) 675-2333</t>
  </si>
  <si>
    <t>First Baptist Church</t>
  </si>
  <si>
    <t>Closes every July and August.</t>
  </si>
  <si>
    <t>Closes July and August.</t>
  </si>
  <si>
    <t>A local Baptist church in Baltimore that operates a place of worship; reviewer comments indicate the congregation holds services and baptisms and users describe a family-oriented atmosphere. The listing also notes the facility has accessible entrances, parking, and restrooms.</t>
  </si>
  <si>
    <t>Public Google review text praises the church’s worship services and family atmosphere and specifically mentions baptisms; the most recent reviews continue this positive tenor. There were no recurring complaints visible in the fetched review text. Review feedback is limited in the sampled text, so conclusions about wider user experience are tentative.</t>
  </si>
  <si>
    <t>accepted google identity: 14.2/15; review volume: 20.4/30; review consistency: 7.0/7; review freshness: 6.8/8; verified website: 0.0/15; confirmed irs record: 0.0/20; source corroboration: 1.7/5; Synthesis metadata: medium (not part of numeric confidence)</t>
  </si>
  <si>
    <t>26 S Mount St, Baltimore, MD 21223</t>
  </si>
  <si>
    <t>(410) 233-0488</t>
  </si>
  <si>
    <t>Viva House</t>
  </si>
  <si>
    <t>Hot meal served until food runs out.</t>
  </si>
  <si>
    <t>Monday: Closed; Tuesday: Closed; Wednesday: 12:30 to 2 PM; Thursday: Closed; Friday: Closed; Saturday: Closed; Sunday: Closed</t>
  </si>
  <si>
    <t>A community-run hospitality program that operates a soup kitchen and a food pantry, providing meals and food distribution from a physical site in Baltimore.</t>
  </si>
  <si>
    <t>https://catholicworker.org/directory/md-baltimore-viva-house-html/</t>
  </si>
  <si>
    <t>Available Google review text consistently praises the site as a welcoming place to eat and meet people, with recent reviewers continuing that positive tone. The fetched reviews show no recurring complaints in the sampled text. Website and listing information corroborate the existence of an active soup kitchen and pantry, but the textual review sample is small relative to the listing's overall review count, so broader patterns may be underrepresented by the scraped review texts.</t>
  </si>
  <si>
    <t>accepted google identity: 14.2/15; review volume: 21.6/30; review consistency: 7.0/7; review freshness: 7.4/8; verified website: 14.2/15; confirmed irs record: 20.0/20; source corroboration: 5.0/5; Synthesis metadata: high (not part of numeric confidence)</t>
  </si>
  <si>
    <t>2424 McElderry St, Baltimore, MD 21205</t>
  </si>
  <si>
    <t>(410) 276-5674</t>
  </si>
  <si>
    <t>Amazing Grace Evangelical Lutheran Church - Food Distribution Center</t>
  </si>
  <si>
    <t>A church-based food ministry that operates a pantry and runs food distribution and community meal programs, and that organizes volunteers and accepts in-kind and monetary donations to support those activities.</t>
  </si>
  <si>
    <t>http://www.amazinggracelutheran.org/</t>
  </si>
  <si>
    <t>Public review feedback was unavailable or too thin to assess client experiences. The organization's official website is active and describes an active "Center for Grace-Full Living" and a food ministry (including pantry, community meals, volunteer roles, and delivery/ride support for homebound neighbors), and the Google Maps listing categorizes the site as a pantry/food distribution center, which corroborates the website. However, the lack of public reviews and no stable published Google Maps hours limit the ability to judge reliability of service delivery or typical user experience.</t>
  </si>
  <si>
    <t>125 N Prospect St, Hagerstown, MD 21741</t>
  </si>
  <si>
    <t>(301) 739-1165</t>
  </si>
  <si>
    <t>The Hope Center at Hagerstown Rescue Mission</t>
  </si>
  <si>
    <t>Lunch: open to anyone, no reservations or ID required; specific short door times are posted on the site. Evening meals: offered daily with a chapel service that begins before the meal. Food bags: must call during office hours (weekday office hours are posted) to schedule an appointment at least 24 hours in advance; no food-bank card required; households are limited to one food bag every 30 days. Program- or shelter-specific intake requirements are described on program pages (e.g., recovery and shelter programs) — callers are directed to contact the organization for intake details and appointments.</t>
  </si>
  <si>
    <t>A community mission that provides free meals, food-bag/pantry distributions, youth programs, and residential recovery/shelter services in Hagerstown. The organization frames these offerings as part of a faith-based ministry to local residents.</t>
  </si>
  <si>
    <t>https://www.hopecenterhagerstown.org/</t>
  </si>
  <si>
    <t>Google Maps reviewers frequently praise the organization as a helpful local Christian ministry, noting friendly staff, the thrift shop, and availability of community meals. Recurring negative feedback centers on complaints about cleanliness and several reviewers who report feeling pressured to participate in religious programming in order to receive services. The most recent reviews in the fetched sample are generally positive and emphasize the thrift shop and helpful staff.</t>
  </si>
  <si>
    <t>accepted google identity: 14.2/15; review volume: 30.0/30; review consistency: 1.5/7; review freshness: 7.5/8; verified website: 14.2/15; confirmed irs record: 0.0/20; source corroboration: 3.3/5; Synthesis metadata: high (not part of numeric confidence)</t>
  </si>
  <si>
    <t>110 Townsend Ave, Baltimore, MD 21225</t>
  </si>
  <si>
    <t>(410) 789-3688</t>
  </si>
  <si>
    <t>Brooklyn Community United Methodist Church</t>
  </si>
  <si>
    <t>Evening meal requires chapel service.</t>
  </si>
  <si>
    <t>Monday: Open 24 hours; Tuesday: Open 24 hours; Wednesday: Open 24 hours; Thursday: Open 24 hours; Friday: Open 24 hours; Saturday: Closed; Sunday: 10 AM to 1 PM</t>
  </si>
  <si>
    <t>A United Methodist church location that operates an in-person facility and hosts community activities. Google Maps reviewer accounts mention occasional meal/food distribution and programs for children held on-site.</t>
  </si>
  <si>
    <t>http://www.umc.org/find-a-church/church/150535</t>
  </si>
  <si>
    <t>Review text describes the site as welcoming and kid-friendly, with at least one reviewer saying food is sometimes provided and that there are teachers/activities for children downstairs. There are few negative comments in the fetched review sample and the newest review continues the same themes. Independent corroboration is limited: the Google Maps listing supplies structured hours and a phone number, but the linked denominational page returns a “not found” message, and overall external verification is sparse.</t>
  </si>
  <si>
    <t>accepted google identity: 14.2/15; review volume: 12.3/30; review consistency: 5.2/7; review freshness: 4.5/8; verified website: 14.2/15; confirmed irs record: 0.0/20; source corroboration: 3.3/5; Synthesis metadata: medium (not part of numeric confidence)</t>
  </si>
  <si>
    <t>326 Barclay St, Salisbury, MD 21804</t>
  </si>
  <si>
    <t>(410) 749-1563</t>
  </si>
  <si>
    <t>Salisbury Urban Ministries</t>
  </si>
  <si>
    <t>Lazarus Food Pantry: any person residing in the state of Maryland who is in need of food will be assisted; staff prefer a photo ID but it is not required. Kid's Cafe: limited to youth who attend Beaver Run Elementary or East Salisbury Schools. Prescription Assistance: available to economically deprived residents of Somerset, Worcester, and Wicomico Counties; applicants are asked to provide proof of identification, proof of income, proof of SNAP benefits, and proof of residency to be considered. Men's Welcome Center: listed as currently closed.</t>
  </si>
  <si>
    <t>Monday: Closed; Tuesday: 10 AM to 12 PM; Wednesday: Closed; Thursday: 10 AM to 12 PM; Friday: Closed; Saturday: Closed; Sunday: Closed</t>
  </si>
  <si>
    <t>Salisbury Urban Ministries operates community programs including a food pantry (Lazarus Food Pantry), an after-school and summer Kid’s Cafe for local schoolchildren, a prescription assistance program for low-income residents of nearby counties, and a meal outreach called God’s Kitchen. The organization also lists a Men’s Welcome Center that is currently closed.</t>
  </si>
  <si>
    <t>https://www.sbyurbanministries.org/</t>
  </si>
  <si>
    <t>Google reviewers repeatedly praise caring, helpful staff and note that the organization provides useful food packages and information about services. There are few or no recurring complaints in the available review sample; many recent reviews are short or contain no text, which limits detail about user experience. The newest reviews remain positive, though the textual sample is limited.</t>
  </si>
  <si>
    <t>accepted google identity: 14.2/15; review volume: 21.6/30; review consistency: 7.0/7; review freshness: 4.4/8; verified website: 14.2/15; confirmed irs record: 0.0/20; source corroboration: 3.3/5; Synthesis metadata: high (not part of numeric confidence)</t>
  </si>
  <si>
    <t>102 N Division St, Ocean City, MD 21842</t>
  </si>
  <si>
    <t>(410) 289-6573</t>
  </si>
  <si>
    <t>Ocean City Baptist Church</t>
  </si>
  <si>
    <t>Meals offered at Grace United Methodist Church (635 East Church Street).</t>
  </si>
  <si>
    <t>Monday: 9 AM to 3 PM; Tuesday: Closed; Wednesday: 9 AM to 3 PM; Thursday: Closed; Friday: 9 AM to 3 PM; Saturday: 8:16 AM to 12:19 PM; Sunday: Closed</t>
  </si>
  <si>
    <t>A Baptist church in Ocean City that offers regular worship services, religious teaching and ministries, and community-focused activities and hospitality for visitors and locals.</t>
  </si>
  <si>
    <t>http://www.ocbaptist.org/</t>
  </si>
  <si>
    <t>Google reviewers consistently describe the church as welcoming and hospitable, praising its worship services, community activities, and encouragement for visitors. Several reviewers note active programs for visitors and international/J1 students and positive, Bible-centered preaching. A small number of comments mention minor service details (for example, music volume), but recent reviews continue the same positive tone.</t>
  </si>
  <si>
    <t>accepted google identity: 14.2/15; review volume: 30.0/30; review consistency: 6.2/7; review freshness: 7.3/8; verified website: 14.2/15; confirmed irs record: 0.0/20; source corroboration: 3.3/5; Synthesis metadata: high (not part of numeric confidence)</t>
  </si>
  <si>
    <t>202 S 4th St, Oakland, MD 21550</t>
  </si>
  <si>
    <t>(301) 334-2357</t>
  </si>
  <si>
    <t>House of Hope</t>
  </si>
  <si>
    <t>Offered each Monday from October 3rd to April 3rd.</t>
  </si>
  <si>
    <t>Mondays (October 3rd to April 3rd) from 11:30AM to 12:30PM.</t>
  </si>
  <si>
    <t>Local charitable organization in Oakland, MD that, based on Google Maps reviewer accounts, provides direct help to individuals and families in the community; reviewers specifically mention help during winter and general family support.</t>
  </si>
  <si>
    <t>Google Maps reviewers consistently describe the organization as caring and helpful, reporting that staff provide direct support to local families and that the group has helped people during winter months. The available recent reviews show the same positive themes and no recurring negative experiences. However, there is no verified official website and no clear registry match, so corroborating documentation beyond the Google listing and user reviews is limited.</t>
  </si>
  <si>
    <t>accepted google identity: 14.2/15; review volume: 15.6/30; review consistency: 7.0/7; review freshness: 7.7/8; verified website: 0.0/15; confirmed irs record: 0.0/20; source corroboration: 1.7/5; Synthesis metadata: insufficient_evidence (not part of numeric confidence)</t>
  </si>
  <si>
    <t>2500 Edmondson Ave, Baltimore, MD 21223</t>
  </si>
  <si>
    <t>(410) 947-8959</t>
  </si>
  <si>
    <t>Perkins Square Baptist Church - Food Distribution Center</t>
  </si>
  <si>
    <t>Offers option to eat-in or take a meal to-go.</t>
  </si>
  <si>
    <t>Every Wednesday from 3:30pm to 5:30pm.</t>
  </si>
  <si>
    <t>Listed as a food distribution center / food bank at Perkins Square Baptist Church that provides in-person food distribution (pantry/meals). The listing shows no published hours and indicates the location is temporarily closed.</t>
  </si>
  <si>
    <t>The Google Maps listing identifies this location as a food distribution center but provides no published hours and is marked temporarily closed. Review feedback is too sparse to judge user experience: the fetched review sample contains no text and is not enough to establish recurring positive or negative themes. There is no verified website and no reliable registry match to further corroborate current operations.</t>
  </si>
  <si>
    <t>accepted google identity: 14.2/15; review volume: 7.3/30; review consistency: 7.0/7; review freshness: 1.7/8; verified website: 0.0/15; confirmed irs record: 0.0/20; source corroboration: 1.7/5; Synthesis metadata: insufficient_evidence (not part of numeric confidence)</t>
  </si>
  <si>
    <t>300 Hahn Rd, Westminster, MD 21157</t>
  </si>
  <si>
    <t>(410) 876-9358</t>
  </si>
  <si>
    <t>Salvation Army Carroll County</t>
  </si>
  <si>
    <t>Structured hours are published on the Google Maps listing. Multiple recent reviewers report inconsistent availability (arriving to find the facility closed at posted times) and difficulty dropping off donations; one recent review states clothes donations are no longer accepted. Several reviewers report difficulty reaching staff by phone.</t>
  </si>
  <si>
    <t>Monday: 8 AM to 4 PM; Tuesday: 8 AM to 4 PM; Wednesday: 8 AM to 4 PM; Thursday: 8 AM to 1 PM; Friday: 8 AM to 1 PM; Saturday: Closed; Sunday: Closed</t>
  </si>
  <si>
    <t>A physical Salvation Army location in Westminster where reviewers report a volunteer-run café or meal program and on-site assistance; recent reviewer reports also describe attempts to drop off donations and mixed experiences with staff helpfulness.</t>
  </si>
  <si>
    <t>Google Maps reviewers commonly praise friendly, helpful volunteers and staff, describing positive in-person experiences. Recurring concerns in the review text include unreliable/opening hours, arriving to a closed facility when expecting services, unanswered phone calls, and recent reports of donation drop-off problems or changes in accepted items. The newest reviews show a shift toward complaints about donation acceptance and access reliability rather than the earlier pattern of brief positive notes.</t>
  </si>
  <si>
    <t>accepted google identity: 14.2/15; review volume: 30.0/30; review consistency: 0.6/7; review freshness: 6.4/8; verified website: 0.0/15; confirmed irs record: 0.0/20; source corroboration: 1.7/5; Synthesis metadata: medium (not part of numeric confidence)</t>
  </si>
  <si>
    <t>4207 Frederick Ave, Baltimore, MD 21229</t>
  </si>
  <si>
    <t>(667) 600-2950</t>
  </si>
  <si>
    <t>My Brother’s Keeper</t>
  </si>
  <si>
    <t>Services are provided for men and women ages 18 years and older. For program access or inquiries, individuals are directed to contact the program through the organization’s listed contact methods; no additional eligibility documentation or intake process is specified on the cited program page.</t>
  </si>
  <si>
    <t>Daily lunch service (5 days a week)</t>
  </si>
  <si>
    <t>A community-based resource center in West Baltimore offering daily meal service plus a range of supportive programs including workforce development, job-placement help, case management, behavioral health and recovery support, education/training (including GED), benefits and financial-literacy assistance, and referrals to other services.</t>
  </si>
  <si>
    <t>https://cc-md.org/programs/my-brothers-keeper/</t>
  </si>
  <si>
    <t>Google reviewers commonly praise helpful, pleasant staff, a welcoming atmosphere, and well-prepared food; several reviewers also note on-site vocational support such as job fairs and individualized assistance. Recurring concerns are limited and appear as isolated negative reports about specific interactions or attention to clients/volunteers. The most recent reviews continue to be positive and align with the prevailing themes of helpful staff and supportive programming.</t>
  </si>
  <si>
    <t>accepted google identity: 14.2/15; review volume: 30.0/30; review consistency: 3.2/7; review freshness: 6.1/8; verified website: 14.2/15; confirmed irs record: 0.0/20; source corroboration: 3.3/5; Synthesis metadata: high (not part of numeric confidence)</t>
  </si>
  <si>
    <t>206 Courtland Pl, Bel Air, MD 21014</t>
  </si>
  <si>
    <t>(410) 838-6080</t>
  </si>
  <si>
    <t>Calvary Baptist Church</t>
  </si>
  <si>
    <t>Monday: 8:30 AM to 4:30 PM; Tuesday: 8:30 AM to 4:30 PM; Wednesday: 8:30 AM to 4:30 PM; Thursday: 8:30 AM to 4:30 PM; Friday: Closed; Saturday: Closed; Sunday: 8 AM to 12 PM</t>
  </si>
  <si>
    <t>A local church in Bel Air that operates a food pantry / food distribution program and also maintains regular worship services and multiple ministries for children, youth, and adults.</t>
  </si>
  <si>
    <t>http://calvarybelair.com/</t>
  </si>
  <si>
    <t>Google Maps reviewers consistently describe a welcoming, involved congregation and note strong community outreach and supportive ministries for families and children. Review text highlights caring staff and pastors, frequent community involvement, and accessibility for families and special-needs children; negative feedback is rare and sometimes appears as low ratings that nevertheless contain positive comments. The most recent reviews continue the same positive themes, indicating reviewer sentiment has remained steady.</t>
  </si>
  <si>
    <t>accepted google identity: 14.2/15; review volume: 30.0/30; review consistency: 2.8/7; review freshness: 7.8/8; verified website: 14.2/15; confirmed irs record: 0.0/20; source corroboration: 3.3/5; Synthesis metadata: high (not part of numeric confidence)</t>
  </si>
  <si>
    <t>4303 Liberty Heights Ave, Baltimore, MD 21207</t>
  </si>
  <si>
    <t>443-707-8212</t>
  </si>
  <si>
    <t>#1 Adoring Adult Care</t>
  </si>
  <si>
    <t>Care placement is determined by a care assessment that reviews medical conditions, medications, physical abilities, and cognitive status. Referrals are available and tours are welcomed. The Google listing notes wheelchair-accessible entrance and parking.</t>
  </si>
  <si>
    <t>24/7 staff presence for assistance and emergencies.</t>
  </si>
  <si>
    <t>A residential senior care provider offering assisted living along with independent living and memory-care options. The provider describes round-the-clock staff, help with daily tasks and medication oversight, communal meals, scheduled activities, housekeeping/laundry, and transportation to appointments.</t>
  </si>
  <si>
    <t>https://www.1adoringadultcare.com/</t>
  </si>
  <si>
    <t>There are no public reviews on Google or other platforms to describe resident or family experiences. The organization maintains an active, reachable website that details assisted-living, independent-living, and memory-care offerings and a matching Google Maps listing with accessibility information. Because public review feedback is absent, service claims rely primarily on the provider’s own website and listing rather than independent user reports; prospective users should confirm quality and fit in person.</t>
  </si>
  <si>
    <t>accepted google identity: 14.8/15; review volume: 0.0/30; review consistency: 0.0/7; review freshness: 0.0/8; verified website: 14.8/15; confirmed irs record: 0.0/20; source corroboration: 3.3/5; Synthesis metadata: medium (not part of numeric confidence)</t>
  </si>
  <si>
    <t>6600 Liberty Rd, Baltimore, MD 21207</t>
  </si>
  <si>
    <t>(410) 419-7322</t>
  </si>
  <si>
    <t>A&amp;W Assisted Living</t>
  </si>
  <si>
    <t>Monday: 7 AM to 7 PM; Tuesday: 7 AM to 7 PM; Wednesday: 7 AM to 7 PM; Thursday: 7 AM to 7 PM; Friday: 7 AM to 7 PM; Saturday: 7 AM to 7 PM; Sunday: 7 AM to 7 PM</t>
  </si>
  <si>
    <t>A residential assisted living facility that provides on-site, long-term residential care and support for residents who need daily assistance. This characterization is based on the facility’s Google Maps listing owner description and category.</t>
  </si>
  <si>
    <t>Google Maps reviewers give mixed feedback: some recent comments praise the location and staff, while other reviews allege serious neglect and unprofessional behavior by staff. The newest review trends more positive than earlier negative feedback. Corroborating information is limited because no verified official website was found and government registry matching was inconclusive, so online review text is the primary source for assessment.</t>
  </si>
  <si>
    <t>accepted google identity: 14.7/15; review volume: 10.1/30; review consistency: 0.0/7; review freshness: 5.2/8; verified website: 0.0/15; confirmed irs record: 0.0/20; source corroboration: 1.7/5; Synthesis metadata: medium (not part of numeric confidence)</t>
  </si>
  <si>
    <t>7700 Oakleigh Rd, Parkville, MD 21234</t>
  </si>
  <si>
    <t>(410) 661-5776</t>
  </si>
  <si>
    <t>A Caring Place Senior Assisted</t>
  </si>
  <si>
    <t>Provides care for senior residents in a licensed assisted living facility (License: #30AL3858). Offers private and shared rooms; 24-hour access to trained and certified staff and Registered Nurse support. Medication and health assessments are performed periodically; physicians and specialists may visit or be scheduled with transportation arranged if family is unavailable. No intake/eligibility forms or referral procedures are specified in the available sources.</t>
  </si>
  <si>
    <t>24 hours/7 days a week</t>
  </si>
  <si>
    <t>A licensed assisted-living facility that provides room accommodations, daily meals, 24-hour access to trained staff and nursing support, medication management, scheduled clinical care/transportation for medical appointments, and social and religious activities for senior residents.</t>
  </si>
  <si>
    <t>https://www.acaringplaceinc.com/</t>
  </si>
  <si>
    <t>The available Google review praises the facility’s care and staff, describing a long stay with compassionate treatment and a strong family recommendation. No negative themes are present in the accessible review text. Because public review feedback is very limited, these positive comments cannot be reliably generalized; the official website corroborates described services and shows a license number and facility-level detail.</t>
  </si>
  <si>
    <t>accepted google identity: 14.8/15; review volume: 5.0/30; review consistency: 7.0/7; review freshness: 2.5/8; verified website: 14.8/15; confirmed irs record: 0.0/20; source corroboration: 3.3/5; Synthesis metadata: medium (not part of numeric confidence)</t>
  </si>
  <si>
    <t>3610 Greenmount Avenue Baltimore 21218</t>
  </si>
  <si>
    <t>(443) 226-1566</t>
  </si>
  <si>
    <t>A Gift From Virgo LLC</t>
  </si>
  <si>
    <t>Certified Medication Technician classes are offered for initial applicants and for renewals (as stated in the Google Maps owner description). No other eligibility, intake, documentation, or referral requirements were provided in the available evidence.</t>
  </si>
  <si>
    <t>Monday: 9 AM to 9 PM; Tuesday: 9 AM to 9 PM; Wednesday: 9 AM to 9 PM; Thursday: 9 AM to 9 PM; Friday: 9 AM to 9 PM; Saturday: 9 AM to 5 PM; Sunday: 9 AM to 5 PM</t>
  </si>
  <si>
    <t>A Gift From Virgo LLC operates as an assisted-living provider that, according to its Google Maps listing, offers assisted living, respite care, and hospice care at a physical location and also runs Certified Medication Technician (CMT) training courses for initial applicants and renewals.</t>
  </si>
  <si>
    <t>https://linktr.ee/agiftfromvirgo</t>
  </si>
  <si>
    <t>Reviewer feedback on the Google Maps listing consistently praises the CMT instructor(s) as knowledgeable, well-prepared, and effective at teaching practical skills; many reviews say attendees left feeling ready for certification or renewal. There are no recurring negative comments in the fetched review sample, and the newest reviews reflect the same positive themes. Beyond the reviews, the listing supplies structured hours and a phone number, but the linked website returned an HTTP 403 and did not corroborate listing fields.</t>
  </si>
  <si>
    <t>accepted google identity: 14.2/15; review volume: 26.6/30; review consistency: 7.0/7; review freshness: 2.6/8; verified website: 14.2/15; confirmed irs record: 0.0/20; source corroboration: 3.3/5; Synthesis metadata: medium (not part of numeric confidence)</t>
  </si>
  <si>
    <t>8422 Bellona Ln #205, Towson, MD 21204</t>
  </si>
  <si>
    <t>(410) 821-9800</t>
  </si>
  <si>
    <t>ACS Home Care, Absolute Care Services LLC</t>
  </si>
  <si>
    <t>Serves seniors in Baltimore County, Baltimore City, Montgomery County (including Bethesda and Chevy Chase), Howard County, and surrounding communities. Offers free in-home consultations and advertises 24/7 on-call availability. No documented information was found about costs, insurance acceptance, intake paperwork, required referrals, or eligibility criteria beyond geographic/service-focus statements.</t>
  </si>
  <si>
    <t>A home-care agency that provides in-home personal and supportive care services for older adults, including specialized dementia support, medication reminders, meal assistance, light housekeeping, transportation, and post-hospitalization care. The agency reports 24/7 availability and on-call support and markets caregiver-matching and customized care plans.</t>
  </si>
  <si>
    <t>http://absolutecarellc.com/</t>
  </si>
  <si>
    <t>Google reviewers consistently describe the staff and caregivers as caring, professional, and responsive, and many reviews highlight good communication and flexible scheduling. Reviewers also report positive outcomes for family members placed in the service’s care and several employee-perspective reviews praise internal training and support. Negative feedback is scarce in the visible review text, and the most recent reviews continue the same positive themes.</t>
  </si>
  <si>
    <t>accepted google identity: 14.4/15; review volume: 30.0/30; review consistency: 7.0/7; review freshness: 7.1/8; verified website: 14.4/15; confirmed irs record: 0.0/20; source corroboration: 3.3/5; Synthesis metadata: high (not part of numeric confidence)</t>
  </si>
  <si>
    <t>5110 Baltimore National Pike, Catonsville, MD 21228</t>
  </si>
  <si>
    <t>(410) 233-2002</t>
  </si>
  <si>
    <t>Abundant Life Towers II</t>
  </si>
  <si>
    <t>Units are offered via leasing; pricing and availability are subject to change and rent is billed monthly. Prospective residents must contact the property’s leasing team to arrange tours and inquire about availability. No explicit eligibility, income-restriction, documentation, referral, or waitlist details were evident in the sources.</t>
  </si>
  <si>
    <t>A managed residential property offering rental units with studio and one-bedroom floor plans, on-site amenities (clubhouse, curbside trash, security systems), and an on-site leasing team that arranges tours.</t>
  </si>
  <si>
    <t>https://www.wpmllc.com/baltimore/abundant-life-towers-ii/affordable/</t>
  </si>
  <si>
    <t>Public review text is very limited: the available recent reviewer left no written comments, and the owner provided a brief, positive response. Because textual feedback is sparse, reviewers’ specific praises or complaints cannot be reliably summarized. The property has an active, reachable online listing and an associated verified management website.</t>
  </si>
  <si>
    <t>accepted google identity: 14.2/15; review volume: 14.4/30; review consistency: 7.0/7; review freshness: 2.5/8; verified website: 14.2/15; confirmed irs record: 0.0/20; source corroboration: 3.3/5; Synthesis metadata: medium (not part of numeric confidence)</t>
  </si>
  <si>
    <t>3915 Callaway Ave, Baltimore, MD 21215</t>
  </si>
  <si>
    <t>(410) 367-5433</t>
  </si>
  <si>
    <t>Abundant Life Towers I</t>
  </si>
  <si>
    <t>Listed as a retirement community (senior housing). No intake, eligibility, referral, required documents, or other access rules were published in the available sources.</t>
  </si>
  <si>
    <t>A residential retirement community / senior housing provider. The public listing indicates on-site staff and services such as housekeeping and notes wheelchair-accessible entrance and parking.</t>
  </si>
  <si>
    <t>https://www.wpmllc.com/baltimore/abundant-life-towers-i/affordable/</t>
  </si>
  <si>
    <t>The Google Maps listing includes tags that reference caring staff, housekeeping, and cleanliness, which suggests generally positive user themes. Direct review text was not available in the fetched sample, so specific praise or complaints cannot be confirmed. The official-site page linked from the listing did not return usable content when fetched, but the Maps listing provides operating hours, accessibility details, and a phone number that support the presence of an operational facility.</t>
  </si>
  <si>
    <t>accepted google identity: 14.7/15; review volume: 16.0/30; review consistency: 0.0/7; review freshness: 0.0/8; verified website: 14.7/15; confirmed irs record: 0.0/20; source corroboration: 3.3/5; Synthesis metadata: medium (not part of numeric confidence)</t>
  </si>
  <si>
    <t>2601 N Howard St #150, Baltimore, MD 21218</t>
  </si>
  <si>
    <t>(410) 889-7915</t>
  </si>
  <si>
    <t>ACTION IN MATURITY</t>
  </si>
  <si>
    <t>Membership required: members must be age 55+ and reside in Baltimore City; there is an annual individual membership fee ($15) that grants access to the newsletter and the Transportation-by-Request program. Payment methods listed on the site include PayPal, Zelle, CashApp, or phone payment. The facility listing indicates wheelchair-accessible entrance, parking, and restroom.</t>
  </si>
  <si>
    <t>every Wednesday from 10 a.m. to 12 p.m. Food distribution is in the kitchen area, access from Martz Road.</t>
  </si>
  <si>
    <t>A senior center that provides social programs and coordinated transportation for older adults in Baltimore City, including trips, classes, legal and tax-preparation assistance, and a reservation-based sedan service for individual rides to medical appointments and social destinations.</t>
  </si>
  <si>
    <t>http://www.actioninmaturity.org/</t>
  </si>
  <si>
    <t>The organization’s web site and an active IRS/registry record corroborate its identity and ongoing operations. The Google Maps listing has mostly positive public ratings overall, but the most recent reviews fetched in the sample raise safety and service-reliability concerns about drivers and transportation (reports of being left stranded and unsafe driving). Owners have not responded to the sampled negative reviews. Review feedback is limited in the fetched sample and the recent negative reports contrast with earlier positive feedback on the listing.</t>
  </si>
  <si>
    <t>accepted google identity: 14.7/15; review volume: 15.1/30; review consistency: 7.0/7; review freshness: 1.8/8; verified website: 14.7/15; confirmed irs record: 20.0/20; source corroboration: 5.0/5; Synthesis metadata: medium (not part of numeric confidence)</t>
  </si>
  <si>
    <t>1430 Joh Ave a, Baltimore, MD 21227</t>
  </si>
  <si>
    <t>(410) 242-0379</t>
  </si>
  <si>
    <t>Active Day of Baltimore</t>
  </si>
  <si>
    <t>Programs are for seniors and adults with disabilities; prospective families are encouraged to contact the location to arrange a tour or learn about enrollment. Facility accessibility features (wheelchair-accessible entrance, parking, and restrooms) are listed for the location.</t>
  </si>
  <si>
    <t>Monday: 8 AM to 4 PM; Tuesday: 8 AM to 4 PM; Wednesday: 8 AM to 4 PM; Thursday: 8 AM to 4 PM; Friday: 8 AM to 4 PM; Saturday: 9 AM to 3 PM; Sunday: Closed</t>
  </si>
  <si>
    <t>A physical adult day program that provides nursing supervision and personal care while offering social and recreational activities, nutritious meals and snacks, and door-to-door transportation for adults who attend the center.</t>
  </si>
  <si>
    <t>https://www.activeday.com/</t>
  </si>
  <si>
    <t>Recent Google Maps reviews are largely positive, with many reviewers praising caring, communicative staff, engaging activities, transportation service, and a welcoming atmosphere. Some reviewers mention concerns such as food portions or limited off-site activities, and a few reviews indicate dissatisfaction without detailed text. The business appears responsive to reviews (owner replies are common), and the newest reviews continue to report positive experiences.</t>
  </si>
  <si>
    <t>accepted google identity: 14.7/15; review volume: 30.0/30; review consistency: 2.2/7; review freshness: 7.6/8; verified website: 14.7/15; confirmed irs record: 0.0/20; source corroboration: 3.3/5; Synthesis metadata: high (not part of numeric confidence)</t>
  </si>
  <si>
    <t>3321 E Joppa Rd, Parkville, MD 21234</t>
  </si>
  <si>
    <t>(410) 663-9501</t>
  </si>
  <si>
    <t>Active Day of Parkville</t>
  </si>
  <si>
    <t>Serves seniors and adults with disabilities; prospective members are asked to contact the location for enrollment and details. No specific eligibility documents, intake forms, or referral requirements are stated in the available evidence.</t>
  </si>
  <si>
    <t>A local adult day center providing supervised daytime programs for older adults and adults with disabilities. Services described include on-site nursing supervision and medical monitoring, personal care and medication support, organized social and cognitive activities, nutritious meals and snacks, and door-to-door transportation; the broader Active Day network also documents home-care and vocational/employment supports.</t>
  </si>
  <si>
    <t>Recent Google reviewers consistently praise compassionate, attentive staff and active programming; reviewers report members appear happy and engaged. The fetched review sample is uniformly positive and recent reviews follow the same pattern; the business also replies to reviews. Broader public ratings include some lower-rated entries not present in the sampled texts, so some dissent exists in the full review set even though recent feedback is strongly favorable.</t>
  </si>
  <si>
    <t>accepted google identity: 14.2/15; review volume: 22.1/30; review consistency: 7.0/7; review freshness: 7.5/8; verified website: 14.2/15; confirmed irs record: 0.0/20; source corroboration: 3.3/5; Synthesis metadata: high (not part of numeric confidence)</t>
  </si>
  <si>
    <t>9637 Liberty Rd K, Randallstown, MD 21133</t>
  </si>
  <si>
    <t>(410) 922-8600</t>
  </si>
  <si>
    <t>Active Day of Randallstown</t>
  </si>
  <si>
    <t>Center programs are described for seniors and adults with intellectual/developmental disabilities; families are invited to contact the location to learn more or schedule a tour as part of enrollment/intake. (Access and enrollment details are location-specific and must be confirmed with the site.) Evidence: gmaps_listing (evidence_id 30), website (evidence_id 32).</t>
  </si>
  <si>
    <t>Monday: 8:30 AM to 5 PM; Tuesday: 8:30 AM to 5 PM; Wednesday: 8:30 AM to 5 PM; Thursday: 8:30 AM to 5 PM; Friday: 8:30 AM to 5 PM; Saturday: 9 AM to 3 PM; Sunday: Closed</t>
  </si>
  <si>
    <t>A local adult day program that provides daytime care and programming for older adults and adults with disabilities, offering nursing supervision and personal care, meals, social and recreational activities, transportation to community outings, and supports that include medical monitoring and vocational/job-support options.</t>
  </si>
  <si>
    <t>Google reviewers consistently praise the staff’s caring, the social activities and community outings, the food, and the program’s accessibility and flexibility for members. Negative feedback was not prominent in the fetched review sample and recurring concerns do not appear in recent reviews. The newest reviews continue the same positive themes, and the business routinely replies to reviewers.</t>
  </si>
  <si>
    <t>accepted google identity: 14.7/15; review volume: 30.0/30; review consistency: 6.2/7; review freshness: 7.9/8; verified website: 14.7/15; confirmed irs record: 0.0/20; source corroboration: 3.3/5; Synthesis metadata: high (not part of numeric confidence)</t>
  </si>
  <si>
    <t>728 Back River Neck Rd, Essex, MD 21221</t>
  </si>
  <si>
    <t>(410) 754-4349</t>
  </si>
  <si>
    <t>Active Life Adult Medical Day Center</t>
  </si>
  <si>
    <t>The organization’s website hosts an Eligibility page and offers intake and enrollment forms; the site asks prospective clients to contact the center for specifics. No published hours were found in the verified listing or on the website; specific eligibility criteria and hours are not listed on the cited pages.</t>
  </si>
  <si>
    <t>Every Wednesday from 10:30 a.m. to 12:30 p.m.</t>
  </si>
  <si>
    <t>A local adult medical day care center that provides daytime supervision and programming for older adults and dependent adults, offering group activities and social engagement in a wheelchair-accessible facility. The center’s online presence and reviewer feedback indicate staff-run activity programming and meals/snacks provided for attendees.</t>
  </si>
  <si>
    <t>http://www.activelifeadultday.com/adult-day-care-contact-us</t>
  </si>
  <si>
    <t>Public Google Maps reviews consistently praise caring, attentive staff, a clean welcoming facility, and meaningful daily activities; reviewers also note food/meals and individualized attention. Review feedback is uniformly positive with few critical remarks, and the newest reviews continue that pattern. The listing owner frequently replies to reviews, indicating active engagement with clients and families.</t>
  </si>
  <si>
    <t>accepted google identity: 14.8/15; review volume: 19.9/30; review consistency: 5.8/7; review freshness: 7.3/8; verified website: 14.8/15; confirmed irs record: 0.0/20; source corroboration: 3.3/5; Synthesis metadata: high (not part of numeric confidence)</t>
  </si>
  <si>
    <t>2622 Lord Baltimore Dr Ste A-B, Windsor Mill, MD 21244</t>
  </si>
  <si>
    <t>(443) 200-2180</t>
  </si>
  <si>
    <t>Activities Adult Medical Daycare</t>
  </si>
  <si>
    <t>Meals and transportation are provided (transport included within a certain mileage radius). The center offers medication administration and reports visits from an RN, PT, and a podiatrist. The Google Maps listing indicates a wheelchair-accessible entrance and parking. No documented eligibility criteria, intake, referral, or required documents were found in the available sources.</t>
  </si>
  <si>
    <t>Monday: 8 AM to 3 PM; Tuesday: 8 AM to 3 PM; Wednesday: 8 AM to 3 PM; Thursday: 8 AM to 3 PM; Friday: 8 AM to 3 PM; Saturday: 9 AM to 1 PM; Sunday: Closed</t>
  </si>
  <si>
    <t>A local adult medical day care center that provides daytime supervised care for older adults, offering group activities and outings, meals, transportation, and assistance with medications alongside periodic visits from clinical staff.</t>
  </si>
  <si>
    <t>https://www.activitiesamdc.com/</t>
  </si>
  <si>
    <t>Google Maps reviews in the fetched sample are uniformly positive: reviewers repeatedly praise caring, attentive staff, engaging activities and field trips, provided meals, transportation, medication support, and a clean environment. The newest reviews in the sample express the same positive themes, indicating consistency in user-reported experience over the fetched sample. The organization’s own website currently returns a critical error, and publicly available registry information did not produce a clear match, so corroboration beyond Google Maps is limited.</t>
  </si>
  <si>
    <t>accepted google identity: 14.1/15; review volume: 25.2/30; review consistency: 7.0/7; review freshness: 1.9/8; verified website: 14.1/15; confirmed irs record: 0.0/20; source corroboration: 3.3/5; Synthesis metadata: medium (not part of numeric confidence)</t>
  </si>
  <si>
    <t>5800 Belair Rd, Baltimore, MD 21206</t>
  </si>
  <si>
    <t>(410) 444-5800</t>
  </si>
  <si>
    <t>Adult Medical Day Care</t>
  </si>
  <si>
    <t>Programs specify age-based eligibility: an Adult Medical Day Care program for adults 17+ who need help with medications, injections, wound care, tube feeding, or other medical needs, and a Senior Center Plus program for adults 50+ needing minimal daily assistance and daytime supervision. Transportation to/from home and medical appointments is available. Meals are provided with accommodations for special dietary needs. Prospective participants or families are instructed to contact the center to learn more or schedule a visit.</t>
  </si>
  <si>
    <t>Monday: 8 AM to 4 PM; Tuesday: 8 AM to 4 PM; Wednesday: 8 AM to 4 PM; Thursday: 8 AM to 4 PM; Friday: 8 AM to 4 PM; Saturday: 8 AM to 3 PM; Sunday: 8 AM to 3 PM</t>
  </si>
  <si>
    <t>A Baltimore-based adult medical day care center that provides daytime medical supervision, nursing oversight, social and recreational activities, meals, and transportation. The center offers rehabilitative therapy and on-site specialty services alongside assistance with medication management and some activities of daily living.</t>
  </si>
  <si>
    <t>https://www.adultmedicaldaycare.com/</t>
  </si>
  <si>
    <t>Google Maps reviewers who were fetched praise the staff and report that participants enjoy attending and look forward to the program; the most recent review in the fetched sample is strongly positive. The listing has an overall history of mostly positive ratings but includes a small number of lower-rated reviews, indicating some variability in experiences. The site and listing appear current and reachable, and there is no owner response activity visible in the fetched sample.</t>
  </si>
  <si>
    <t>accepted google identity: 14.7/15; review volume: 19.0/30; review consistency: 7.0/7; review freshness: 7.0/8; verified website: 14.7/15; confirmed irs record: 0.0/20; source corroboration: 3.3/5; Synthesis metadata: high (not part of numeric confidence)</t>
  </si>
  <si>
    <t>515 Brightfield Rd, Timonium, MD 21093</t>
  </si>
  <si>
    <t>(410) 296-1990</t>
  </si>
  <si>
    <t>Advanced Rehab</t>
  </si>
  <si>
    <t>Accepts credit and debit card payments. Wheelchair-accessible entrance and parking. On-site services available. No intake, referral, insurance, age, or other eligibility details were provided in the available sources.</t>
  </si>
  <si>
    <t>A nursing and rehabilitation center that provides sub-acute rehabilitation and long-term skilled nursing care, with on-site multidisciplinary physical and occupational therapy and a dedicated therapy gym for individualized recovery plans.</t>
  </si>
  <si>
    <t>https://advancedrehabautumnlake.com/</t>
  </si>
  <si>
    <t>Google Maps reviewers commonly praise friendly, attentive staff, effective therapy and rehabilitation outcomes, and a well-kept facility. Some reviewers report occasional negative staff interactions or patient-service issues and a few mentions of short staffing. The most recent reviews sampled are predominantly positive and indicate recent experiences trend toward good follow-through by staff.</t>
  </si>
  <si>
    <t>accepted google identity: 14.2/15; review volume: 30.0/30; review consistency: 3.6/7; review freshness: 7.9/8; verified website: 14.2/15; confirmed irs record: 0.0/20; source corroboration: 3.3/5; Synthesis metadata: high (not part of numeric confidence)</t>
  </si>
  <si>
    <t>3502 Dennlyn Rd, Baltimore, MD 21215</t>
  </si>
  <si>
    <t>(443) 438-5104</t>
  </si>
  <si>
    <t>Advantage Housing Assisted Living, llc</t>
  </si>
  <si>
    <t>Website states the home is a Maryland Level 3 private care home licensed by the Office of Health Care Quality (OHCQ) and indicates a capacity for up to five residents. No documented intake, referral process, fee/insurance information, or required documents were found in the provided evidence.</t>
  </si>
  <si>
    <t>Every other Friday from 1 – 5 p.m.</t>
  </si>
  <si>
    <t>A small assisted‑living / private care home that, according to its website and listing, provides 24-hour nursing support, help with activities of daily living (including incontinent care), and three home‑cooked meals with daily activities for residents.</t>
  </si>
  <si>
    <t>https://advantage-assistedliving.com/contact</t>
  </si>
  <si>
    <t>Public review feedback is unavailable (no user review text was found to describe client experiences). The organization’s own website is reachable and provides detailed operational claims (licensing level, staffing, meals, ADL assistance, capacity). However, the listing data conflict: the Google Maps entry and the website show different street addresses and differing contact details, which reduces confidence in the accuracy of the location/identity.</t>
  </si>
  <si>
    <t>accepted google identity: 14.7/15; review volume: 0.0/30; review consistency: 0.0/7; review freshness: 0.0/8; verified website: 14.7/15; confirmed irs record: 0.0/20; source corroboration: 3.3/5; Synthesis metadata: medium (not part of numeric confidence)</t>
  </si>
  <si>
    <t>5706 Denwood Ave, Baltimore, MD 21206</t>
  </si>
  <si>
    <t>(410) 325-5940</t>
  </si>
  <si>
    <t>Agape Assisted Living Home</t>
  </si>
  <si>
    <t>Listing indicates a wheelchair-accessible parking lot.</t>
  </si>
  <si>
    <t>Tuesdays – Thursdays from 10 – 11:15 a.m. and 1 – 2:15 p.m, and Saturdays from 9 – 11 a.m.</t>
  </si>
  <si>
    <t>A location listed on Google Maps as an assisted living facility at the Baltimore address provided; the listing indicates an operational residential assisted-living location.</t>
  </si>
  <si>
    <t>Public review text was unavailable or too thin to summarize, so there is no usable reviewer feedback to report. The Google Maps listing is present and marked operational and includes a contact phone on the profile. There is no verified official website attribution and no structured opening hours visible on the listing; registry matching is inconclusive despite a recent filing year appearing in metadata.</t>
  </si>
  <si>
    <t>accepted google identity: 14.7/15; review volume: 3.8/30; review consistency: 0.0/7; review freshness: 0.0/8; verified website: 0.0/15; confirmed irs record: 0.0/20; source corroboration: 1.7/5; Synthesis metadata: insufficient_evidence (not part of numeric confidence)</t>
  </si>
  <si>
    <t>1351 S Clinton St, Baltimore, MD 21224</t>
  </si>
  <si>
    <t>(410) 732-1275</t>
  </si>
  <si>
    <t>Ahepa Senior Apartments</t>
  </si>
  <si>
    <t>Intended for income-qualified residents age 62 and older (eligibility stated on the organization website).</t>
  </si>
  <si>
    <t>Monday – Thursday 9 – 12 p.m., and the 1st Thursday of each month from 5 – 7 p.m. Also open by appointment.</t>
  </si>
  <si>
    <t>AHEPA Senior Housing operates residential apartment-home communities providing affordable independent and assisted living for income-qualified older adults. The organization manages senior-focused properties and offers on-site supportive services and wellness programming at its communities.</t>
  </si>
  <si>
    <t>https://ahepaseniorliving.org/</t>
  </si>
  <si>
    <t>Google Maps reviewers report serious maintenance and habitability concerns at the Baltimore property, including repeated HVAC failures, slow or inadequate repairs, mold, occasional pest problems, and unresponsive or rude management. These specific complaints come from recent reviewer(s) for this listing and are not balanced by many other local reviews; the available review feedback sample is small, so experiences may vary across properties. The organization’s official website presents broader claims about providing affordable independent and assisted residential communities for income-qualified seniors nationwide, but local reviewer complaints raise concerns about maintenance and management at this particular location.</t>
  </si>
  <si>
    <t>accepted google identity: 14.2/15; review volume: 12.7/30; review consistency: 7.0/7; review freshness: 3.3/8; verified website: 14.2/15; confirmed irs record: 0.0/20; source corroboration: 3.3/5; Synthesis metadata: medium (not part of numeric confidence)</t>
  </si>
  <si>
    <t>212 Aigburth Rd, Towson, MD 21286</t>
  </si>
  <si>
    <t>(410) 296-6695</t>
  </si>
  <si>
    <t>Aigburth Vale Senior Apartment</t>
  </si>
  <si>
    <t>Google Maps listing title identifies the property as a senior apartment community, suggesting residency is intended for older adults. No verified intake procedures, hours, referral, documentation, or eligibility details were provided in the available sources.</t>
  </si>
  <si>
    <t>Tuesdays and Thursdays from 1 to 2:30 p.m. and Fridays from 11:30 a.m. to 1 p.m. by appointment only.</t>
  </si>
  <si>
    <t>A residential apartment building at 212 Aigburth Rd in Towson; the Google Maps listing identifies the property as a senior apartment community at this address.</t>
  </si>
  <si>
    <t>Public review text for this listing is sparse. The most recent reviewer reports a serious negative experience alleging eviction and discriminatory treatment by staff; other Google feedback appears mixed but is not detailed in the available sample. Because review text is limited and the organization’s website could not be verified, public feedback is too thin to draw firm conclusions about typical resident experiences.</t>
  </si>
  <si>
    <t>accepted google identity: 14.2/15; review volume: 10.1/30; review consistency: 7.0/7; review freshness: 4.4/8; verified website: 0.0/15; confirmed irs record: 0.0/20; source corroboration: 1.7/5; Synthesis metadata: insufficient_evidence (not part of numeric confidence)</t>
  </si>
  <si>
    <t>2504 Elsinore Ave, Baltimore, MD 21216</t>
  </si>
  <si>
    <t>(443) 630-4904</t>
  </si>
  <si>
    <t>AJ Manor Assisted Living, LLC</t>
  </si>
  <si>
    <t>A residential assisted-living facility that provides around-the-clock care and daily support for older adults, with reviewer accounts describing suitability for people living with Alzheimer’s or other memory-related needs.</t>
  </si>
  <si>
    <t>Public Google reviews consistently praise attentive, family-like care and the staff’s responsiveness to resident needs, with several reviewers specifically noting appropriateness for people with Alzheimer’s. No recurring negative experiences are reported in the available review sample, and the business owner has replied to reviewers, indicating active engagement. No verified official website was found for the organization in the available evidence.</t>
  </si>
  <si>
    <t>accepted google identity: 14.7/15; review volume: 13.7/30; review consistency: 7.0/7; review freshness: 7.4/8; verified website: 0.0/15; confirmed irs record: 0.0/20; source corroboration: 1.7/5; Synthesis metadata: medium (not part of numeric confidence)</t>
  </si>
  <si>
    <t>2702 Keyworth Ave Apt 202, Baltimore, MD 21215</t>
  </si>
  <si>
    <t>(410) 466-4960</t>
  </si>
  <si>
    <t>Alcott Place Apartments</t>
  </si>
  <si>
    <t>Targeted to seniors age 62 and older with incomes at or below roughly 30% of Area Median Income; property is funded with Low Income Housing Tax Credits and project-based rental assistance. Applications/intake handled via the property management/owner as listed on the project page.</t>
  </si>
  <si>
    <t>Every Tuesday from 2:30 – 5:30 p.m.</t>
  </si>
  <si>
    <t>Alcott Place Apartments is an affordable senior apartment property serving older adults; the property page and listing describe it as low-income housing with project-based rental assistance and management by Episcopal Housing/partner property management.</t>
  </si>
  <si>
    <t>https://www.episcopalhousing.org/project/alcott-place-apartments/</t>
  </si>
  <si>
    <t>Public review text is minimal and sparse, so reviewer feedback is too thin to form a reliable portrait of user experience from reviews alone. However, the official project page and the Google Maps listing consistently describe Alcott Place as an LIHTC-funded senior affordable housing property and identify the managing organizations; the Maps entry also indicates accessibility features and an operational status. These two independent sources corroborate the core service and eligibility information.</t>
  </si>
  <si>
    <t>accepted google identity: 14.7/15; review volume: 13.5/30; review consistency: 1.1/7; review freshness: 8.0/8; verified website: 14.7/15; confirmed irs record: 0.0/20; source corroboration: 3.3/5; Synthesis metadata: high (not part of numeric confidence)</t>
  </si>
  <si>
    <t>2095 Rockrose Ave, Baltimore, MD 21211</t>
  </si>
  <si>
    <t>(410) 889-9700</t>
  </si>
  <si>
    <t>Autumn Lake Healthcare at Alice Manor</t>
  </si>
  <si>
    <t>Monday: 8 AM to 5 PM; Tuesday: 8 AM to 5 PM; Wednesday: 8 AM to 5 PM; Thursday: 8 AM to 5 PM; Friday: 8 AM to 5 PM; Saturday: 8 AM to 5 PM; Sunday: 8 AM to 5 PM</t>
  </si>
  <si>
    <t>A nursing home that provides round-the-clock skilled nursing care, long-term residential care, and sub-acute/post-acute rehabilitation with on-site rehabilitative therapy services.</t>
  </si>
  <si>
    <t>https://autumnlakealicemanor.com/</t>
  </si>
  <si>
    <t>Google Maps reviewers express mixed experiences: a number of reviewers praise the therapy team, some clinical staff, and a welcoming community atmosphere, while many others report serious concerns including unclean conditions, rude or unresponsive staff, alleged neglect leading to medical complications, and reports of missing personal property. The facility regularly posts brief owner responses inviting further contact, but recent review text is predominantly negative and suggests a worsening trend compared with some earlier positive reports. Review feedback is sufficiently available to show these recurring positive themes and recurring concerns.</t>
  </si>
  <si>
    <t>accepted google identity: 14.7/15; review volume: 30.0/30; review consistency: 1.2/7; review freshness: 7.5/8; verified website: 14.7/15; confirmed irs record: 0.0/20; source corroboration: 3.3/5; Synthesis metadata: high (not part of numeric confidence)</t>
  </si>
  <si>
    <t>6401 Dogwood Rd #108, Gwynn Oak, MD 21207</t>
  </si>
  <si>
    <t>(410) 298-7255</t>
  </si>
  <si>
    <t>Alice Manor Adult Med Daycare</t>
  </si>
  <si>
    <t>Website states programs for adults 17 and older (medical day program) and a Senior Center Plus program for adults 50 and over. Transportation is available to and from home and medical appointments. Meals are provided and dietary restrictions can be accommodated. The website invites families to call or schedule a visit to learn more and arrange enrollment.</t>
  </si>
  <si>
    <t>A Baltimore adult medical day program that offers daytime medical supervision, nursing and medication management, on-site rehabilitation/therapy, meals with dietary accommodations, transportation, and social/recreational activities. The site also describes a Senior Center Plus program for adults 50 and over.</t>
  </si>
  <si>
    <t>Public review feedback on the Google Maps listing is mixed: while the overall listing shows higher-rated entries, the two most recent reviews in the fetched sample report strong complaints about rude front-desk staff and poor phone handling. The listing has an active website that describes clinical staffing, services, transportation, and meals; there is no evidence of owner responses to the recent negative reviews. Review text is available but the recent sample is small and skewed negative compared with earlier ratings on the listing.</t>
  </si>
  <si>
    <t>accepted google identity: 14.2/15; review volume: 14.5/30; review consistency: 7.0/7; review freshness: 5.2/8; verified website: 14.2/15; confirmed irs record: 0.0/20; source corroboration: 3.3/5; Synthesis metadata: medium (not part of numeric confidence)</t>
  </si>
  <si>
    <t>1726 Reisterstown Rd # 205, Pikesville, MD 21208</t>
  </si>
  <si>
    <t>(410) 486-8650</t>
  </si>
  <si>
    <t>All Together Network Inc</t>
  </si>
  <si>
    <t>The first Saturday of the month from 8 – 10 a.m.</t>
  </si>
  <si>
    <t>Listed as a physical-location employment agency that offers employment-related or staffing support from an office address.</t>
  </si>
  <si>
    <t>Public review feedback was unavailable or too thin to assess user experience. The Google Maps listing shows only basic profile details (category, phone number, and an accessibility note for parking) but no published hours or reviews. Attempts to verify an official website failed and registry matching was inconclusive, so publicly verifiable details are limited.</t>
  </si>
  <si>
    <t>4813 Gwynn Oak Ave, Baltimore, MD 21207</t>
  </si>
  <si>
    <t>(410) 448-9499</t>
  </si>
  <si>
    <t>Almost Home II Assisted Living, Inc.</t>
  </si>
  <si>
    <t>Tues. – Thurs. from 11 a.m. to 2 p.m.</t>
  </si>
  <si>
    <t>Listed as an assisted-living facility providing residential care at a physical address in Baltimore. The public listing shows a phone number and location but provides little operational detail about services or eligibility.</t>
  </si>
  <si>
    <t>https://usacommerx.top/details/almost-home-ii-assisted-living-inc-ChIJ2Qu</t>
  </si>
  <si>
    <t>Review text was unavailable or too thin to summarize reviewer themes. The organization appears on Google Maps and on a business-directory page that mirrors the Maps data; those sources consistently label it as an assisted-living facility and provide a phone number and address but offer limited additional operational detail. No authoritative registry record was found in the available filings.</t>
  </si>
  <si>
    <t>accepted google identity: 14.7/15; review volume: 7.7/30; review consistency: 0.0/7; review freshness: 0.0/8; verified website: 14.7/15; confirmed irs record: 0.0/20; source corroboration: 3.3/5; Synthesis metadata: medium (not part of numeric confidence)</t>
  </si>
  <si>
    <t>8606 Harford Rd, Parkville, MD 21234</t>
  </si>
  <si>
    <t>(410) 952-7206</t>
  </si>
  <si>
    <t>Always Best Care Senior Services - Home Care Services in Parkville</t>
  </si>
  <si>
    <t>Care begins via a care consultation (contact required). Serves Baltimore and surrounding areas. Website states caregivers are insured and covered by Worker’s Compensation.</t>
  </si>
  <si>
    <t>A local senior care provider offering non-medical in-home caregiving and personalized care plans, plus senior living advisement to help families find and move into assisted living or memory-care communities. Caregivers are described as trained and insured, and the team provides placement guidance and transitional support for families.</t>
  </si>
  <si>
    <t>https://alwaysbestcare.com/parkville/</t>
  </si>
  <si>
    <t>Public Google review text is abundant and uniformly positive, with reviewers repeatedly praising the team's responsiveness, compassionate and professional caregivers, and help navigating complex transitions into assisted living and memory care. Reviewers also emphasize consistent staffing and relief for family caregivers. The business frequently replies to reviews, and the newest feedback continues the same positive themes.</t>
  </si>
  <si>
    <t>accepted google identity: 14.2/15; review volume: 30.0/30; review consistency: 7.0/7; review freshness: 7.6/8; verified website: 14.2/15; confirmed irs record: 0.0/20; source corroboration: 3.3/5; Synthesis metadata: high (not part of numeric confidence)</t>
  </si>
  <si>
    <t>3800 W Rogers Ave, Baltimore, MD 21215</t>
  </si>
  <si>
    <t>(410) 367-8800</t>
  </si>
  <si>
    <t>Ambrozean Care Center Inc</t>
  </si>
  <si>
    <t>An assisted-living residential care facility operating at a physical location; the listing indicates 24/7 operation and wheelchair-accessible entry and parking.</t>
  </si>
  <si>
    <t>The organization appears on Google Maps with published 24/7 hours and accessibility details (wheelchair-accessible entrance and parking). Public review text was not available to read or analyze, so reviewer feedback is unavailable or too thin to characterize experiences. No verified official website was matched, limiting corroborating sources and making the overall public-information picture sparse.</t>
  </si>
  <si>
    <t>4304 Parkmont Ave, Baltimore, MD 21206</t>
  </si>
  <si>
    <t>(443) 416-3571</t>
  </si>
  <si>
    <t>Angel Core Home of Care LLC</t>
  </si>
  <si>
    <t>Monday: 9 AM to 5 PM; Tuesday: 9 AM to 5 PM; Wednesday: 9 AM to 5 PM; Thursday: 9 AM to 5 PM; Friday: 9 AM to 5 PM; Saturday: 9 AM to 5 PM; Sunday: Closed</t>
  </si>
  <si>
    <t>A physical location listed on Google Maps as an assisted living and home health care facility at the Parkmont Avenue address, presenting as an in-person residential care provider.</t>
  </si>
  <si>
    <t>Review text was unavailable or too thin to judge client experiences. The Google Maps listing supplies structured hours, a phone number, and category labels (assisted living / home health), but no verified website or review content was retrievable to corroborate service quality or intake procedures. Given limited corroborating sources and lack of review text, the entry should be treated cautiously.</t>
  </si>
  <si>
    <t>accepted google identity: 14.2/15; review volume: 3.8/30; review consistency: 0.0/7; review freshness: 0.0/8; verified website: 0.0/15; confirmed irs record: 0.0/20; source corroboration: 1.7/5; Synthesis metadata: insufficient_evidence (not part of numeric confidence)</t>
  </si>
  <si>
    <t>12820 Eastern Ave, Middle River, MD 21220</t>
  </si>
  <si>
    <t>(410) 365-1633</t>
  </si>
  <si>
    <t>Angels Among Us Assisted Living</t>
  </si>
  <si>
    <t>Licensed as a non-medical Residential Care Facility and limited to a small capacity (licensed for up to 15 residents). The home does not accept smokers and reports no wheelchair accessibility. Prospective residents/representatives are asked to contact the facility to schedule a private tour or inquire about admission.</t>
  </si>
  <si>
    <t>Monday: 9 AM to 7 PM; Tuesday: 9 AM to 7 PM; Wednesday: 9 AM to 7 PM; Thursday: 9 AM to 7 PM; Friday: 9 AM to 7 PM; Saturday: 9 AM to 7 PM; Sunday: 9 AM to 7 PM</t>
  </si>
  <si>
    <t>A small residential assisted-living home for older adults that offers furnished rooms in a shared-house setting with daily meals, routine housekeeping and laundry, assistance with personal care and mobility as needed, and medication administration/management per doctors' orders. The provider schedules private tours for prospective residents.</t>
  </si>
  <si>
    <t>https://www.aauassistedliving.com/</t>
  </si>
  <si>
    <t>Public reviews on the facility’s Google listing are uniformly positive; reviewers repeatedly praise the cleanliness, peaceful atmosphere, and caring, attentive staff, and several family members say residents appear happier after moving in. The business profile owner is also highly responsive to reviewer comments. However, the most recent reviews are from 2024, so while the praise is consistent, there is a notable gap in very recent feedback.</t>
  </si>
  <si>
    <t>accepted google identity: 14.2/15; review volume: 30.0/30; review consistency: 7.0/7; review freshness: 1.5/8; verified website: 14.2/15; confirmed irs record: 0.0/20; source corroboration: 3.3/5; Synthesis metadata: high (not part of numeric confidence)</t>
  </si>
  <si>
    <t>3202 Glendale Ave 3105 GLENDALE AVE 3118 CLEARVIEW AVE, 3400 Rosalie Ave, Parkville, MD 21234</t>
  </si>
  <si>
    <t>(443) 791-9012</t>
  </si>
  <si>
    <t>APELLYO HOMECARE/ASSISTED LIVING, LLC</t>
  </si>
  <si>
    <t>Serving Walkersville High School feeder area.</t>
  </si>
  <si>
    <t>Monday: 11 AM to 6 PM; Tuesday: 11 AM to 6 PM; Wednesday: 11 AM to 6 PM; Thursday: 9 AM to 6 PM; Friday: 11 AM to 6 PM; Saturday: 12:30 to 6 PM; Sunday: 12 to 6 PM</t>
  </si>
  <si>
    <t>A locally listed home health care and assisted living entity operating from a physical address in the Parkville/Glendale Avenue area, per its Google Maps listing.</t>
  </si>
  <si>
    <t>Google Maps provides the primary listing information (hours, phone, and place category) but contains no public reviewer feedback. Because there are no user reviews, reviewer-based signals (positive themes or recurring concerns) are unavailable. Web attribution could not be verified and registry matching was inconclusive, so corroborating sources are limited.</t>
  </si>
  <si>
    <t>201 N Washington St, Baltimore, MD 21231</t>
  </si>
  <si>
    <t>(410) 342-1353</t>
  </si>
  <si>
    <t>Apostolic Towers</t>
  </si>
  <si>
    <t>Website instructs prospective tenants to contact the property to learn about availability and to join a waitlist. Office availability is listed on the website (see service_days); Wednesday visits are by appointment only.</t>
  </si>
  <si>
    <t>Mon, Tue, Thu, Fri: 9:00 AM   5:00 PM
Wednesday: By Appointment Only
Saturday   Sunday: Closed</t>
  </si>
  <si>
    <t>Apostolic Towers appears to operate as an apartment building offering rental homes and property management services, with a leasing office that fields availability inquiries and a waitlist for prospective tenants.</t>
  </si>
  <si>
    <t>https://www.apostolicapts.com/</t>
  </si>
  <si>
    <t>Public reviews are mixed and limited. A few reviewers praise the building and its people, but several recent reviews express strong dissatisfaction; the newest reviews trend negative. The listing shows no owner responses to reviews, and the website corroborates that this is an apartment property with posted office hours.</t>
  </si>
  <si>
    <t>accepted google identity: 14.7/15; review volume: 19.0/30; review consistency: 0.0/7; review freshness: 4.1/8; verified website: 14.7/15; confirmed irs record: 0.0/20; source corroboration: 3.3/5; Synthesis metadata: medium (not part of numeric confidence)</t>
  </si>
  <si>
    <t>855 Sulphur Spring Rd, Arbutus, MD 21227</t>
  </si>
  <si>
    <t>(410) 887-1410</t>
  </si>
  <si>
    <t>Arbutus Senior Center</t>
  </si>
  <si>
    <t>A physical senior center in Arbutus that serves older adults and, per visitor reviews, runs activities such as classes and organized trips and is staffed by generally friendly personnel.</t>
  </si>
  <si>
    <t>https://www.baltimorecountymd.gov/departments/aging/centers/arbutus</t>
  </si>
  <si>
    <t>Reviewers commonly report friendly staff and describe social programming including classes and trips, while some older reviews praise ease of joining the center. A recent review raises concerns about bureaucratic sign-in procedures, indicating some variability in user experience over time. The official county webpage could not be loaded at fetch time (HTTP 403), so program details on the website could not be corroborated, and there are no visible owner responses to recent reviews.</t>
  </si>
  <si>
    <t>accepted google identity: 14.2/15; review volume: 24.0/30; review consistency: 2.8/7; review freshness: 5.5/8; verified website: 14.2/15; confirmed irs record: 0.0/20; source corroboration: 3.3/5; Synthesis metadata: medium (not part of numeric confidence)</t>
  </si>
  <si>
    <t>8909 Reisterstown Rd, Pikesville, MD 21208</t>
  </si>
  <si>
    <t>(443) 940-6904</t>
  </si>
  <si>
    <t>Arden Courts (Pikesville)</t>
  </si>
  <si>
    <t>Provides memory care specifically for individuals with Alzheimer’s disease and related dementias. Respite care options are offered for caregiver relief.</t>
  </si>
  <si>
    <t>A memory-care residential community that specializes in services for people living with Alzheimer’s disease and related dementias. The location provides on-site nursing, structured daily programming and activities tailored to memory needs, medication management and care assistance, small-group residential dining, secure outdoor courtyards and walking paths, and short-term respite care options.</t>
  </si>
  <si>
    <t>https://www.arden-courts.com/communities/pikesville?utm_source=google&amp;utm_medium=organic&amp;utm_campaign=gmb</t>
  </si>
  <si>
    <t>Google reviewers consistently report attentive, compassionate staff, a clean and well-maintained facility, and robust memory-care programming that supports residents and families. Multiple reviews highlight strong communication with families and specific staff members and programs; there are few recurring complaints in the fetched reviews. The provider also regularly responds to reviewer feedback, and the newest reviews continue the same positive themes.</t>
  </si>
  <si>
    <t>accepted google identity: 14.8/15; review volume: 30.0/30; review consistency: 6.3/7; review freshness: 7.0/8; verified website: 14.8/15; confirmed irs record: 0.0/20; source corroboration: 3.3/5; Synthesis metadata: high (not part of numeric confidence)</t>
  </si>
  <si>
    <t>8101 Bellona Ave, Towson, MD 21204</t>
  </si>
  <si>
    <t>(443) 998-5105</t>
  </si>
  <si>
    <t>Arden Courts (Towson)</t>
  </si>
  <si>
    <t>Offers 30-day trial stays and respite-care options for caregiver relief. No other eligibility, intake, or documentation requirements were evidenced.</t>
  </si>
  <si>
    <t>A memory-care assisted living community in Towson that provides dedicated Alzheimer’s and dementia-focused residential care with 24-hour supervision, on-site nursing, daily life-enrichment programming, secure indoor/outdoor spaces, and assistance with activities of daily living and medications.</t>
  </si>
  <si>
    <t>https://www.arden-courts.com/communities/towson?utm_source=google&amp;utm_medium=organic&amp;utm_campaign=gmb</t>
  </si>
  <si>
    <t>Google reviewers commonly praise individual staff members, the facility s outdoor spaces, and activity programming, and several reviewers say leadership is accessible and communicative. Recurring concerns across reviews include understaffing, inconsistent adherence to individualized care plans, and reports of missed care or problematic medication decisions. The most recent reviews continue to show a mix of strong positive experiences and serious negative reports, indicating a persistently mixed picture in family feedback.</t>
  </si>
  <si>
    <t>accepted google identity: 14.7/15; review volume: 29.3/30; review consistency: 2.2/7; review freshness: 7.6/8; verified website: 14.7/15; confirmed irs record: 0.0/20; source corroboration: 3.3/5; Synthesis metadata: high (not part of numeric confidence)</t>
  </si>
  <si>
    <t>2749 W North Ave, Baltimore, MD 21216</t>
  </si>
  <si>
    <t>(301) 728-9987</t>
  </si>
  <si>
    <t>Arising Care Assisted Living</t>
  </si>
  <si>
    <t>A physical assisted living facility (residential care) located at the supplied address; the public listing shows published weekday hours and wheelchair-accessible entrance and parking. Website attribution failed, so no official site was verified.</t>
  </si>
  <si>
    <t>No public Google reviews or review text are available, so reviewer feedback is unavailable. The Google Maps listing includes published hours and accessibility details (wheelchair entrance and parking), but no verifiable official website was found to corroborate service details. Registry data did not produce a clear match, leaving the organization’s formal registry status uncertain.</t>
  </si>
  <si>
    <t>4601 W Northern Pkwy, Baltimore, MD 21215</t>
  </si>
  <si>
    <t>(410) 466-1826</t>
  </si>
  <si>
    <t>Arlington Estates Co-op Apartments</t>
  </si>
  <si>
    <t>Eligibility: described as housing for independent senior citizens age 62 or older. Restriction: property is 100% smoke-free (smoking not allowed within the individual units, common areas, and within 25 feet of the building).</t>
  </si>
  <si>
    <t>A small, 3-story cooperative apartment community offering independent senior (62+) residential units with onsite building services and accessible amenities. The listing notes a smoke-free policy on the property and indicates the site includes elevators, maintenance, and on-site parking.</t>
  </si>
  <si>
    <t>https://www.csi.coop/housing/md/baltimore/arlington-estates-co-op/default</t>
  </si>
  <si>
    <t>The primary information comes from a Google Maps listing that provides facility details, eligibility (62+ independent seniors), amenities, and structured hours, but there are no public Google reviews to describe user experience. Attempts to view the referenced website page returned an access block (HTTP 403), so the listing could not be corroborated by visible website content. Because the profile is detailed on a single platform and lacks user feedback or additional corroborating sources, publicly reported experience is unavailable and factual claims rest mainly on the Maps entry.</t>
  </si>
  <si>
    <t>3939 Penhurst Ave, Baltimore, MD 21215</t>
  </si>
  <si>
    <t>(410) 664-9535</t>
  </si>
  <si>
    <t>Autumn Lake Healthcare at Arlington West</t>
  </si>
  <si>
    <t>Admissions required. Prospective residents or family members are asked to contact the facility (phone or contact form) to schedule a tour and begin the admissions process.</t>
  </si>
  <si>
    <t>A nursing and rehabilitation center that provides round-the-clock skilled nursing, long-term care, and sub-acute rehabilitation with on-site rehabilitative/therapy services.</t>
  </si>
  <si>
    <t>https://autumnlakearlingtonwest.com/</t>
  </si>
  <si>
    <t>Google reviewers consistently praise the staff as friendly, caring, and responsive, and many note helpful therapy services and a clean, safe environment. Owner responses to reviews are frequent and recent, and the newest reviews continue the same positive themes. No recurring negative concerns appeared in the fetched review sample.</t>
  </si>
  <si>
    <t>accepted google identity: 14.7/15; review volume: 30.0/30; review consistency: 5.9/7; review freshness: 8.0/8; verified website: 14.7/15; confirmed irs record: 0.0/20; source corroboration: 3.3/5; Synthesis metadata: high (not part of numeric confidence)</t>
  </si>
  <si>
    <t>8830 Orchard Tree Ln, Towson, MD 21286</t>
  </si>
  <si>
    <t>(443) 798-6310</t>
  </si>
  <si>
    <t>The Arrow Center For Education - Tangram</t>
  </si>
  <si>
    <t>Serves students ages 4–21 in grades K–12. Many enrolled students have an Individualized Education Plan (IEP) identifying an educational disability (examples listed include autism, sensory processing disorder, specific learning disability, health impairment, or multiple disabilities). The program operates small self-contained classrooms and has a stated capacity (expanded to serve up to 72 students).</t>
  </si>
  <si>
    <t>A private separate-day special education school that provides full-day special-education programming and related services for school-age students, emphasizing individualized educational plans, behavioral supports, speech and occupational therapy, and vocational/transition services to promote independence.</t>
  </si>
  <si>
    <t>https://arrow.org/tangram/</t>
  </si>
  <si>
    <t>There are no public Google Maps reviews for this listing, so independent user feedback about program quality or experiences is unavailable. The organization’s official website and its Google Maps business profile provide detailed program descriptions, staff roles, services offered, and published hours; both were reachable and consistent with each other at the time of collection. Because reviewer text is absent, assessments must rely on the organization’s self-described materials rather than third-party user reports.</t>
  </si>
  <si>
    <t>4012 Buckingham Rd, Baltimore, MD 21207</t>
  </si>
  <si>
    <t>(410) 205-7568</t>
  </si>
  <si>
    <t>Assisted Living at Buckingham Manor</t>
  </si>
  <si>
    <t>Monday – Friday from 9 – 12 p.m. and from 1 – 3 p.m.</t>
  </si>
  <si>
    <t>A locally listed association/organization on Google Maps. The public listing notes accessible features (wheelchair-accessible entrance and parking) and on-site parking but does not provide service details on eligibility, programming, or hours.</t>
  </si>
  <si>
    <t>Google Maps has a public listing for this organization but review text was not available to assess user experience; the listing shows four ratings overall but no review content was fetched, so reviewer comments cannot be summarized. The listing itself documents accessibility and parking features, and no verified official website could be matched for this entity.</t>
  </si>
  <si>
    <t>accepted google identity: 14.2/15; review volume: 8.9/30; review consistency: 0.0/7; review freshness: 0.0/8; verified website: 0.0/15; confirmed irs record: 0.0/20; source corroboration: 1.7/5; Synthesis metadata: insufficient_evidence (not part of numeric confidence)</t>
  </si>
  <si>
    <t>7232 German Hill Rd, Baltimore, MD 21222</t>
  </si>
  <si>
    <t>(410) 282-6310</t>
  </si>
  <si>
    <t>Complete Care at Heritage</t>
  </si>
  <si>
    <t>A skilled nursing and post-acute care facility providing around-the-clock nursing, inpatient rehabilitation, and longer-term residential care. The site advertises a range of clinical specialty programs (orthopedic, cardiac, stroke recovery, pulmonary, and wound management) and on-site therapy and clinical staff to support recovery and transitions home.</t>
  </si>
  <si>
    <t>http://completecareheritage.com/</t>
  </si>
  <si>
    <t>Reviewers commonly praise attentive, compassionate staff, effective rehabilitation therapy, and consistent housekeeping and meal service; multiple recent reviewers report measurable functional improvement after therapy. A few reviewers note the facility is "not perfect" but still positive overall; there are no recurring, specific safety complaints in the visible review text. The organization appears responsive to feedback (frequent owner responses), and the newest reviews continue the same generally positive themes.</t>
  </si>
  <si>
    <t>accepted google identity: 14.2/15; review volume: 30.0/30; review consistency: 3.6/7; review freshness: 8.0/8; verified website: 14.2/15; confirmed irs record: 0.0/20; source corroboration: 3.3/5; Synthesis metadata: high (not part of numeric confidence)</t>
  </si>
  <si>
    <t>7700 York Rd, Towson, MD 21204</t>
  </si>
  <si>
    <t>(410) 821-5500</t>
  </si>
  <si>
    <t>Complete Care at Multi-Medical Center</t>
  </si>
  <si>
    <t>A physical skilled nursing and post-acute care facility that provides around-the-clock nursing, rehabilitation and long-term care services, including advanced clinical programs for respiratory support and other specialty post-hospital care.</t>
  </si>
  <si>
    <t>https://ccmultimed.com/</t>
  </si>
  <si>
    <t>Google reviews show a mix of experiences: many reviewers praise helpful, friendly and professional nursing and therapy staff and note positive rehabilitation outcomes, while a recurring set of complaints describe issues with cleanliness, staffing responsiveness, missed call lights, and medication or safety concerns. The provider’s official website and the Google Business profile both describe comprehensive post-acute, skilled nursing, and advanced respiratory programs, corroborating the facility’s clinical claims. Recent reviews remain mixed but include numerous positive accounts alongside some continuing serious concerns, so feedback is varied rather than uniformly positive or negative.</t>
  </si>
  <si>
    <t>accepted google identity: 14.7/15; review volume: 30.0/30; review consistency: 4.2/7; review freshness: 7.7/8; verified website: 14.7/15; confirmed irs record: 0.0/20; source corroboration: 3.3/5; Synthesis metadata: high (not part of numeric confidence)</t>
  </si>
  <si>
    <t>7401 Holabird Ave, Baltimore, MD 21222</t>
  </si>
  <si>
    <t>(410) 887-7233</t>
  </si>
  <si>
    <t>Ateaze Senior Center</t>
  </si>
  <si>
    <t>Primarily serves older adults/seniors (reviewers mention "55+").</t>
  </si>
  <si>
    <t>Ateaze Senior Center is a physical senior center in Dundalk/Baltimore County that operates a large facility offering on-site recreational and social activities, an exercise room, and hosts community services such as VITA/AARP tax-preparation events. The center is wheelchair-accessible and regularly runs trips and group activities according to visitor reviews and its Google Maps listing.</t>
  </si>
  <si>
    <t>https://www.baltimorecountymd.gov/departments/aging/centers/ateaze/</t>
  </si>
  <si>
    <t>Google Maps reviewers consistently praise a friendly staff, a large and clean facility, many activities and trips, and specific offerings like an exercise room and volunteer-run VITA/AARP tax-preparation events. There are occasional low-star reviews with little or no text, indicating some negative experiences but not revealing consistent, actionable complaints. The newest reviews remain largely positive, and the organization is corroborated by an IRS BMF filing, though the official Baltimore County webpage returned a 403 at fetch time.</t>
  </si>
  <si>
    <t>accepted google identity: 14.2/15; review volume: 30.0/30; review consistency: 2.1/7; review freshness: 7.1/8; verified website: 14.2/15; confirmed irs record: 20.0/20; source corroboration: 5.0/5; Synthesis metadata: high (not part of numeric confidence)</t>
  </si>
  <si>
    <t>4730 Atrium Ct, Owings Mills, MD 21117</t>
  </si>
  <si>
    <t>(410) 907-7947</t>
  </si>
  <si>
    <t>Atrium Village by Cogir</t>
  </si>
  <si>
    <t>none</t>
  </si>
  <si>
    <t>A senior living community that provides on-site residential options and supportive care tailored to older adults, including programs and amenities intended to support daily living, meals, activities, and memory-care services.</t>
  </si>
  <si>
    <t>https://cogirusa.com/communities/atrium-village/?utm_campaign=google-business-profile&amp;utm_medium=organic&amp;utm_source=gmb&amp;utm_content=atrium-village</t>
  </si>
  <si>
    <t>Public reviews show a mix of clear praise and serious concerns. Many recent and earlier reviewers praise compassionate staff, activities, dining, facility renovations, and improvements under certain managers. Recurring negative comments allege poor management, lapses in care or responsiveness, and concerns about how complaints are handled; the provider has responded publicly to several reviews. The review text is substantial enough to show these consistent positive and negative themes, and some of the newest reviews lean toward critical experiences.</t>
  </si>
  <si>
    <t>accepted google identity: 14.7/15; review volume: 30.0/30; review consistency: 0.1/7; review freshness: 6.5/8; verified website: 14.7/15; confirmed irs record: 0.0/20; source corroboration: 3.3/5; Synthesis metadata: high (not part of numeric confidence)</t>
  </si>
  <si>
    <t>725 Mt Wilson Ln, Pikesville, MD 21208</t>
  </si>
  <si>
    <t>(410) 484-7300</t>
  </si>
  <si>
    <t>North Oaks</t>
  </si>
  <si>
    <t>The provider states that higher levels of care (assisted living, skilled nursing, rehabilitation) are available to community residents and that nonresidents are not accepted into those higher levels of care; Life Care contracts apply to residents moving into independent living. (Do not infer eligibility beyond these statements.)</t>
  </si>
  <si>
    <t>A continuing-care senior living community in Pikesville that provides independent-living residence options and an on‑site continuum of care including assisted living, skilled nursing, and rehabilitation; the community also offers organized activities, meals, and wellness programming and operates a Life Care (CCRC) plan for residents.</t>
  </si>
  <si>
    <t>https://northoaksseniorliving.com/?gad_source=1&amp;gclid=EAIaIQobChMIwYGClJbdggMVRe_ICh3xOAisEAAYASAAEgIsVfD_BwE</t>
  </si>
  <si>
    <t>Google Maps reviewers repeatedly highlight compassionate, attentive staff, a clean and well‑maintained environment, active resident programming, and positive experiences with meals and community life. A recurring negative theme in reviews is concern about dining quality raised by a visitor; otherwise feedback emphasizes staff caring and resident well‑being. Owner responses are present and address reviewer concerns, and the newest reviews continue to reflect the same positive themes.</t>
  </si>
  <si>
    <t>accepted google identity: 14.7/15; review volume: 28.6/30; review consistency: 3.5/7; review freshness: 7.4/8; verified website: 14.7/15; confirmed irs record: 0.0/20; source corroboration: 3.3/5; Synthesis metadata: high (not part of numeric confidence)</t>
  </si>
  <si>
    <t>7218 Park Heights Ave, Pikesville, MD 21208</t>
  </si>
  <si>
    <t>(410) 318-8000</t>
  </si>
  <si>
    <t>Aventura at the Heights</t>
  </si>
  <si>
    <t>Aventura at the Heights is a physical assisted living community that provides kosher dining, daily activities and social programming, medication management and on-site clinical/wellness services, and specialized memory/Alzheimer’s care. The community also advertises short-term respite and longer-term supportive care options.</t>
  </si>
  <si>
    <t>https://www.aventuraattheheights.com/</t>
  </si>
  <si>
    <t>Google reviewers consistently describe warm, responsive staff, robust activities programming, and high-quality kosher meals; many reviewers single out leadership and the medical/med-tech staff as attentive during move-in and ongoing care. A minority of reviews raise access frustrations such as difficulty reaching staff or unclear availability. The newest reviews in the fetched sample continue to emphasize positive experiences with staff, food, and activities.</t>
  </si>
  <si>
    <t>accepted google identity: 14.8/15; review volume: 30.0/30; review consistency: 2.6/7; review freshness: 8.0/8; verified website: 14.8/15; confirmed irs record: 0.0/20; source corroboration: 3.3/5; Synthesis metadata: high (not part of numeric confidence)</t>
  </si>
  <si>
    <t>5833 Park Heights Ave, Baltimore, MD 21215</t>
  </si>
  <si>
    <t>(410) 664-0100</t>
  </si>
  <si>
    <t>Aventura at the Park</t>
  </si>
  <si>
    <t>A physical assisted-living residential facility (an assisted living/apartment-style care provider) located in Baltimore. Information available is limited to the Google Maps listing; specific programs, eligibility rules, or services beyond being an assisted-living residence are not documented in the evidence.</t>
  </si>
  <si>
    <t>The Google Maps listing indicates this is an assisted-living facility and publishes round-the-clock opening hours and basic accessibility details, but review text was not available in the fetched sample so user experience themes cannot be assessed. The listing appears operational, however the organization’s official website could not be verified and no corroborating registry match was found, leaving limited corroboration beyond the Google Maps record.</t>
  </si>
  <si>
    <t>accepted google identity: 14.2/15; review volume: 11.1/30; review consistency: 7.0/7; review freshness: 5.7/8; verified website: 0.0/15; confirmed irs record: 0.0/20; source corroboration: 1.7/5; Synthesis metadata: insufficient_evidence (not part of numeric confidence)</t>
  </si>
  <si>
    <t>1122 Kenilworth Dr #413, Towson, MD 21204</t>
  </si>
  <si>
    <t>(410) 826-6100</t>
  </si>
  <si>
    <t>Avila Home Care</t>
  </si>
  <si>
    <t>Offers a free in-home assessment conducted by a Registered Nurse and creates a customized care plan; no long-term commitment required. States a defined local service area covering parts of Baltimore County, Baltimore City, Howard County, and northern Anne Arundel County. Licensed as a residential service agency by the Maryland Department of Health, Office of Health Care Quality. (Sources: gmaps_listing evidence_id 76; website evidence_id 78.)</t>
  </si>
  <si>
    <t>A home-care agency that arranges in-home caregiving services including customized care plans, nurse assessments, and both hourly and around-the-clock aides for people who need non-hospital personal and supportive care at home or in assisted-living settings.</t>
  </si>
  <si>
    <t>https://avilahomecare.com/</t>
  </si>
  <si>
    <t>Google reviewers consistently praise compassionate, attentive caregivers and responsive office staff, often noting relief and improved peace of mind when family members receive care. Several reviewers describe long shifts or round-the-clock aides and positive hospice support; a minority mention communication or scheduling hiccups. The most recent reviews continue the same positive themes and the provider frequently replies to reviewers.</t>
  </si>
  <si>
    <t>accepted google identity: 14.7/15; review volume: 30.0/30; review consistency: 3.7/7; review freshness: 7.5/8; verified website: 14.7/15; confirmed irs record: 0.0/20; source corroboration: 3.3/5; Synthesis metadata: high (not part of numeric confidence)</t>
  </si>
  <si>
    <t>800 S Caton Ave, Baltimore, MD 21229</t>
  </si>
  <si>
    <t>(410) 878-0917</t>
  </si>
  <si>
    <t>Baltimore Adult Medical Day Center, LLC</t>
  </si>
  <si>
    <t>Provides adult day care services at a physical center in Baltimore, with daytime programs and activities aimed at supporting participants’ health and social skills.</t>
  </si>
  <si>
    <t>Google Maps reviewer feedback is positive about the facility as an adult day care and specifically notes activities that advance participants’ health and social skills. There are no recurring complaints visible in the available review text. However, review feedback is limited in quantity and the most recent review provides no written details, so conclusions are based on a small set of positive comments.</t>
  </si>
  <si>
    <t>accepted google identity: 14.2/15; review volume: 8.5/30; review consistency: 7.0/7; review freshness: 7.1/8; verified website: 0.0/15; confirmed irs record: 0.0/20; source corroboration: 1.7/5; Synthesis metadata: medium (not part of numeric confidence)</t>
  </si>
  <si>
    <t>6401 York Rd #1, Baltimore, MD 21212</t>
  </si>
  <si>
    <t>(410) 887-8383</t>
  </si>
  <si>
    <t>Baltimore County Office of Housing</t>
  </si>
  <si>
    <t>Serves individuals and families in Charles and St. Mary's Counties.</t>
  </si>
  <si>
    <t>Listed on Google Maps as a county government housing office with a physical office location. The available evidence (Google Maps listing and the site URL) documents published office hours and a public phone, but does not specify particular programs, eligibility rules, or intake procedures.</t>
  </si>
  <si>
    <t>https://www.baltimorecountymd.gov/departments/housing/</t>
  </si>
  <si>
    <t>Google Maps reviewers are mixed but lean negative. Recurring positive comments praise particular staff and describe efficient in-person assistance, while recurring negative feedback focuses on poor communication, unreturned calls or emails, and frustration around housing-related processes that reviewers say risk homelessness. The newest reviews continue to show this split (some recent 5-star praises alongside recent 1-star complaints), and there are no visible owner responses to reviewer concerns.</t>
  </si>
  <si>
    <t>accepted google identity: 14.2/15; review volume: 30.0/30; review consistency: 1.4/7; review freshness: 7.1/8; verified website: 14.2/15; confirmed irs record: 0.0/20; source corroboration: 3.3/5; Synthesis metadata: medium (not part of numeric confidence)</t>
  </si>
  <si>
    <t>124 W Franklin St, Baltimore, MD 21201</t>
  </si>
  <si>
    <t>(667) 600-3300</t>
  </si>
  <si>
    <t>Basilica Place, a Catholic Charities Senior Community</t>
  </si>
  <si>
    <t>Housing targeted to adults 62 years and older and to persons with disabilities; units are rent-assisted. No other intake, documentation, referral, or application details were evidenced.</t>
  </si>
  <si>
    <t>A Catholic Charities senior housing community in downtown Baltimore offering affordable, rent-assisted one- and two-bedroom apartments targeted to older adults and people with disabilities. The site is listed as part of Catholic Charities’ network of senior communities in the Baltimore region.</t>
  </si>
  <si>
    <t>https://www.catholiccharities-md.org/services/senior-communities/</t>
  </si>
  <si>
    <t>Google reviewer text is available and generally positive: recent reviewers praise staff and describe friendly interactions and orderly rules for visitors. However, at least one reviewer who identifies as a resident reports serious maintenance and cleanliness concerns, locked doors, and frustrations with building upkeep. The newest reviews in the sample trend positive, but the presence of a detailed resident complaint suggests some experiences may vary by unit or time.</t>
  </si>
  <si>
    <t>accepted google identity: 14.7/15; review volume: 25.9/30; review consistency: 2.4/7; review freshness: 7.1/8; verified website: 14.7/15; confirmed irs record: 0.0/20; source corroboration: 3.3/5; Synthesis metadata: high (not part of numeric confidence)</t>
  </si>
  <si>
    <t>101 N Beechwood Ave, Catonsville, MD 21228</t>
  </si>
  <si>
    <t>(443) 463-3377</t>
  </si>
  <si>
    <t>Beechwood Assisted Living</t>
  </si>
  <si>
    <t>Intake is by appointment; the website instructs callers to contact the facility or the facility director to arrange an appointment. No documented eligibility forms, referral requirements, or published hours were found in the evidence.</t>
  </si>
  <si>
    <t>A small, residential assisted-living home in Catonsville that provides room-and-board with assisted living supports, including personal care, communal meals, housekeeping, and medication administration in a family-style setting.</t>
  </si>
  <si>
    <t>http://beechwoodassistedliving.com/</t>
  </si>
  <si>
    <t>Public review text is effectively unavailable: the Google listing has only minimal review content, so reviewers' experiences cannot be summarized. The organization's website is reachable and explicitly describes assisted-living services (personal care, meals, housekeeping, medication administration) and lists the Catonsville address; the Google Maps listing corroborates the assisted-living category and accessibility features. Contact-details records include a flagged field conflict, which reduces certainty about which phone number is current.</t>
  </si>
  <si>
    <t>accepted google identity: 14.7/15; review volume: 8.9/30; review consistency: 7.0/7; review freshness: 1.6/8; verified website: 14.7/15; confirmed irs record: 0.0/20; source corroboration: 3.3/5; Synthesis metadata: high (not part of numeric confidence)</t>
  </si>
  <si>
    <t>342 Bloom St, Baltimore, MD 21217</t>
  </si>
  <si>
    <t>410-462-1142</t>
  </si>
  <si>
    <t>Bellevieu Manchester Apartments</t>
  </si>
  <si>
    <t>Google Maps reports a wheelchair-accessible entrance and wheelchair-accessible parking. No documented eligibility, intake, leasing, or referral requirements were found on the listing or the property's website.</t>
  </si>
  <si>
    <t>Every 3rd Monday (or 4th if holiday) at 5:30 PM.</t>
  </si>
  <si>
    <t>A residential apartment building (Bellevieu Manchester Apartments) at 342 Bloom St in Baltimore. The Google Maps listing identifies it as an apartment building and reports wheelchair-accessible entrance and parking; the linked website is a placeholder and provides no operational or leasing details.</t>
  </si>
  <si>
    <t>http://thefrenchcompanies.com/?page_id=422</t>
  </si>
  <si>
    <t>Review feedback is very limited and not informative: the recent reviewer mentions a transport drop-off for a handicapped rider but gives no substantive details about the property or services. The Google Maps listing labels the location as an apartment building and notes accessibility features, but the official website is a placeholder page with no corroborating operational or leasing information. Because public reviews are sparse and the website provides no detail, there is insufficient corroboration to confirm operational procedures or access requirements.</t>
  </si>
  <si>
    <t>accepted google identity: 14.6/15; review volume: 7.3/30; review consistency: 7.0/7; review freshness: 6.6/8; verified website: 14.6/15; confirmed irs record: 0.0/20; source corroboration: 3.3/5; Synthesis metadata: insufficient_evidence (not part of numeric confidence)</t>
  </si>
  <si>
    <t>1651 E Belvedere Ave, Baltimore, MD 21239</t>
  </si>
  <si>
    <t>(410) 433-7255</t>
  </si>
  <si>
    <t>Belvedere Green Apartments</t>
  </si>
  <si>
    <t>Wheelchair-accessible entrance and wheelchair-accessible parking are listed on the Google Maps profile.</t>
  </si>
  <si>
    <t>Food/to-go meal distributed 4th Tuesday of each month (10 AM–12 Noon).</t>
  </si>
  <si>
    <t>A physical apartment building offering residential rental housing. The Google Maps profile lists accessibility features including a wheelchair-accessible entrance and parking.</t>
  </si>
  <si>
    <t>Google Maps reviewers most often highlight that the property is clean and quiet. A minority of reviewers report serious management-related concerns, including allegations about handling of deposits, rent charges, and theft; these complaints contrast with several positive, short reviews. The newest available reviews in the sample are positive, but review content is mixed overall and owner responses are not present.</t>
  </si>
  <si>
    <t>accepted google identity: 14.7/15; review volume: 18.5/30; review consistency: 0.9/7; review freshness: 5.9/8; verified website: 0.0/15; confirmed irs record: 0.0/20; source corroboration: 1.7/5; Synthesis metadata: insufficient_evidence (not part of numeric confidence)</t>
  </si>
  <si>
    <t>639 Main St, Reisterstown, MD 21136</t>
  </si>
  <si>
    <t>(410) 596-5863</t>
  </si>
  <si>
    <t>BestCare Assisted Living - Reisterstown South</t>
  </si>
  <si>
    <t>Conducts an assessment with the resident and family prior to move-in and at regular intervals to determine assistance needs. The provider indicates acceptance of SALS and Medicaid Waiver funding. Rooms are offered as private or semi‑private (availability indicated on-site).</t>
  </si>
  <si>
    <t>Assisted-living residential care offering private and semi‑private rooms, individualized assessments to determine need for assistance, and support for activities of daily living and resident activities. Services are described for multiple local locations in the Reisterstown area and the provider notes acceptance of certain public funding programs.</t>
  </si>
  <si>
    <t>https://bestcareliving.com/</t>
  </si>
  <si>
    <t>Public review feedback is limited but the most recent available reviewer praises caring and helpful staff, an engaging activity program, and approachable ownership. The Google listing also contains at least some historically negative feedback, so experiences are not uniformly positive. Because reviewer text is sparse overall, these themes should be treated as tentative rather than definitive.</t>
  </si>
  <si>
    <t>accepted google identity: 14.2/15; review volume: 10.1/30; review consistency: 7.0/7; review freshness: 6.7/8; verified website: 14.2/15; confirmed irs record: 0.0/20; source corroboration: 3.3/5; Synthesis metadata: medium (not part of numeric confidence)</t>
  </si>
  <si>
    <t>1055 W Joppa Rd, Towson, MD 21204</t>
  </si>
  <si>
    <t>(410) 650-6096</t>
  </si>
  <si>
    <t>Blakehurst</t>
  </si>
  <si>
    <t>Chestnut Green Healthcare Center services and some clinical care areas are described as accessible only to Blakehurst residents. Assisted living eligibility is described as for people who need help with one or more ADLs (bathing, dressing, grooming, eating, mobility, toileting) or who have safety/function concerns; evaluations (including physician assessment) and care planning are used to determine appropriate level of support. Assisted living is staffed 24 hours a day, 7 days a week. Independent-living entrance fees and ongoing monthly fees are published as part of residency (website lists entrance-fee and monthly-fee ranges). Facility listing indicates wheelchair-accessible entrance and parking.</t>
  </si>
  <si>
    <t>Blakehurst is a full-service senior living Life Plan community in Towson offering independent living plus a continuum of care that includes assisted living, specialized memory-care, skilled nursing, and rehabilitation services, together with on-site dining, fitness, indoor pool, transportation, and organized activities.</t>
  </si>
  <si>
    <t>http://www.blakehurstlcs.com/?utm_campaign=gmb&amp;utm_content=business_profile_link&amp;utm_id=dir_gbp_organic&amp;utm_medium=directory&amp;utm_source=gbp</t>
  </si>
  <si>
    <t>Public Google Maps reviews are largely positive, with many reviewers praising staff for being kind, helpful during moves, and attentive to residents’ needs; reviewers also note good amenities and active programming. A small number of strongly negative reviews allege serious staffing and care concerns; management frequently responds to reviews and invites direct follow-up. The most recent reviews in the fetched sample are positive and consistent with the prevailing favorable feedback.</t>
  </si>
  <si>
    <t>accepted google identity: 14.7/15; review volume: 30.0/30; review consistency: 2.4/7; review freshness: 7.8/8; verified website: 14.7/15; confirmed irs record: 20.0/20; source corroboration: 5.0/5; Synthesis metadata: high (not part of numeric confidence)</t>
  </si>
  <si>
    <t>2525 W Belvedere Ave, Baltimore, MD 21215</t>
  </si>
  <si>
    <t>(410) 367-9100</t>
  </si>
  <si>
    <t>Blue Point Healthcare Center</t>
  </si>
  <si>
    <t>A skilled nursing and post-acute rehabilitation facility that provides long-term care and short-term rehabilitation services for older adults, with on-site therapies (physical and occupational) and other senior-care programs listed by the operator.</t>
  </si>
  <si>
    <t>https://www.communicarehealth.com/location/blue-point-healthcare-center/?utm_source=google&amp;utm_medium=organic&amp;utm_campaign=gbp-blue-point</t>
  </si>
  <si>
    <t>Public Google reviews consistently raise serious concerns about cleanliness, staffing levels, and basic personal-care practices, including reports of residents being left in soiled bedding, delayed medications, and poor communication with families. A small number of brief positive reviews exist but are sparse and do not offset the recurring critical accounts. The most recent written reviews continue to echo these care and hygiene concerns, while a very recent short positive review appears anomalous relative to the broader pattern of complaints.</t>
  </si>
  <si>
    <t>accepted google identity: 14.7/15; review volume: 30.0/30; review consistency: 3.5/7; review freshness: 7.3/8; verified website: 14.7/15; confirmed irs record: 0.0/20; source corroboration: 3.3/5; Synthesis metadata: medium (not part of numeric confidence)</t>
  </si>
  <si>
    <t>1100 Bolton St, Baltimore, MD 21201</t>
  </si>
  <si>
    <t>(410) 728-3100</t>
  </si>
  <si>
    <t>Bolton House</t>
  </si>
  <si>
    <t>Accepting applications; limited-time move-in specials that note restrictions and require contacting leasing for details. Pet-free community. Prospective tenants are directed to contact leasing/schedule a tour to apply.</t>
  </si>
  <si>
    <t>A physical apartment building in Baltimore that leases studio, one-bedroom, and two-bedroom rental units and advertises on-site amenities and leasing services for prospective tenants.</t>
  </si>
  <si>
    <t>https://boltonhouse.com/</t>
  </si>
  <si>
    <t>Reviewer feedback on the Google Maps listing is mixed. Positive comments and owner replies highlight convenience, views, and some residents’ satisfaction with the community and amenities, while recurring complaints describe building maintenance problems (including elevator reliability and pest concerns), security/entry issues, and occasional towing or front-desk incidents. The property appears responsive to reviews, with management frequently replying; the most recent reviews in the sample are more positive in tone, but review text is often sparse.</t>
  </si>
  <si>
    <t>accepted google identity: 14.7/15; review volume: 26.4/30; review consistency: 1.1/7; review freshness: 7.7/8; verified website: 14.7/15; confirmed irs record: 0.0/20; source corroboration: 3.3/5; Synthesis metadata: high (not part of numeric confidence)</t>
  </si>
  <si>
    <t>1600 W Mt Royal Ave, Baltimore, MD 21217</t>
  </si>
  <si>
    <t>(410) 462-5433</t>
  </si>
  <si>
    <t>Bolton North</t>
  </si>
  <si>
    <t>HUD income-restricted community (income eligibility applies). Wheelchair-accessible features/units are available. Prospective residents are asked to contact the leasing office to apply or schedule a tour during office hours.</t>
  </si>
  <si>
    <t>Bolton North is an affordable, income-restricted apartment community in Baltimore offering one- and two-bedroom rental homes with on-site community amenities (clubhouse, game room, gated courtyard with picnic/grill). The property is pet-friendly and advertises wheelchair-accessible features and in-unit conveniences such as air conditioning and basic appliances.</t>
  </si>
  <si>
    <t>https://www.boltonnorthapts.com/</t>
  </si>
  <si>
    <t>Public reviews on the Google Maps listing generally describe Bolton North as a clean, secure community with friendly neighbors and an easy leasing/check-out experience; reviewers also note owner/management replies to feedback. Recurring concerns mentioned in reviews concern building maintenance (elevators, appliances/heating units), limited parking, and occasional neighborhood safety observations. The newest reviews continue to reflect this mix of positive community impressions alongside some maintenance-related criticisms.</t>
  </si>
  <si>
    <t>accepted google identity: 14.6/15; review volume: 15.9/30; review consistency: 5.3/7; review freshness: 7.8/8; verified website: 14.6/15; confirmed irs record: 0.0/20; source corroboration: 3.3/5; Synthesis metadata: high (not part of numeric confidence)</t>
  </si>
  <si>
    <t>400 Millington Ave, Baltimore, MD 21223</t>
  </si>
  <si>
    <t>(410) 566-0701</t>
  </si>
  <si>
    <t>Benet House</t>
  </si>
  <si>
    <t>Independent living for seniors (62 and over) and people with disabilities of any age (eligibility statement shown on the Bon Secours housing webpage).</t>
  </si>
  <si>
    <t>photo ID required</t>
  </si>
  <si>
    <t>A Bon Secours-operated apartment property offering independent-living residential units for older adults and people with disabilities, listed as part of Bon Secours’ affordable housing locations in Baltimore; the Google listing indicates wheelchair-accessible entrance and parking.</t>
  </si>
  <si>
    <t>http://bonsecours.com/housing</t>
  </si>
  <si>
    <t>Public Google Maps reviews are limited in number and many review texts are very short or missing, but reviewer comments that include text describe positive interactions with staff or residents. There are also several low-star ratings without explanatory text, so negative themes are unclear from the available reviews. The organization’s official Bon Secours housing webpage corroborates the property listing, strengthening the identity and service claims despite the small and thin review sample.</t>
  </si>
  <si>
    <t>accepted google identity: 14.7/15; review volume: 14.7/30; review consistency: 1.3/7; review freshness: 7.5/8; verified website: 14.7/15; confirmed irs record: 0.0/20; source corroboration: 3.3/5; Synthesis metadata: high (not part of numeric confidence)</t>
  </si>
  <si>
    <t>1800 Hollins St Apt 2300, Baltimore, MD 21223</t>
  </si>
  <si>
    <t>(410) 566-2700</t>
  </si>
  <si>
    <t>Bon Secours Hollins Terrace Apartments</t>
  </si>
  <si>
    <t>Eligibility noted for independent living: seniors aged 62 and over and people with disabilities aged 55 and over. No structured hours or intake/ referral procedure was listed in the available sources.</t>
  </si>
  <si>
    <t>Bon Secours Hollins Terrace provides independent living apartment housing for older adults and people with disabilities, operating as a senior-focused residential property with unit-based rentals and on-site building amenities.</t>
  </si>
  <si>
    <t>https://www.bonsecours.com/locations/community-services/baltimore/affordable-housing-locations</t>
  </si>
  <si>
    <t>Google reviewers give mixed feedback: several reviewers say staff can be helpful and communicative when the office responds, and others mention the location functions as affordable/independent senior housing. Recurring complaints focus on unprofessional or rude management and poor responsiveness from front-office staff. The newest reviews continue to show this mix of positive praise for assistance and negative reports about staff interactions, indicating inconsistent resident experiences over time.</t>
  </si>
  <si>
    <t>accepted google identity: 14.7/15; review volume: 19.4/30; review consistency: 0.0/7; review freshness: 7.4/8; verified website: 14.7/15; confirmed irs record: 0.0/20; source corroboration: 3.3/5; Synthesis metadata: medium (not part of numeric confidence)</t>
  </si>
  <si>
    <t>2 N Smallwood St, Baltimore, MD 21223</t>
  </si>
  <si>
    <t>(410) 566-5792</t>
  </si>
  <si>
    <t>Bon Secours Smallwood Summit</t>
  </si>
  <si>
    <t>Eligibility: seniors aged 62 and over as stated on the operator's website. No additional intake steps, documentation, referral, or other restrictions were described in the available sources.</t>
  </si>
  <si>
    <t>A Bon Secours-operated independent-living apartment property identified as senior housing that offers residential units for older adults (described by the operator as independent living for seniors).</t>
  </si>
  <si>
    <t>https://bonsecours.com/baltimore/find-a-facility/bon-secours-smallwood-summit</t>
  </si>
  <si>
    <t>Public review feedback is very limited; the available user review reports missed appointments and staff tardiness or no-shows by a named community manager, which the reviewer says caused significant inconvenience. There is no owner response visible in the review sample. The organization's official website and Google Maps listing both identify the site as a senior independent-living / affordable housing location, which supports the basic service claim despite the sparse review data.</t>
  </si>
  <si>
    <t>accepted google identity: 14.7/15; review volume: 7.3/30; review consistency: 7.0/7; review freshness: 2.8/8; verified website: 14.7/15; confirmed irs record: 0.0/20; source corroboration: 3.3/5; Synthesis metadata: medium (not part of numeric confidence)</t>
  </si>
  <si>
    <t>5200 Bowleys Ln, Baltimore, MD 21206</t>
  </si>
  <si>
    <t>(410) 325-8890</t>
  </si>
  <si>
    <t>Bowley's Garden Villa Co-op Apartments</t>
  </si>
  <si>
    <t>Age eligibility: residents/ applicants are 62+ as stated by the property. The community is cooperatively managed (resident members) and is smoke-free (no smoking on property). For housing/waitlist inquiries or intake, contact CSI Support &amp; Development via the property listing/contact forms on the CSI website and select Bowley's Garden Villa Co-op.</t>
  </si>
  <si>
    <t>Monday: 9 AM to 3 PM; Tuesday: 9 AM to 3 PM; Wednesday: 9 AM to 3 PM; Thursday: 9 AM to 3 PM; Friday: Closed; Saturday: Closed; Sunday: Closed</t>
  </si>
  <si>
    <t>A cooperatively managed, independent-living apartment community for older adults that offers on-site amenities (laundry, elevator, community rooms, secured entry), member-organized transportation, regular community activities, and a service coordinator providing wellness support and local resource referrals. The property is smoke-free and described as an affordable senior co-op.</t>
  </si>
  <si>
    <t>https://www.csi.coop/housing/md/baltimore/bowleys-garden-villa/default</t>
  </si>
  <si>
    <t>Public feedback is very limited but the available reviewer reports that residents appear pleased with living there. Details published on the property’s official CSI webpage corroborate the listing’s description of senior independent-living units, on-site amenities, a service coordinator, and member activities. Because review text is thin, community reputation cannot be robustly assessed from reviews alone, though the site and listing are consistent with one another.</t>
  </si>
  <si>
    <t>accepted google identity: 13.5/15; review volume: 5.0/30; review consistency: 7.0/7; review freshness: 7.4/8; verified website: 13.5/15; confirmed irs record: 0.0/20; source corroboration: 3.3/5; Synthesis metadata: medium (not part of numeric confidence)</t>
  </si>
  <si>
    <t>4017 Liberty Heights Ave, Baltimore, MD 21207</t>
  </si>
  <si>
    <t>(410) 542-5306</t>
  </si>
  <si>
    <t>Autumn Lake Healthcare at BridgePark</t>
  </si>
  <si>
    <t>A licensed nursing center that provides subacute rehabilitation and long-term skilled nursing care, with on-site rehabilitative therapy and multidisciplinary clinical teams to support recovery and management of complex medical conditions.</t>
  </si>
  <si>
    <t>http://autumnlakebridgepark.com/</t>
  </si>
  <si>
    <t>Public Google reviews describe a facility that many reviewers find clean with attentive, professional nursing and friendly staff; several reviewers specifically praise therapy and clinical care. Recurring negative feedback centers on administrative or finance-office interactions and a few reports of problematic admissions or communication with families. The facility appears actively managed online, with frequent owner responses, and the most recent reviews continue to reflect the mix of positive care experiences and occasional administrative complaints.</t>
  </si>
  <si>
    <t>accepted google identity: 14.8/15; review volume: 30.0/30; review consistency: 1.1/7; review freshness: 8.0/8; verified website: 14.8/15; confirmed irs record: 0.0/20; source corroboration: 3.3/5; Synthesis metadata: high (not part of numeric confidence)</t>
  </si>
  <si>
    <t>912 S Rolling Rd, Catonsville, MD 21228</t>
  </si>
  <si>
    <t>(443) 830-3504</t>
  </si>
  <si>
    <t>Brightview Catonsville - Senior Assisted Living &amp; Memory Care</t>
  </si>
  <si>
    <t>Residents pay privately; the website describes common funding sources including Social Security, pensions, veteran benefits, long-term care insurance, retirement assets, and sale of a house. The community states it performs a comprehensive assessment to determine individual care needs before delivering assisted living or memory-care services. The website lists 63 assisted-living apartments and 25 apartments in the Wellspring Village memory-care neighborhood.</t>
  </si>
  <si>
    <t>A senior living community that advertises assisted living and specialized memory-care (Wellspring Village) residences, on-site dining and activities, and a care team that conducts assessments to determine needed supports.</t>
  </si>
  <si>
    <t>https://www.brightviewseniorliving.com/find-a-community/brightview-catonsville</t>
  </si>
  <si>
    <t>Google reviewers frequently praise the staff’s kindness, the facility’s cleanliness, the social activities, and the dining experience. A small number of reviews report serious concerns about care coordination, communication, and management during transitions; those concerns appear as isolated but substantive negative accounts. Recent reviews remain largely positive and the listing’s owner responds regularly to feedback.</t>
  </si>
  <si>
    <t>accepted google identity: 14.8/15; review volume: 30.0/30; review consistency: 4.2/7; review freshness: 6.3/8; verified website: 14.8/15; confirmed irs record: 0.0/20; source corroboration: 3.3/5; Synthesis metadata: high (not part of numeric confidence)</t>
  </si>
  <si>
    <t>11509 McCormick Rd, Cockeysville, MD 21030</t>
  </si>
  <si>
    <t>(443) 578-3559</t>
  </si>
  <si>
    <t>Brightview Hunt Valley (Now Open) - Senior Independent Living, Assisted Living, Memory Care</t>
  </si>
  <si>
    <t>Monthly-rental community; payment commonly comes from private assets, Social Security, pensions, veteran benefits, long-term care insurance, or similar sources. A pricing sheet/cost-comparison guide and community Welcome Center are referenced. No explicit referral or document requirements are stated on the cited pages; note that some Google reviewers reported problems with intake coordination, communication during transitions, and unexpected billing in at least one case.</t>
  </si>
  <si>
    <t>A monthly-rental senior living community providing independent living, assisted living, and memory care, with on-site amenities and resident programming (chef-prepared dining, fitness and wellness spaces, salon, art studio, theatre, and similar community features).</t>
  </si>
  <si>
    <t>https://www.brightviewseniorliving.com/find-a-community/brightview-hunt-valley</t>
  </si>
  <si>
    <t>Google reviewers repeatedly praise attentive, professional staff, strong memory-care expertise, active programming, and clean, well-maintained apartments and common areas. Recurring negative feedback includes at least one detailed complaint about intake, communication, and billing, and occasional logistical issues such as transportation scheduling for certain neighborhoods. The most recent reviews remain strongly positive, with recent commenters highlighting the community’s programming and staff.</t>
  </si>
  <si>
    <t>accepted google identity: 13.4/15; review volume: 28.6/30; review consistency: 3.8/7; review freshness: 7.0/8; verified website: 13.4/15; confirmed irs record: 0.0/20; source corroboration: 3.3/5; Synthesis metadata: high (not part of numeric confidence)</t>
  </si>
  <si>
    <t>12261 Roundwood Rd, Timonium, MD 21093</t>
  </si>
  <si>
    <t>(443) 464-2243</t>
  </si>
  <si>
    <t>Brightview Mays Chapel Ridge - Timonium Independent Living, Assisted Living, Memory Care</t>
  </si>
  <si>
    <t>Residency-based services; residents typically pay via private assets, Social Security, pensions, veteran benefits, long-term care insurance, retirement savings, or sale of a home. Prospective residents are directed to contact the community for pricing, availability, and admission details.</t>
  </si>
  <si>
    <t>A senior living community in Timonium that offers apartment-style independent living along with assisted living and a dedicated memory-care (dementia) program; on-site dining, daily activity programs, and other resident amenities are provided.</t>
  </si>
  <si>
    <t>http://www.brightviewmayschapelridge.com/</t>
  </si>
  <si>
    <t>Google reviews in the fetched sample are strongly positive: reviewers repeatedly praise friendly, welcoming staff, cleanliness, well-maintained facilities, plentiful activities, and on-site dining. Several reviewers specifically note an active memory-care program and prompt communication from staff when residents’ conditions change. The most recent reviews remain positive, and the listing owner has responded to multiple reviews, indicating active engagement with reviewers.</t>
  </si>
  <si>
    <t>accepted google identity: 14.0/15; review volume: 30.0/30; review consistency: 4.3/7; review freshness: 6.2/8; verified website: 14.0/15; confirmed irs record: 0.0/20; source corroboration: 3.3/5; Synthesis metadata: high (not part of numeric confidence)</t>
  </si>
  <si>
    <t>9657 Belair Rd, Nottingham, MD 21236</t>
  </si>
  <si>
    <t>(443) 665-8112</t>
  </si>
  <si>
    <t>Brightview Perry Hall - Senior Independent Living, Assisted Living, Memory Care</t>
  </si>
  <si>
    <t>Residents typically pay using private assets and common senior income sources such as Social Security, pensions, veteran benefits, long-term care insurance, life-insurance conversions, retirement savings, or proceeds from the sale of a home. Prospective residents should contact the community for current pricing, intake procedures, and eligibility details.</t>
  </si>
  <si>
    <t>A senior living community that provides residential apartments and on-site services for older adults, offering independent living, assisted living, and memory care programs with meals and personalized care plans.</t>
  </si>
  <si>
    <t>http://www.brightviewperryhall.com/</t>
  </si>
  <si>
    <t>Public Google Maps reviews are strongly positive, with frequent praise for friendly, attentive staff, cleanliness, engaging activities, and supportive management during difficult family events. Reviewers specifically note good care for memory-impaired residents and positive transitions for new residents. The most recent reviews continue the same positive themes, and the community replies to some reviews, indicating owner responsiveness.</t>
  </si>
  <si>
    <t>accepted google identity: 14.7/15; review volume: 30.0/30; review consistency: 5.5/7; review freshness: 6.4/8; verified website: 14.7/15; confirmed irs record: 0.0/20; source corroboration: 3.3/5; Synthesis metadata: high (not part of numeric confidence)</t>
  </si>
  <si>
    <t>848 S Rolling Rd, Catonsville, MD 21228</t>
  </si>
  <si>
    <t>(443) 830-3825</t>
  </si>
  <si>
    <t>Brightview Rolling Hills - Senior Independent, Assisted Living, Memory Care</t>
  </si>
  <si>
    <t>Prospective residents receive a comprehensive care assessment by the community’s care team as part of intake. Residents typically pay via private assets and a mix of Social Security, pensions, veteran benefits, long-term care insurance, retirement savings, or sale of assets; the site provides a pricing sheet and cost-comparison guidance. Independent-living units are offered as rental apartment homes.</t>
  </si>
  <si>
    <t>A senior living community in Catonsville that provides apartment-based independent living, assisted living, and memory-care neighborhoods. The community advertises on-site dining and daily activity programs, plus assisted-living support such as medication and mobility help and individualized care planning performed by a care team.</t>
  </si>
  <si>
    <t>https://www.brightviewseniorliving.com/find-a-community/brightview-rolling-hills</t>
  </si>
  <si>
    <t>Google reviewers consistently praise the staff, facilities, programming, and the community atmosphere, often noting that residents seem active and well cared for. A small number of reviews report isolated concerns (for example, infrastructure or a negative visit) and there is at least one recent low-star review that received an owner response. The owner appears routinely responsive to reviewers, and the most recent reviews remain largely positive.</t>
  </si>
  <si>
    <t>accepted google identity: 14.8/15; review volume: 30.0/30; review consistency: 4.3/7; review freshness: 6.8/8; verified website: 14.8/15; confirmed irs record: 0.0/20; source corroboration: 3.3/5; Synthesis metadata: high (not part of numeric confidence)</t>
  </si>
  <si>
    <t>20 Burke Ave East, Towson, MD 21286</t>
  </si>
  <si>
    <t>(667) 275-7928</t>
  </si>
  <si>
    <t>Brightview Towson - Senior Assisted Living, Memory Care, Enhanced Care</t>
  </si>
  <si>
    <t>A Health Services Director completes a comprehensive care assessment to plan individual care. Website material states that many residents pay using private assets and combinations of Social Security, pensions, veteran benefits, long-term care insurance, retirement savings, or proceeds from a home sale. Contact and intake are required for placement and pricing information.</t>
  </si>
  <si>
    <t>BrightView Towson is a residential assisted-living community that provides assisted living, memory/dementia care, and an Enhanced Care neighborhood. The community offers apartment-style residences (studio, one- and two-bedroom) and on-site chef-prepared dining and other resident amenities.</t>
  </si>
  <si>
    <t>http://www.brightviewtowson.com/</t>
  </si>
  <si>
    <t>Google reviewers most frequently praise staff compassion, helpfulness, social programming, and the community’s cleanliness and dining. Recurring concerns include at least one recent and detailed complaint about a rodent problem in a resident’s room; management responses show the operator has acknowledged the issue and reports active mitigation steps. The newest reviews remain largely positive but include this notable cleanliness/safety complaint that prospective residents or families may want to ask about directly.</t>
  </si>
  <si>
    <t>accepted google identity: 14.7/15; review volume: 30.0/30; review consistency: 2.2/7; review freshness: 6.2/8; verified website: 14.7/15; confirmed irs record: 0.0/20; source corroboration: 3.3/5; Synthesis metadata: high (not part of numeric confidence)</t>
  </si>
  <si>
    <t>8100 Rossville Blvd, Nottingham, MD 21236</t>
  </si>
  <si>
    <t>(443) 969-7613</t>
  </si>
  <si>
    <t>Brightview White Marsh - Senior Assisted Living and Memory Care</t>
  </si>
  <si>
    <t>Admissions require a comprehensive care assessment. Residents commonly pay using private assets and combinations of Social Security, pensions, veteran benefits, long-term care insurance, retirement savings, or sale of assets. Serves Baltimore City and Baltimore County communities.</t>
  </si>
  <si>
    <t>A senior living community that provides assisted living and memory care residential services, offering on-site caregiving and care assessments, apartment-style residences, chef-prepared dining, and daily programs and amenities for residents.</t>
  </si>
  <si>
    <t>https://www.brightviewseniorliving.com/find-a-community/brightview-white-marsh</t>
  </si>
  <si>
    <t>Google review feedback is recent and consistently emphasizes friendly, attentive staff, clean facilities, pleasant dining, and active programming. Some reviewers note isolated concerns about housekeeping or staff oversight for individual residents. The most recent reviews continue the positive pattern, and the listing owner frequently responds to reviews.</t>
  </si>
  <si>
    <t>accepted google identity: 14.0/15; review volume: 30.0/30; review consistency: 4.2/7; review freshness: 7.0/8; verified website: 14.0/15; confirmed irs record: 0.0/20; source corroboration: 3.3/5; Synthesis metadata: high (not part of numeric confidence)</t>
  </si>
  <si>
    <t>13801 York Rd, Cockeysville, MD 21030</t>
  </si>
  <si>
    <t>(410) 527-1900</t>
  </si>
  <si>
    <t>Broadmead</t>
  </si>
  <si>
    <t>Operates as a Life Plan Community for older adults; residency is provided under resident agreements with a monthly service fee. Prospective residents are directed to contact the community to request information or schedule a personal tour. No published public hours or walk-in intake schedule were found in the evidence.</t>
  </si>
  <si>
    <t>A Life Plan retirement community offering on-campus residential living options and campus amenities, including on-site dining and recreational/fitness opportunities; the organization also markets future additional apartment homes as part of a new campus expansion.</t>
  </si>
  <si>
    <t>http://www.broadmead.org/</t>
  </si>
  <si>
    <t>Google reviewers frequently praise the community atmosphere, campus grounds, and staff interactions, and several recent reviews describe positive experiences with improvements to the property. There are also recurring negative reports alleging poor communication, occasional rude staff interactions, and problematic mailings; management has responded publicly to some complaints. The newest reviews are mixed but reflect the same pattern of mostly positive experiences with intermittent customer-service concerns.</t>
  </si>
  <si>
    <t>accepted google identity: 14.7/15; review volume: 30.0/30; review consistency: 1.9/7; review freshness: 7.6/8; verified website: 14.7/15; confirmed irs record: 20.0/20; source corroboration: 5.0/5; Synthesis metadata: high (not part of numeric confidence)</t>
  </si>
  <si>
    <t>300 E Patapsco Ave, Baltimore, MD 21225</t>
  </si>
  <si>
    <t>(410) 396-1120</t>
  </si>
  <si>
    <t>Enoch Pratt Free Library - Brooklyn Branch</t>
  </si>
  <si>
    <t>Meeting rooms must be reserved through the branch. 'Book a Librarian' is offered as a free, 60-minute appointment available in-person, by phone, or via video. Facility is ADA accessible. Standard Pratt holidays and early closings apply (see branch holiday schedule).</t>
  </si>
  <si>
    <t>Monday: 10 AM to 8 PM; Tuesday: 10 AM to 5:30 PM; Wednesday: 10 AM to 5:30 PM; Thursday: 10 AM to 8 PM; Friday: 10 AM to 5 PM; Saturday: 10 AM to 5 PM; Sunday: Closed</t>
  </si>
  <si>
    <t>A local branch of the Enoch Pratt Free Library providing typical public library services at a physical location, including lending collections, public computers and free Wi‑Fi, printing and photocopying, meeting-room reservations, programs for children and teens and for adults, job and career assistance, on-site social-worker and lawyer programs, and librarian appointment services.</t>
  </si>
  <si>
    <t>https://www.prattlibrary.org/locations/brooklyn</t>
  </si>
  <si>
    <t>Google reviewer feedback is consistently positive: reviewers highlight helpful, caring staff, a recently renovated and comfortable facility, and reliable computers and Wi‑Fi. Comments in the recent sample also emphasize family- and community-friendly programs and staff assistance with tasks like printing or using email. The newest reviews continue to reflect these same positive themes with no obvious change in direction.</t>
  </si>
  <si>
    <t>accepted google identity: 14.7/15; review volume: 30.0/30; review consistency: 5.1/7; review freshness: 8.0/8; verified website: 14.7/15; confirmed irs record: 0.0/20; source corroboration: 3.3/5; Synthesis metadata: high (not part of numeric confidence)</t>
  </si>
  <si>
    <t>2901 Druid Park Dr #203, Baltimore, MD 21215</t>
  </si>
  <si>
    <t>(410) 467-6600</t>
  </si>
  <si>
    <t>Building Communities Today</t>
  </si>
  <si>
    <t>Website states services are for people in the Greater Baltimore area who are at risk of removal from home or transitioning from residential settings; some programs require referral (for example, TBS clients are described as those who are developmentally disabled, intellectually limited, or seriously emotionally disturbed and in need of one-on-one behavioral interventions at home). The residential program is for male adolescents age 16–20 and requires participation in educational and vocational programs. Wraparound supports are offered on a fee-for-service/contract basis and are noted as an option for families without health insurance or who do not meet medical-necessity criteria. Appointments are recommended per the Google listing.</t>
  </si>
  <si>
    <t>Community-based behavioral health provider offering psychiatric rehabilitation, therapeutic behavioral services (in-home and school-based), in-home case management and community supports, wraparound fee-for-service family supports, and a residential transition-age youth program.</t>
  </si>
  <si>
    <t>https://bcttworks.com/</t>
  </si>
  <si>
    <t>There are no public user reviews on Google Maps to describe client experiences, so third-party user feedback is unavailable. The organization's official website is reachable and verified and provides detailed program descriptions (PRP, TBS, in-home and school-based services, wraparound supports, and a residential program) and asserts CARF accreditation. Google Maps also lists this location and publishes structured hours and an appointments-recommended note, which corroborates an active physical program presence.</t>
  </si>
  <si>
    <t>611 Central Ave, Towson, MD 21204</t>
  </si>
  <si>
    <t>(410) 887-3094</t>
  </si>
  <si>
    <t>Bykota Senior Center</t>
  </si>
  <si>
    <t>Membership is required but the website states membership is free and open to anyone aged 60 and older. Many activities and some events require advance registration; specific programs may have space limits or fees (e.g., some trips/classes). (Supported by: gmaps:155, website:157)</t>
  </si>
  <si>
    <t>A senior center serving older adults that provides in-person social programs, classes, meals and dining events, recreational and fitness opportunities, and regular community activities and performances.</t>
  </si>
  <si>
    <t>http://bykota.org/</t>
  </si>
  <si>
    <t>Public reviews generally praise the facility, staff, variety of free activities, and food, and multiple reviewers specifically note positive experiences with classes and the fitness/cafe amenities. However, the most recent reviews include complaints about unfriendly or confrontational interactions at the front desk (including with a volunteer applicant), and those concerns appear in the newest entries without an owner response. The organization’s website is active and the IRS registry match indicates a current filing, which corroborates operational status.</t>
  </si>
  <si>
    <t>accepted google identity: 14.7/15; review volume: 30.0/30; review consistency: 3.6/7; review freshness: 7.2/8; verified website: 14.7/15; confirmed irs record: 20.0/20; source corroboration: 5.0/5; Synthesis metadata: high (not part of numeric confidence)</t>
  </si>
  <si>
    <t>1030 S Ellwood Ave, Baltimore, MD 21224</t>
  </si>
  <si>
    <t>(410) 396-8548</t>
  </si>
  <si>
    <t>Enoch Pratt Free Library - Canton Branch</t>
  </si>
  <si>
    <t>A neighborhood branch of the Enoch Pratt Free Library providing public library services and onsite amenities for all ages, including programs and activities for children, public computers and Wi‑Fi, printing/photocopying, meeting-room reservations, and accessibility features.</t>
  </si>
  <si>
    <t>https://www.prattlibrary.org/locations/canton</t>
  </si>
  <si>
    <t>Google Maps reviewers consistently praise the branch for being kid‑friendly, running children’s activities and community programs, and having helpful staff. Reviewers also note available amenities such as public computers, games, and printing; a small number of comments describe the space as limited or report isolated negative experiences. The most recent reviews continue the generally positive trend, focusing on family programming and staff helpfulness.</t>
  </si>
  <si>
    <t>1300 S Ellwood Ave, Baltimore, MD 21224</t>
  </si>
  <si>
    <t>(410) 342-6644</t>
  </si>
  <si>
    <t>FutureCare Canton Harbor</t>
  </si>
  <si>
    <t>To request a tour, complete the facility’s online form. For admissions or questions about a specific patient, callers are instructed to contact the facility directly by phone; non-urgent concerns may be directed to the organization’s customer care line. (Admissions/tour/contact procedures as stated on the facility website.)</t>
  </si>
  <si>
    <t>A skilled nursing and short-stay rehabilitation facility offering inpatient rehab and around-the-clock nursing care. The site advertises coordinated physical, occupational, and speech therapy programs (including orthopedic and pulmonary-focused tracks), respiratory services, wound care, IV/PICC capability, and on-site diagnostic and support services such as pharmacy, lab, radiology, case management, and recreational activities.</t>
  </si>
  <si>
    <t>https://futurecare.com/locations/canton-harbor/</t>
  </si>
  <si>
    <t>Google Maps reviewers repeatedly praise attentive and compassionate staff, cleanliness, and positive rehabilitation outcomes (several accounts note successful mobility gains and supportive nursing/therapy). Some feedback mentions occasional understaffing or small logistical issues (delays obtaining items, reachable call button/remote placement), but those concerns are mentioned alongside continued overall satisfaction. The facility routinely responds to reviews; the most recent reviews remain strongly positive and continue the same themes.</t>
  </si>
  <si>
    <t>accepted google identity: 14.7/15; review volume: 30.0/30; review consistency: 1.9/7; review freshness: 8.0/8; verified website: 14.7/15; confirmed irs record: 0.0/20; source corroboration: 3.3/5; Synthesis metadata: high (not part of numeric confidence)</t>
  </si>
  <si>
    <t>4003 Buckingham Rd, Baltimore, MD 21207</t>
  </si>
  <si>
    <t>410-653-0846</t>
  </si>
  <si>
    <t>Care Matters Assisted Living</t>
  </si>
  <si>
    <t>A Google Maps listing exists for an entity at 4003 Buckingham Rd, Baltimore; the provided sources contain no service description or program details that explain what this organization offers.</t>
  </si>
  <si>
    <t>No user review text or review sample is available for this listing, so public feedback is unavailable or too thin to assess user experience. The Google Maps listing is marked as permanently closed and includes an address but no service details or published hours. Attempts to verify an official website were rejected and registry matching did not produce a clear organizational record, leaving insufficient corroboration about current operations or services.</t>
  </si>
  <si>
    <t>accepted google identity: 14.8/15; review volume: 0.0/30; review consistency: 0.0/7; review freshness: 0.0/8; verified website: 0.0/15; confirmed irs record: 0.0/20; source corroboration: 1.7/5; Synthesis metadata: insufficient_evidence (not part of numeric confidence)</t>
  </si>
  <si>
    <t>3604 Grantley Rd, Baltimore, MD 21215</t>
  </si>
  <si>
    <t>(410) 466-3899</t>
  </si>
  <si>
    <t>Care Matters Inc</t>
  </si>
  <si>
    <t>A Google Maps listing identifies the entity at this address as an assisted-living facility (Care Matters Inc) and the listing is marked as permanently closed. There is no verified website or public review text available to confirm current operations or services.</t>
  </si>
  <si>
    <t>No public reviewer feedback is available for this listing, so reviewer themes cannot be assessed. The Google Maps entry itself classifies the place as an assisted-living facility but is marked permanently closed. Attempts to verify an official website were rejected, and public registry matching did not produce a clear confirmation of active status.</t>
  </si>
  <si>
    <t>accepted google identity: 13.9/15; review volume: 0.0/30; review consistency: 0.0/7; review freshness: 0.0/8; verified website: 0.0/15; confirmed irs record: 0.0/20; source corroboration: 1.7/5; Synthesis metadata: insufficient_evidence (not part of numeric confidence)</t>
  </si>
  <si>
    <t>1014 E Belvedere Ave, Baltimore, MD 21212</t>
  </si>
  <si>
    <t>(443) 248-7619</t>
  </si>
  <si>
    <t>Cared With Love Assisted Living, LLC</t>
  </si>
  <si>
    <t>A small, residential assisted-living home in Baltimore that offers staffed on-site care for residents and provides meals and daily support in a home-like setting; the listing notes a five-bed capacity.</t>
  </si>
  <si>
    <t>Google reviewers most frequently praise an attentive owner and caring staff, noting a clean, comfortable residential environment and helpfulness with paperwork and transitions. A single critical review describes serious concerns about staffing consistency, medication handling, favoritism, and unprofessional responses to family complaints. The newest available review (June 2025) is positive, indicating recent reviewers continue to report good experiences despite the isolated negative report.</t>
  </si>
  <si>
    <t>accepted google identity: 14.7/15; review volume: 20.5/30; review consistency: 2.1/7; review freshness: 3.4/8; verified website: 0.0/15; confirmed irs record: 0.0/20; source corroboration: 1.7/5; Synthesis metadata: medium (not part of numeric confidence)</t>
  </si>
  <si>
    <t>7400 Holabird Ave, Dundalk, MD 21222</t>
  </si>
  <si>
    <t>(410) 285-7060</t>
  </si>
  <si>
    <t>Caring Hands Adult Medical Day Care of Dundalk</t>
  </si>
  <si>
    <t>Serves aging adults and adults with disabilities and provides individualized care plans. No evidence found about required intake documents, referral procedures, cost/insurance rules, or eligibility paperwork.</t>
  </si>
  <si>
    <t>Monday: 7 AM to 4 PM; Tuesday: 7 AM to 4 PM; Wednesday: 7 AM to 4 PM; Thursday: 7 AM to 4 PM; Friday: 7 AM to 4 PM; Saturday: 7 AM to 3 PM; Sunday: 7 AM to 3 PM</t>
  </si>
  <si>
    <t>A local adult medical day care center that provides on-site nursing oversight and personalized care plans, daily meals and snacks, supervised enrichment and fitness activities, and door-to-door accessible transportation for participating adults.</t>
  </si>
  <si>
    <t>http://www.caring-hands.org/</t>
  </si>
  <si>
    <t>Google reviewers who left text commonly praise professional, friendly staff and the site’s programming and social activities. Some reviewers express concern that the center is better suited to people needing substantial physical or cognitive assistance rather than more-independent seniors. The most recent visible review is negative, suggesting some recent dissatisfaction; owner responses are not present in the available review sample.</t>
  </si>
  <si>
    <t>accepted google identity: 14.7/15; review volume: 25.7/30; review consistency: 1.5/7; review freshness: 5.9/8; verified website: 14.7/15; confirmed irs record: 0.0/20; source corroboration: 3.3/5; Synthesis metadata: medium (not part of numeric confidence)</t>
  </si>
  <si>
    <t>1001 W Pratt St, Baltimore, MD 21223</t>
  </si>
  <si>
    <t>(410) 332-8008</t>
  </si>
  <si>
    <t>Caring Hands AMDC of Greater Baltimore</t>
  </si>
  <si>
    <t>Programs are designed for aging and disabled adults and are intended to support family caregivers; each client receives a personalized care plan. The site states door-to-door, wheelchair-accessible transportation for enrolled clients. Program information and accommodations for persons with disabilities (alternative communication formats) are noted; nondiscrimination language indicates services are available regardless of race, national origin, disability, age, and similar protected characteristics.</t>
  </si>
  <si>
    <t>Monday: 7 AM to 4 PM; Tuesday: 7 AM to 4 PM; Wednesday: 7 AM to 4 PM; Thursday: 7 AM to 4 PM; Friday: 7 AM to 4 PM; Saturday: Closed; Sunday: Closed</t>
  </si>
  <si>
    <t>An adult medical day care center that provides on-site nursing and clinical oversight alongside daytime social, recreational, and wellness programming. The center offers medication administration and management, meals, enrichment activities, and transportation for enrolled adults.</t>
  </si>
  <si>
    <t>Reviewer comments are generally positive, describing attentive, medically focused care and active programming that supports participants’ social and physical needs; reviewers also mention medication support and transportation. There is at least one negative review with no detail, so concerns are not clearly described in the public feedback. The organization’s own website corroborates the medical, transportation, meal, and activity services reviewers describe, but the online review sample is small.</t>
  </si>
  <si>
    <t>accepted google identity: 14.6/15; review volume: 14.7/30; review consistency: 0.9/7; review freshness: 6.1/8; verified website: 14.6/15; confirmed irs record: 0.0/20; source corroboration: 3.3/5; Synthesis metadata: high (not part of numeric confidence)</t>
  </si>
  <si>
    <t>620 Wildwood Pkwy, Baltimore, MD 21229</t>
  </si>
  <si>
    <t>(443) 438-5767</t>
  </si>
  <si>
    <t>Caring Hearts Senior Living</t>
  </si>
  <si>
    <t>A physical assisted-living residential facility listed on Google Maps; the listing shows contact details, accessibility info, and published hours.</t>
  </si>
  <si>
    <t>There are no public user reviews available on the Google Maps listing, so reviewer feedback is unavailable. The Google Maps listing provides business contact details, structured 24-hour opening hours, and a note about wheelchair-accessible parking, but no independent website or registry record was verified to corroborate the listing. Because external corroboration is limited, the listing should be treated as minimally corroborated.</t>
  </si>
  <si>
    <t>accepted google identity: 14.7/15; review volume: 0.0/30; review consistency: 0.0/7; review freshness: 0.0/8; verified website: 0.0/15; confirmed irs record: 0.0/20; source corroboration: 1.7/5; Synthesis metadata: low (not part of numeric confidence)</t>
  </si>
  <si>
    <t>929 Back River Neck Rd, Essex, MD 21221</t>
  </si>
  <si>
    <t>(443) 517-7473</t>
  </si>
  <si>
    <t>Caring Home Assisted Living</t>
  </si>
  <si>
    <t>This listing is presented on Google Maps as an assisted-living/residential care facility at a physical address in Essex, MD; the Google profile is marked permanently closed and the site page returns a 404 error.</t>
  </si>
  <si>
    <t>https://caring-home-assisted-living.business.site/?utm_source=gmb&amp;utm_medium=referral</t>
  </si>
  <si>
    <t>Most earlier reviewers on the Google Maps profile gave positive feedback about the operation, but available textual review feedback is very limited. The newest textual review states the person "is not running that anymore," which diverges from earlier praise and suggests a change in operation. The Google listing itself is marked permanently closed and the linked business.site page returns a 404, so current availability is uncertain.</t>
  </si>
  <si>
    <t>accepted google identity: 14.8/15; review volume: 13.2/30; review consistency: 0.0/7; review freshness: 6.4/8; verified website: 14.8/15; confirmed irs record: 0.0/20; source corroboration: 3.3/5; Synthesis metadata: low (not part of numeric confidence)</t>
  </si>
  <si>
    <t>3308 Benson Ave, Baltimore, MD 21227</t>
  </si>
  <si>
    <t>(667) 600-2660</t>
  </si>
  <si>
    <t>Caritas House Assisted Living</t>
  </si>
  <si>
    <t>Serves seniors aged 62 and older. Monthly fee is stated as $5,450; an application process is indicated and prospective inquiries are handled by contacting the facility (phone/message). No other eligibility, documentation, or referral requirements are specified in the available sources.</t>
  </si>
  <si>
    <t>Residential assisted living for older adults that provides help with activities of daily living (personal care), meals, medication management, housekeeping and laundry, recreational and social activities, and on-site nursing and healthcare oversight including palliative and hospice support.</t>
  </si>
  <si>
    <t>https://www.catholiccharities-md.org/services/caritas-house-assisted-living</t>
  </si>
  <si>
    <t>Public Google Maps reviews are mixed: recurring praise highlights compassionate and attentive caregiving, active social programming, and nursing oversight; recurring negative reports raise concerns about staff professionalism, communication, and resident safety. The most recent review in the fetched sample is strongly positive, but multiple 1‑star reviews from the prior year indicate ongoing mixed experiences. The provider’s official website presents detailed program descriptions, services, and a stated monthly fee that corroborate the listing information, strengthening factual claims about offered services.</t>
  </si>
  <si>
    <t>accepted google identity: 14.7/15; review volume: 21.6/30; review consistency: 0.4/7; review freshness: 5.2/8; verified website: 14.7/15; confirmed irs record: 0.0/20; source corroboration: 3.3/5; Synthesis metadata: high (not part of numeric confidence)</t>
  </si>
  <si>
    <t>3330 Wilkens Ave, Baltimore, MD 21229</t>
  </si>
  <si>
    <t>(410) 525-1544</t>
  </si>
  <si>
    <t>Carroll Park Healthcare</t>
  </si>
  <si>
    <t>Reviewers report inconsistent visitation rules and difficulty reaching staff by phone; family members describe delays handling paperwork (including SSI) and occasional problems locating or getting prompt staff assistance. These access and communication issues are reported in Google Maps reviews.</t>
  </si>
  <si>
    <t>A facility listed on Google Maps as a nursing home and rehabilitation center providing on-site nursing and rehabilitative care at a physical location in Baltimore.</t>
  </si>
  <si>
    <t>http://www.carrollparkhcr.com/</t>
  </si>
  <si>
    <t>Google Maps reviewers commonly praise engaged, friendly staff and dedicated rehabilitation/PT teams, and several reviewers say the facility’s care has improved compared with earlier years. Recurring concerns include poor communication, inconsistent visitation policies, difficulty reaching staff by phone, and isolated reports alleging cleanliness or neglect issues. The most recent reviews show a mix of positive and negative experiences, with recent comments still reflecting both the praised staff engagement and the communication/visitation problems.</t>
  </si>
  <si>
    <t>accepted google identity: 14.7/15; review volume: 30.0/30; review consistency: 1.5/7; review freshness: 7.5/8; verified website: 14.7/15; confirmed irs record: 0.0/20; source corroboration: 3.3/5; Synthesis metadata: medium (not part of numeric confidence)</t>
  </si>
  <si>
    <t>3415 Menlo Dr, Baltimore, MD 21215</t>
  </si>
  <si>
    <t>(443) 960-1313</t>
  </si>
  <si>
    <t>Catering With Love Assisted Living, LLC</t>
  </si>
  <si>
    <t>Admission appears to require a signed contract prior to placement; the owner’s response on the listing states that payment policies are presented in and enforced per that contract. There is at least one reviewer complaint about a prorated refund and unresolved follow-up with management.</t>
  </si>
  <si>
    <t>A residential assisted living facility that provides housing and daily residential care for older adults.</t>
  </si>
  <si>
    <t>Google Maps reviewers give mixed feedback: several reviewers praise the staff, owners, and homelike setting, while at least one reviewer reports a billing/refund dispute and poor follow-up from management. The owner has publicly responded to the critical feedback, citing contractual payment policies. Overall the review text shows both positive comments about care and a notable customer-service/payment concern.</t>
  </si>
  <si>
    <t>accepted google identity: 14.7/15; review volume: 12.5/30; review consistency: 0.4/7; review freshness: 4.7/8; verified website: 0.0/15; confirmed irs record: 0.0/20; source corroboration: 1.7/5; Synthesis metadata: medium (not part of numeric confidence)</t>
  </si>
  <si>
    <t>501 Rolling Rd., Catonsville, MD 21228</t>
  </si>
  <si>
    <t>(410) 887-0900</t>
  </si>
  <si>
    <t>Catonsville Senior Center</t>
  </si>
  <si>
    <t>Open to older adults age 62 and older.</t>
  </si>
  <si>
    <t>A local senior center offering daytime social and recreational programming for older adults, including planned activities, lunches, and an office that assists with travel/outings. The facility is wheelchair accessible and operates on weekdays.</t>
  </si>
  <si>
    <t>https://www.baltimorecountymd.gov/departments/aging/centers/catonsville</t>
  </si>
  <si>
    <t>Google reviewers consistently describe friendly staff, planned daily activities, and onsite lunches, and several reviews single out the travel/outing office as a helpful feature; reviewers also frequently note the facility is clean and accessible. A small number of reviews raise isolated concerns about specific experiences or the grounds, but most recent reviewer comments remain positive. The organization’s identity is corroborated by a registry match (IRS BMF), while the official county web page was reachable but returned a 403 error at fetch time.</t>
  </si>
  <si>
    <t>accepted google identity: 14.8/15; review volume: 30.0/30; review consistency: 2.7/7; review freshness: 4.5/8; verified website: 14.8/15; confirmed irs record: 20.0/20; source corroboration: 5.0/5; Synthesis metadata: high (not part of numeric confidence)</t>
  </si>
  <si>
    <t>3525 Resource Dr, Randallstown, MD 21133</t>
  </si>
  <si>
    <t>(410) 887-0780</t>
  </si>
  <si>
    <t>Liberty Senior Center</t>
  </si>
  <si>
    <t>Intended primarily for older adults/seniors. Facility notes indicate wheelchair-accessible entrance, parking, and restroom. No intake, referral, or documentation requirements were stated in the available evidence.</t>
  </si>
  <si>
    <t>In-person senior center that provides classes, activities, and social programs for older adults in a community setting.</t>
  </si>
  <si>
    <t>https://www.baltimorecountymd.gov/departments/aging/centers/liberty/</t>
  </si>
  <si>
    <t>Reviewer feedback on the Google Maps listing consistently highlights classes, activities, and opportunities for socializing as benefits for attendees. Some reviewers report occasional negative interactions with front-desk staff or mixed customer-service experiences. The most recent reviews remain largely positive, though isolated critical comments appear among recent posts.</t>
  </si>
  <si>
    <t>accepted google identity: 14.7/15; review volume: 30.0/30; review consistency: 2.6/7; review freshness: 7.8/8; verified website: 14.7/15; confirmed irs record: 20.0/20; source corroboration: 5.0/5; Synthesis metadata: high (not part of numeric confidence)</t>
  </si>
  <si>
    <t>9150 Franklin Square Dr, Rosedale, MD 21237</t>
  </si>
  <si>
    <t>(410) 887-5222</t>
  </si>
  <si>
    <t>Eastern Family Resource Center</t>
  </si>
  <si>
    <t>Google Maps reviews describe shelter-style intake and operational rules for some residents, including reports of curfews, wake-up times, invasive intake procedures, and housing-intake requirements where rescheduling was described as risking exit from the program. These access-related details come from reviewer reports and are not corroborated by an accessible program webpage.</t>
  </si>
  <si>
    <t>Monday: 8:30 AM to 10 PM; Tuesday: 8:30 AM to 10 PM; Wednesday: 8:30 AM to 10 PM; Thursday: 8:30 AM to 10 PM; Friday: 8:30 AM to 10 PM; Saturday: Closed; Sunday: Closed</t>
  </si>
  <si>
    <t>A physical community health and family resource center that provides community health services and on-site dental care, and indicates it offers free or low-cost care based on individual circumstances.</t>
  </si>
  <si>
    <t>https://www.baltimorecountymd.gov/</t>
  </si>
  <si>
    <t>Google Maps reviews are mixed: multiple reviewers report negative, shelter-like experiences—complaints include unsanitary conditions, security/staff misconduct, theft, and intrusive intake or program rules—while other reviewers praise specific clinical care (notably dental services) and individual staff members. The sample of recent reviews contains both strong negative accounts and positive reports about clinical care, so feedback is sharply mixed rather than uniformly positive or negative. Review recency shows similarly mixed impressions in the newest entries.</t>
  </si>
  <si>
    <t>accepted google identity: 14.8/15; review volume: 30.0/30; review consistency: 0.3/7; review freshness: 8.0/8; verified website: 14.8/15; confirmed irs record: 20.0/20; source corroboration: 5.0/5; Synthesis metadata: medium (not part of numeric confidence)</t>
  </si>
  <si>
    <t>7930 Eastern Ave, Baltimore, MD 21224</t>
  </si>
  <si>
    <t>(410) 288-9050</t>
  </si>
  <si>
    <t>Eastpoint Workforce Development</t>
  </si>
  <si>
    <t>Several reviewers report that appointments or limited staffing can affect when in-person help is available; one reviewer stated that children are not allowed in the building. No documented eligibility, required documents, intake, or formal referral process is provided in the available evidence.</t>
  </si>
  <si>
    <t>A local workforce development center that provides in-person career resources such as help with using computers, resume and application tools, and access to online job-search systems and workforce information.</t>
  </si>
  <si>
    <t>https://mwejobs.maryland.gov/vosnet/Default.aspx</t>
  </si>
  <si>
    <t>Google reviewers commonly praise staff for being helpful and polite and cite assistance with computers and resume-building tools. Recurring criticisms describe long waits, inconsistent staffing or appointment availability, and that the center often points users to links or online tools rather than directly placing people into jobs. Recent reviews continue to show this mix of strong praise from some visitors and sharp dissatisfaction from others.</t>
  </si>
  <si>
    <t>accepted google identity: 14.2/15; review volume: 29.8/30; review consistency: 1.0/7; review freshness: 7.7/8; verified website: 14.2/15; confirmed irs record: 0.0/20; source corroboration: 3.3/5; Synthesis metadata: medium (not part of numeric confidence)</t>
  </si>
  <si>
    <t>11101 McCormick Rd #101, Hunt Valley, MD 21031</t>
  </si>
  <si>
    <t>(410) 887-7940</t>
  </si>
  <si>
    <t>Hunt Valley Career Center</t>
  </si>
  <si>
    <t>County government office listing for a location identified as "Hunt Valley Career Center" at an address in Hunt Valley; the available evidence does not describe specific services provided or eligibility requirements.</t>
  </si>
  <si>
    <t>https://www.baltimorecountymd.gov/careercenters</t>
  </si>
  <si>
    <t>No public Google Maps or other user reviews were available for this listing, so there is no reviewer feedback to summarize. The Google Maps entry lists the site as a county government office, gives an address and phone number, and notes accessibility features, but it provides no description of services or published hours. Attempts to fetch the cited county webpage returned an HTTP 403 error, limiting web corroboration of service details.</t>
  </si>
  <si>
    <t>accepted google identity: 14.3/15; review volume: 0.0/30; review consistency: 0.0/7; review freshness: 0.0/8; verified website: 14.3/15; confirmed irs record: 0.0/20; source corroboration: 3.3/5; Synthesis metadata: insufficient_evidence (not part of numeric confidence)</t>
  </si>
  <si>
    <t>3637 Offutt Rd, Randallstown, MD 21133</t>
  </si>
  <si>
    <t>(410) 887-8912</t>
  </si>
  <si>
    <t>American Job Center at the Liberty Center</t>
  </si>
  <si>
    <t>Appointments are required for afternoon service blocks (appointments needed from 1:00 p.m. to 3:30 p.m. per the site). Centers state they serve all customers and advise contacting a local American Job Center to arrange auxiliary aids, interpreter services, or other reasonable accommodations. (Access rules, hours, and appointment requirements vary by center.)</t>
  </si>
  <si>
    <t>A local American Job Center that provides workforce services for job seekers and support to employers, including career counseling, referrals to training programs, résumé and job-search help, workshops, and access to computers and office equipment.</t>
  </si>
  <si>
    <t>https://labor.maryland.gov/county/baco/</t>
  </si>
  <si>
    <t>Reviewer feedback is mixed: some users describe staff as helpful, respectful, and knowledgeable, while others report rude or unprofessional interactions with front-desk personnel. The most recent reviews continue to reflect that split between strongly positive and strongly negative experiences. There is an official state website listing that corroborates the range of workforce services described by reviewers.</t>
  </si>
  <si>
    <t>accepted google identity: 14.8/15; review volume: 20.5/30; review consistency: 0.8/7; review freshness: 6.5/8; verified website: 14.8/15; confirmed irs record: 0.0/20; source corroboration: 3.3/5; Synthesis metadata: high (not part of numeric confidence)</t>
  </si>
  <si>
    <t>3400 Barry Paul Rd suite 5/6, Randallstown, MD 21133</t>
  </si>
  <si>
    <t>(410) 579-6789</t>
  </si>
  <si>
    <t>CENTER FOR SOCIAL CHANGE</t>
  </si>
  <si>
    <t>Website states the organization provides Medicaid waiver services and operates programs in Maryland for people with developmental disabilities; no specific intake, referral, documentation, or eligibility procedures are listed on the site or the Google Maps listing.</t>
  </si>
  <si>
    <t>Monday: 8:30 AM to 5 PM; Tuesday: 8:30 AM to 5 PM; Wednesday: 8:30 AM to 5 PM; Thursday: 8:30 AM to 5 PM; Friday: 8:30 AM to 5 PM; Saturday: 8:30 AM to 5 PM; Sunday: Closed</t>
  </si>
  <si>
    <t>Provides programs for children and adults with intellectual and developmental disabilities, including residential services, vocational and supported employment, adult day/day habilitation, and services for medically fragile or behaviorally challenging individuals.</t>
  </si>
  <si>
    <t>http://www.centerforsocialchange.org/</t>
  </si>
  <si>
    <t>Google Maps reviewers most often praise the facility's cleanliness and staff friendliness, and the most recent reviews continue to be positive. There is at least one older negative (1-star) review, indicating occasional dissatisfied experiences, but recent feedback trends positive. The organization's website is reachable and provides detailed program descriptions and accreditation claims, though a public registry lookup did not produce a clear match for the organization.</t>
  </si>
  <si>
    <t>accepted google identity: 14.8/15; review volume: 19.2/30; review consistency: 1.6/7; review freshness: 5.6/8; verified website: 14.8/15; confirmed irs record: 0.0/20; source corroboration: 3.3/5; Synthesis metadata: medium (not part of numeric confidence)</t>
  </si>
  <si>
    <t>101 Center Pl, Dundalk, MD 21222</t>
  </si>
  <si>
    <t>(410) 285-6666</t>
  </si>
  <si>
    <t>Center Place Senior Apartments</t>
  </si>
  <si>
    <t>Independent living for seniors age 62 and older; rent is set based on income and Section 8 rental assistance is offered. TTY access listed for phone contact. No additional eligibility, intake, or referral procedures were evidenced.</t>
  </si>
  <si>
    <t>A senior (62+) independent-living apartment community offering one- and two-bedroom units with on-site management, 24-hour maintenance response, and resident common spaces and activities. Rent is income-based and Section 8 rental assistance is available.</t>
  </si>
  <si>
    <t>https://www.st-residential.com/center-place</t>
  </si>
  <si>
    <t>Google reviewers most often praise friendly on-site staff, timely maintenance, and community activities that make the building feel welcoming. Some reviewers report recurring issues with the building entry/call box and occasional negative interactions with staff or other residents. The most recent reviews are largely positive and the management regularly responds to reviewer feedback, suggesting active engagement with residents and the public.</t>
  </si>
  <si>
    <t>accepted google identity: 14.7/15; review volume: 30.0/30; review consistency: 2.7/7; review freshness: 6.9/8; verified website: 14.7/15; confirmed irs record: 0.0/20; source corroboration: 3.3/5; Synthesis metadata: high (not part of numeric confidence)</t>
  </si>
  <si>
    <t>4511 Robosson Rd, Randallstown, MD 21133</t>
  </si>
  <si>
    <t>(410) 922-2443</t>
  </si>
  <si>
    <t>Chapel Hill Nursing &amp; Rehabilitation Center</t>
  </si>
  <si>
    <t>A nursing and rehabilitation facility that provides on-site skilled nursing and rehabilitative care for residents and short-term/post-acute patients, with therapy services and clinical supports intended to support recovery or long-term living.</t>
  </si>
  <si>
    <t>https://chapelhillnrc.com/</t>
  </si>
  <si>
    <t>Google reviewers commonly praise caring, attentive staff, effective rehabilitation therapies, and an overall clean environment. However, recent reviews also include strong negative reports alleging poor hygiene, unprofessional staff behavior, and concerns about food and patient care. The newest reviews trend negative relative to many earlier positive accounts, indicating mixed and shifting recent experiences.</t>
  </si>
  <si>
    <t>accepted google identity: 14.8/15; review volume: 30.0/30; review consistency: 0.9/7; review freshness: 7.9/8; verified website: 14.8/15; confirmed irs record: 0.0/20; source corroboration: 3.3/5; Synthesis metadata: high (not part of numeric confidence)</t>
  </si>
  <si>
    <t>9630 Dietz Place, Perry Hall, MD 21128</t>
  </si>
  <si>
    <t>(410) 352-7440</t>
  </si>
  <si>
    <t>Chapel Springs Apartments</t>
  </si>
  <si>
    <t>For independent seniors (explicitly identified on the Google listing). No verified intake, referral, or required-documentation details were documented in the provided sources.</t>
  </si>
  <si>
    <t>Monday: 10 AM to 3 PM; Tuesday: 10 AM to 3 PM; Wednesday: 10 AM to 3 PM; Thursday: 10 AM to 3 PM; Friday: 10 AM to 3 PM; Saturday: Closed; Sunday: Closed</t>
  </si>
  <si>
    <t>A senior-focused apartment community offering independent-living one- and two-bedroom apartments with in-unit washer/dryer, on-site fitness center and elevator, maintenance services, pet-friendly policies, and shared community spaces and activities.</t>
  </si>
  <si>
    <t>https://www.chapelspringsapts.com/?utm_source=GBP&amp;utm_medium=organic</t>
  </si>
  <si>
    <t>Recent Google reviews commonly praise the community atmosphere, cleanliness, organized activities, and a responsive property manager (named in multiple reviews). Recurring concerns reported by reviewers include slower or inconsistent maintenance responses and episodes of manager unavailability; a recent negative review contrasts earlier, more positive experiences. Overall the publicly visible review text shows many positive accounts alongside some recent complaints about management/maintenance responsiveness.</t>
  </si>
  <si>
    <t>accepted google identity: 15.0/15; review volume: 30.0/30; review consistency: 4.1/7; review freshness: 7.4/8; verified website: 15.0/15; confirmed irs record: 0.0/20; source corroboration: 3.3/5; Synthesis metadata: high (not part of numeric confidence)</t>
  </si>
  <si>
    <t>3333 Windsor Ave, Baltimore, MD 21216</t>
  </si>
  <si>
    <t>(410) 421-0431</t>
  </si>
  <si>
    <t>Charis Home Assisted Living</t>
  </si>
  <si>
    <t>Accepts residents who are disabled or have impaired cognition and are unable to care for themselves. Capacity described as 14 private beds and 2 semi-private rooms. No intake, referral, documentation, or eligibility process details were provided in the available evidence.</t>
  </si>
  <si>
    <t>An assisted-living / nursing-home style facility that provides 24-hour, overnight care and assistance with activities of daily living (bathing, dressing, grooming, laundry). Services described by the provider include three meals per day plus snacks, meaningful activities, on-site rehab services and a salon; the facility is described as having multiple private and semi-private rooms.</t>
  </si>
  <si>
    <t>http://www.charishomes.org/</t>
  </si>
  <si>
    <t>The Google Maps listing includes an owner-provided description with operational details (services, 24-hour care, bed counts), and the organization’s website is reachable. Public review feedback is effectively unavailable for assessing quality: the listing has a single recent one-star review with no review text, so there are no recurring reviewer themes to summarize. The website content did not contain clear, corroborating contact or service-field details beyond a generic page, so the Maps owner description remains the primary source of program details.</t>
  </si>
  <si>
    <t>accepted google identity: 14.7/15; review volume: 5.0/30; review consistency: 7.0/7; review freshness: 4.9/8; verified website: 14.7/15; confirmed irs record: 0.0/20; source corroboration: 3.3/5; Synthesis metadata: medium (not part of numeric confidence)</t>
  </si>
  <si>
    <t>607 Pennsylvania Ave Apt 206, Baltimore, MD 21201</t>
  </si>
  <si>
    <t>(410) 523-3890</t>
  </si>
  <si>
    <t>C.R. Uncles Plaza Apartments</t>
  </si>
  <si>
    <t>A residential apartment building listed as C.R. Uncles Plaza Apartments at 607 Pennsylvania Ave Apt 206 in Baltimore. The Google Maps listing includes a contact phone field and indicates wheelchair-accessible entrance and parking, but no service/program details are provided in the listing.</t>
  </si>
  <si>
    <t>http://www.thefrenchcompanies.com/crunclesplaza</t>
  </si>
  <si>
    <t>Reviewer text was not available to read from the Google Maps listing, so reviewer feedback is unavailable or too thin to summarize. The Google Maps entry identifies the location as an apartment building and reports contact details and accessibility features, which supports its identity as housing. Attempts to corroborate via the listed website returned a not-found (404) response, reducing confidence in web-based corroboration.</t>
  </si>
  <si>
    <t>accepted google identity: 14.2/15; review volume: 15.3/30; review consistency: 0.0/7; review freshness: 0.0/8; verified website: 14.2/15; confirmed irs record: 0.0/20; source corroboration: 3.3/5; Synthesis metadata: insufficient_evidence (not part of numeric confidence)</t>
  </si>
  <si>
    <t>715 Maiden Choice Ln, Catonsville, MD 21228</t>
  </si>
  <si>
    <t>(410) 737-8830</t>
  </si>
  <si>
    <t>Charlestown Senior Living Community</t>
  </si>
  <si>
    <t>Community is for adults age 60-plus. Prospective residents are invited to schedule a tour and request a brochure or financial details via the sales/continuing care offices; separate sales contact points are provided for independent living and continuing care. The moving-reimbursement program requires using one of the community's preferred real estate professionals and reimburses approved moving expenses after the resident has settled in (terms on the website).</t>
  </si>
  <si>
    <t>A continuing-care senior living community on a physical campus that offers independent and assisted living residences and a range of on-site amenities and services (dining venues, fitness center and pool, activities/clubs, maintenance services, an on-site pharmacy, and an on-campus medical center). The community is managed by Erickson Senior Living and promotes move-in support and resident services for older adults.</t>
  </si>
  <si>
    <t>https://www.ericksonseniorliving.com/charlestown?utm_source=google_local&amp;utm_medium=organic&amp;utm_campaign=IL-CCI-Google-Local</t>
  </si>
  <si>
    <t>Public Google reviews show a mix of praise and specific complaints. Many reviewers describe the community as welcoming, active, and offering good food and amenities, while recurring concerns mention high cost/financial arrangements, problems with entry/security and staffing or parking inconveniences, and at least one complaint alleging discriminatory treatment; management frequently replies to reviews and invites discussion. The most recent reviews continue to show this pattern of both strong positive impressions and pointed operational complaints.</t>
  </si>
  <si>
    <t>accepted google identity: 14.8/15; review volume: 30.0/30; review consistency: 0.3/7; review freshness: 7.5/8; verified website: 14.8/15; confirmed irs record: 0.0/20; source corroboration: 3.3/5; Synthesis metadata: high (not part of numeric confidence)</t>
  </si>
  <si>
    <t>6451 N Charles St, Baltimore, MD 21212</t>
  </si>
  <si>
    <t>(410) 431-3785</t>
  </si>
  <si>
    <t>Charter Senior Living of Towson</t>
  </si>
  <si>
    <t>Prospective residents/families are invited to request more information or schedule a personal consultation or tour; the website indicates an online request form that requires mandatory information for inquiries.</t>
  </si>
  <si>
    <t>A senior living community in Towson offering on-site assisted living and a specialized memory-care neighborhood, with personalized care plans, 24/7 nursing availability, and activity/life-enrichment programming.</t>
  </si>
  <si>
    <t>https://www.chartertowson.com/?utm_source=local_listing&amp;utm_medium=organic&amp;utm_id=GBP</t>
  </si>
  <si>
    <t>Google reviewers most often praise caring, attentive staff, warm admissions interactions, and smooth transitions between assisted living and memory care. Reviewers also frequently note a family-like atmosphere and active programming for residents. A small number of reviews raise concerns about staffing levels and management; however, recent reviews remain positive and the business frequently posts owner responses.</t>
  </si>
  <si>
    <t>accepted google identity: 14.7/15; review volume: 30.0/30; review consistency: 3.6/7; review freshness: 6.9/8; verified website: 14.7/15; confirmed irs record: 0.0/20; source corroboration: 3.3/5; Synthesis metadata: high (not part of numeric confidence)</t>
  </si>
  <si>
    <t>1840 Reisterstown Rd, Pikesville, MD 21208</t>
  </si>
  <si>
    <t>(410) 873-9353</t>
  </si>
  <si>
    <t>Charter Senior Living of Woodholme Crossing</t>
  </si>
  <si>
    <t>A physical senior living community that provides assisted living and specialized memory-care services with personalized care plans, on-site dining, and life-enrichment programs focused on engagement and a homelike environment.</t>
  </si>
  <si>
    <t>https://www.charterwoodholmecrossing.com/?utm_source=local_listing&amp;utm_medium=organic&amp;utm_id=GBP</t>
  </si>
  <si>
    <t>Google reviewer text is plentiful and recent; many reviewers praise caring, attentive staff, a clean and welcoming community, and active life-enrichment programming, and owner responses are frequent. However, at least one detailed negative review raises significant concerns about the memory-care neighborhood (noting limited activities, hygiene and food issues, and staffing/turnover problems), which contrasts with most other feedback. The review sample is substantial and recent overall, and the newest reviews trend positive.</t>
  </si>
  <si>
    <t>accepted google identity: 14.1/15; review volume: 30.0/30; review consistency: 2.4/7; review freshness: 8.0/8; verified website: 14.1/15; confirmed irs record: 0.0/20; source corroboration: 3.3/5; Synthesis metadata: high (not part of numeric confidence)</t>
  </si>
  <si>
    <t>6901 Security Blvd, Baltimore, MD 21244</t>
  </si>
  <si>
    <t>410-837-2050</t>
  </si>
  <si>
    <t>Chase Brexton</t>
  </si>
  <si>
    <t>Appointments are recommended and patients use the listed appointment/department contacts and referral pathways for scheduling; the organization accepts many commercial, Medicare, and Medicaid plans and offers a sliding fee scale for those with limited income. Social Work &amp; Outreach assists current patients with insurance eligibility and enrollment; some services may require prior authorization or referrals. (All items are documented on the provider website and the Google Maps listing.)</t>
  </si>
  <si>
    <t>A multi-site community health provider offering primary medical care and related clinical services, plus supportive services such as pharmacy, laboratory, dental care, behavioral health, sexual health/HIV services (including PrEP/PEP), and social work/outreach that helps patients with insurance and resource navigation.</t>
  </si>
  <si>
    <t>https://chasebrexton.org/</t>
  </si>
  <si>
    <t>Public review feedback is limited and mixed. Reported concerns focus on timeliness and scheduling—several reviewers describe long waits or difficulty being seen at the scheduled appointment time—while other reviewers left neutral or positive brief feedback. The most recent reviews are not clearly different in tone from earlier feedback, and there is no evidence of owner responses to reviewer complaints. The website is an official, reachable source and provides extensive service-level detail that corroborates the listing.</t>
  </si>
  <si>
    <t>accepted google identity: 14.7/15; review volume: 11.3/30; review consistency: 2.6/7; review freshness: 7.1/8; verified website: 14.7/15; confirmed irs record: 0.0/20; source corroboration: 3.3/5; Synthesis metadata: medium (not part of numeric confidence)</t>
  </si>
  <si>
    <t>606 Cherry Hill Rd, Baltimore, MD 21225</t>
  </si>
  <si>
    <t>(410) 396-1168</t>
  </si>
  <si>
    <t>Enoch Pratt Free Library - Cherry Hill Branch</t>
  </si>
  <si>
    <t>Meeting rooms are available by reservation. The branch observes posted holiday and early-closing schedules. Book-a-Librarian one-hour appointments are offered (in person, by phone, or video chat).</t>
  </si>
  <si>
    <t>Monday: 10 AM to 7 PM; Tuesday: 10 AM to 5:30 PM; Wednesday: 10 AM to 5:30 PM; Thursday: 10 AM to 7 PM; Friday: 10 AM to 5 PM; Saturday: 10 AM to 5 PM; Sunday: Closed</t>
  </si>
  <si>
    <t>A public library branch offering in-person library services at a physical location, including on-site computer access, Wi‑Fi, printing/photocopying, children’s and teen collections and programs, job-and-career help, meeting room reservations, and regular community events.</t>
  </si>
  <si>
    <t>https://www.prattlibrary.org/locations/cherry-hill</t>
  </si>
  <si>
    <t>Google reviewers commonly praise friendly, helpful staff, a clean and welcoming branch environment, and efficient services such as printing. A small number of reviewers note the branch’s compact size and that the restroom is located upstairs, which some find inconvenient. The most recent reviews remain positive and are consistent with these themes.</t>
  </si>
  <si>
    <t>accepted google identity: 14.8/15; review volume: 30.0/30; review consistency: 5.0/7; review freshness: 8.0/8; verified website: 14.8/15; confirmed irs record: 0.0/20; source corroboration: 3.3/5; Synthesis metadata: high (not part of numeric confidence)</t>
  </si>
  <si>
    <t>901 Cherry Hill Rd, Baltimore, MD 21225</t>
  </si>
  <si>
    <t>(410) 988-4923</t>
  </si>
  <si>
    <t>Cherry Hill Senior Manor</t>
  </si>
  <si>
    <t>Designated as a senior community for adults 62 and over. Prospective new residents undergo standardized tenant screening, including credit, criminal, and landlord background checks conducted through a third-party reporting agency. Contact or application required for inquiries and leasing.</t>
  </si>
  <si>
    <t>Cherry Hill Senior Manor is a physical rental community offering independent living apartments for older adults, with one- and two-bedroom units and on-site amenities such as a community room, fitness equipment, an on-site nurse's office, and an on-site salon. The property also provides resident services including laundry facilities, grocery delivery, on-site management and maintenance, and 24-hour emergency call service.</t>
  </si>
  <si>
    <t>http://cherryhillsenior.com/</t>
  </si>
  <si>
    <t>Public review content on the Google listing is limited and mixed: one recent review is a 5-star entry without text, while a detailed earlier 1-star review alleges resident harassment and says management did not address complaints. The site listing and the official property website align on services and amenities, but reviewer feedback is sparse and polarized, limiting how confidently user experience can be generalized. The business does not appear to respond to reviews.</t>
  </si>
  <si>
    <t>accepted google identity: 14.8/15; review volume: 13.9/30; review consistency: 0.0/7; review freshness: 1.8/8; verified website: 14.8/15; confirmed irs record: 0.0/20; source corroboration: 3.3/5; Synthesis metadata: high (not part of numeric confidence)</t>
  </si>
  <si>
    <t>12020 Reisterstown Rd, Reisterstown, MD 21136</t>
  </si>
  <si>
    <t>(410) 833-3801</t>
  </si>
  <si>
    <t>FutureCare - Cherrywood</t>
  </si>
  <si>
    <t>To request a tour the site provides an online form; the site directs callers to contact the facility for patient-specific inquiries and to use the organization’s customer care line or the Executive Director for urgent concerns. No eligibility restrictions, required documents, referral rules, or intake procedures are stated on the sources provided.</t>
  </si>
  <si>
    <t>A skilled nursing facility that provides short-term clinical and rehabilitation care as well as long-term residential nursing services, including on-site therapy programs and clinical supports for patients recovering from surgery or requiring ongoing skilled care.</t>
  </si>
  <si>
    <t>https://www.futurecare.com/locations/cherry-wood/</t>
  </si>
  <si>
    <t>Google reviewers most commonly praise attentive and helpful staff, effective rehabilitation outcomes, cleanliness, and active programming for residents. Recurring negative reports include serious care lapses from some reviewers—allegations of falls, untreated pressure injuries, and lapses in night coverage—though these critical accounts are a minority amid many positive reports. Owner responses to reviews are frequent; overall the most recent reviews remain largely positive with occasional critical experiences still appearing.</t>
  </si>
  <si>
    <t>accepted google identity: 14.7/15; review volume: 30.0/30; review consistency: 2.4/7; review freshness: 7.8/8; verified website: 14.7/15; confirmed irs record: 0.0/20; source corroboration: 3.3/5; Synthesis metadata: high (not part of numeric confidence)</t>
  </si>
  <si>
    <t>8707 Trumps Mill Rd, Rosedale, MD 21237</t>
  </si>
  <si>
    <t>Cheryl's Place Assisted Living</t>
  </si>
  <si>
    <t>Monday: 9 AM to 7 PM; Tuesday: 9 AM to 7 PM; Wednesday: 9 AM to 5 PM; Thursday: 9 AM to 5 PM; Friday: 9 AM to 5 PM; Saturday: 9 AM to 5 PM; Sunday: 9 AM to 7 PM</t>
  </si>
  <si>
    <t>A physical assisted-living / residential care facility that offers on-site housing and supportive services for residents; the Google Maps listing also indicates accessible features and inclusive amenities.</t>
  </si>
  <si>
    <t>http://www.angelsamongusmd.com/virtual_tours/cheryls_place/index.html</t>
  </si>
  <si>
    <t>Public review text was unavailable or too thin to summarize local user experiences; the listing shows a single five-star aggregate rating but no fetched review content. The Google Maps profile provides stable structured hours, a phone number, accessibility details (wheelchair-accessible entrance/parking/restroom), and inclusivity tags. The linked website appears to be a parked/expired domain and did not corroborate listing details, so the maps listing is the primary corroborating source.</t>
  </si>
  <si>
    <t>accepted google identity: 14.2/15; review volume: 3.8/30; review consistency: 0.0/7; review freshness: 0.0/8; verified website: 14.2/15; confirmed irs record: 0.0/20; source corroboration: 3.3/5; Synthesis metadata: medium (not part of numeric confidence)</t>
  </si>
  <si>
    <t>600 Light St, Baltimore, MD 21230</t>
  </si>
  <si>
    <t>(410) 837-1010</t>
  </si>
  <si>
    <t>Christ Church Harbor Apartments Inc</t>
  </si>
  <si>
    <t>Head of household must be at least 62 years old. Maximum occupancy two persons per apartment. Rent is calculated based on income; rent includes water, heat, A/C, and electric but excludes telephone, cable, and parking. Applicants must comply with leasing requirements and the Tenant Selection Plan; applicants will not be denied for protected characteristics listed on the site. The site states it is currently NOT ACCEPTING NEW APPLICANTS due to high demand and backlog. Building is handicap-accessible. (All access and intake details are supported by the organization's official website.)</t>
  </si>
  <si>
    <t>Monday: 9:30 AM to 9 PM; Tuesday: 9:30 AM to 9 PM; Wednesday: 9:30 AM to 9 PM; Thursday: 9:30 AM to 9 PM; Friday: 9:30 AM to 9 PM; Saturday: 9:30 AM to 9 PM; Sunday: 9:30 AM to 9 PM</t>
  </si>
  <si>
    <t>Christ Church Harbor Apartments provides income-based rental housing for seniors, offering efficiency and one-bedroom apartments in a handicap-accessible, smoke-free building. The property includes on-site resident services (a Resident Services Coordinator), an on-site social worker and health &amp; welfare worker, coin-operated laundry rooms, shared resident lounges and a multipurpose room for social activities, and a 24-hour staffed front desk.</t>
  </si>
  <si>
    <t>https://www.cchaseniorhousing.org/</t>
  </si>
  <si>
    <t>Google reviewers praise the building’s upkeep, harbor views, cleanliness, and active social programming, and some longtime residents report satisfaction and desire to return. Recurring concerns in reviews focus on management and staff behavior, including allegations of bullying and unfair treatment by on-site management. The most recent fetched review is a 1-star (no text), which, combined with a small sample of textual reviews, suggests reviewer sentiment may have become more negative recently; review text is limited, so conclusions are tentative.</t>
  </si>
  <si>
    <t>accepted google identity: 14.6/15; review volume: 15.7/30; review consistency: 2.1/7; review freshness: 5.8/8; verified website: 14.6/15; confirmed irs record: 0.0/20; source corroboration: 3.3/5; Synthesis metadata: high (not part of numeric confidence)</t>
  </si>
  <si>
    <t>2001 N Wolfe St, Baltimore, MD 21213</t>
  </si>
  <si>
    <t>410-396-0984</t>
  </si>
  <si>
    <t>Enoch Pratt Free Library - Clifton Branch</t>
  </si>
  <si>
    <t>The Clifton Branch is closed until further notice due to maintenance issues; website and Google Maps state materials may be dropped off at Herring Run, Orleans Street, Patterson Park, or another Pratt branch. Contact email for the branch: CLF@prattlibrary.org. (No in-branch access while closed.)</t>
  </si>
  <si>
    <t>Monday: CLOSED
Tuesday: CLOSED
Wednesday: CLOSED
Thursday: CLOSED
Friday: CLOSED
Saturday: CLOSED
Sunday: CLOSED
(The Clifton Branch is closed until further notice due to maintenance issues.)</t>
  </si>
  <si>
    <t>A local branch of the Enoch Pratt Free Library system that provides typical public library services such as lending materials, public computer/internet access, research help (including 'Book a Librarian' appointments), meeting room reservations, and options for dropping off library materials. The branch is currently closed for maintenance.</t>
  </si>
  <si>
    <t>https://www.prattlibrary.org/locations/clifton</t>
  </si>
  <si>
    <t>Review text was not available or was too thin to summarize reviewer themes, so reviewer experiences cannot be reliably characterized. The branch’s official website and the Google Maps listing both explicitly state the Clifton Branch is closed for maintenance and provide consistent guidance about alternate drop-off locations and services. The organizational website lists the system-level services (computer access, Book a Librarian, meeting rooms, etc.), which corroborates the service types described above.</t>
  </si>
  <si>
    <t>accepted google identity: 14.6/15; review volume: 11.5/30; review consistency: 0.0/7; review freshness: 0.0/8; verified website: 14.6/15; confirmed irs record: 0.0/20; source corroboration: 3.3/5; Synthesis metadata: medium (not part of numeric confidence)</t>
  </si>
  <si>
    <t>10535 York Rd, Cockeysville, MD 21030</t>
  </si>
  <si>
    <t>(410) 887-7694</t>
  </si>
  <si>
    <t>Cockeysville Senior Center</t>
  </si>
  <si>
    <t>Open to registered members; website instructs visitors who are not registered to stop by the center to register.</t>
  </si>
  <si>
    <t>A local, membership-based senior center that runs social and recreational programming, exercise and wellness activities, trips and special events, and provides community resources aimed at helping older adults stay active and independent.</t>
  </si>
  <si>
    <t>https://cockeysvilleseniorcenter.com/</t>
  </si>
  <si>
    <t>Google Maps reviewers consistently report friendly staff, active social programming, exercise classes, organized trips, and good food; several reviewers also note practical help such as tax assistance or informal help from other members. There are occasional negative reports about staff interactions (including at least one report of staff refusing to assist a visitor), so experiences are not uniformly positive. The most recent reviews remain mostly positive but include a recent negative rating, indicating generally favorable but not entirely uniform review feedback.</t>
  </si>
  <si>
    <t>accepted google identity: 14.7/15; review volume: 30.0/30; review consistency: 3.2/7; review freshness: 7.6/8; verified website: 14.7/15; confirmed irs record: 20.0/20; source corroboration: 5.0/5; Synthesis metadata: high (not part of numeric confidence)</t>
  </si>
  <si>
    <t>1700 N Gay St, Baltimore, MD 21213</t>
  </si>
  <si>
    <t>410-435-4600</t>
  </si>
  <si>
    <t>Coel-Grant-Higgs Senior Center</t>
  </si>
  <si>
    <t>A facility listed on Google Maps as a senior citizen center at the 1700 N Gay St location; the listing indicates it is a place for older adults and notes accessibility features (accessible entrance, parking, and restroom).</t>
  </si>
  <si>
    <t>There are no public Google Maps reviews to report on — reviewer feedback is unavailable or too thin to characterize user experience. The place appears on Google Maps with category and basic accessibility details, but the listing has no review history and no verified website could be attributed. A recent filing signal from IRS BMF is present in the metadata but the registry match is inconclusive.</t>
  </si>
  <si>
    <t>accepted google identity: 14.6/15; review volume: 0.0/30; review consistency: 0.0/7; review freshness: 0.0/8; verified website: 0.0/15; confirmed irs record: 0.0/20; source corroboration: 1.7/5; Synthesis metadata: insufficient_evidence (not part of numeric confidence)</t>
  </si>
  <si>
    <t>4700 Harford Rd, Baltimore, MD 21214</t>
  </si>
  <si>
    <t>(410) 254-3300</t>
  </si>
  <si>
    <t>FutureCare - Cold Spring</t>
  </si>
  <si>
    <t>Tours are available by request (website form). For patient-specific inquiries or to arrange admission/tours callers are directed to contact the facility or the customer care line; brochures and downloadable program materials are provided on the location page. No further eligibility, documentation, or referral restrictions were stated in the cited sources.</t>
  </si>
  <si>
    <t>A 24/7 skilled nursing and rehabilitation center offering short-stay clinical and post-acute rehabilitation programs, specialized amputee and orthopedic rehabilitation programs, on-site dialysis, wound care and IV therapy, therapy services (physical, occupational, speech), pharmacy/lab/radiology support, case management/social services, and therapeutic activities.</t>
  </si>
  <si>
    <t>https://futurecare.com/locations/cold-spring/</t>
  </si>
  <si>
    <t>Google reviewers commonly praise helpful, professional therapy and nursing staff, clean facilities, and positive admissions/tour experiences. Recurring concerns in reviews include communication problems, delays or lapses in personal care and hygiene, and occasional reports of staffing or operational issues; several recent reviews reflect that same mix of high and low experiences. Management frequently posts responses to reviewer complaints, indicating active engagement with feedback.</t>
  </si>
  <si>
    <t>accepted google identity: 14.7/15; review volume: 30.0/30; review consistency: 1.8/7; review freshness: 7.9/8; verified website: 14.7/15; confirmed irs record: 0.0/20; source corroboration: 3.3/5; Synthesis metadata: high (not part of numeric confidence)</t>
  </si>
  <si>
    <t>300 W Seminary Ave, Timonium, MD 21093</t>
  </si>
  <si>
    <t>(410) 252-0440</t>
  </si>
  <si>
    <t>College Manor Assisted Living</t>
  </si>
  <si>
    <t>A family-owned assisted living community in Lutherville that provides residential assisted living with around-the-clock caregiving, meals, activities, private rooms, and short-term respite stays.</t>
  </si>
  <si>
    <t>https://www.collegemanor.com/</t>
  </si>
  <si>
    <t>Recent reviewer comments emphasize responsive, caring staff, comfortable private rooms, appealing meals, and an active activity program; the newest reviews continue to reflect these positive experiences. However, several older reviews report intermittent problems with staffing, missed care or supervision, and some maintenance or safety lapses, indicating occasional inconsistency in service. Management is regularly responding to reviews, showing engagement with concerns but not eliminating all negative reports in the record.</t>
  </si>
  <si>
    <t>accepted google identity: 14.2/15; review volume: 30.0/30; review consistency: 1.0/7; review freshness: 6.5/8; verified website: 14.2/15; confirmed irs record: 0.0/20; source corroboration: 3.3/5; Synthesis metadata: high (not part of numeric confidence)</t>
  </si>
  <si>
    <t>9101 Bengal Rd, Randallstown, MD 21133</t>
  </si>
  <si>
    <t>(443) 857-5230</t>
  </si>
  <si>
    <t>The Comforts Of Home Assisted Living</t>
  </si>
  <si>
    <t>Assisted living facility that provides around-the-clock professional care for older adults, with services described by the provider to include Alzheimer's/dementia care, assistance with activities of daily living (personal hygiene and continence management), meals and snacks, housekeeping and laundry, individualized care plans, arranging medical care and transportation, and daily social/recreational activities.</t>
  </si>
  <si>
    <t>https://cohalf.com/</t>
  </si>
  <si>
    <t>Google Maps reviewers give a mixed picture: at least one reviewer praises the care as “beyond call of duty,” while several brief negative reviews lack detail and make it difficult to identify specific problems. The most recent reviews remain sparse and non-specific rather than clarifying those concerns. Overall, reviewer feedback is limited and inconsistent, so user reports are inconclusive.</t>
  </si>
  <si>
    <t>accepted google identity: 14.2/15; review volume: 15.6/30; review consistency: 1.2/7; review freshness: 5.5/8; verified website: 14.2/15; confirmed irs record: 0.0/20; source corroboration: 3.3/5; Synthesis metadata: high (not part of numeric confidence)</t>
  </si>
  <si>
    <t>10881 York Rd, Cockeysville, MD 21030</t>
  </si>
  <si>
    <t>(410) 683-2400</t>
  </si>
  <si>
    <t>Viva Senior Living at Cockeysville</t>
  </si>
  <si>
    <t>A senior living community operated under the Viva Senior Living brand that provides onsite assisted living, memory-care programming, independent living options, and short-term respite stays.</t>
  </si>
  <si>
    <t>http://www.vivaseniorliving.com/</t>
  </si>
  <si>
    <t>Google review text shows many families praising compassionate, attentive staff, a clean facility, and good communication from staff. Recurring negative themes include at least one serious billing/refund complaint and some reports of understaffing or reduced scheduled activities. Management has replied to multiple reviews and provided contact information in responses; the most recent reviews remain positive and emphasize caring staff and satisfied family members.</t>
  </si>
  <si>
    <t>accepted google identity: 14.2/15; review volume: 25.6/30; review consistency: 1.6/7; review freshness: 6.2/8; verified website: 14.2/15; confirmed irs record: 0.0/20; source corroboration: 3.3/5; Synthesis metadata: high (not part of numeric confidence)</t>
  </si>
  <si>
    <t>3900 Norfolk Ave, Baltimore, MD 21216</t>
  </si>
  <si>
    <t>443-760-5592</t>
  </si>
  <si>
    <t>Community Caregivers Assisted Living</t>
  </si>
  <si>
    <t>Wheelchair accessible entrance; wheelchair accessible parking lot.</t>
  </si>
  <si>
    <t>An assisted-living residential facility (assisted living) providing on-site residential care and support for residents.</t>
  </si>
  <si>
    <t>Available Google Maps review text praises specific staff for being caring, persistent, and supportive and credits them with helping the reviewer make positive changes; the review describes personalized attention and outings. There are no reported negative experiences in the accessible review text. Review feedback is very limited and dated, so these positive remarks may not reflect the current situation.</t>
  </si>
  <si>
    <t>accepted google identity: 14.7/15; review volume: 7.3/30; review consistency: 7.0/7; review freshness: 1.2/8; verified website: 0.0/15; confirmed irs record: 0.0/20; source corroboration: 1.7/5; Synthesis metadata: insufficient_evidence (not part of numeric confidence)</t>
  </si>
  <si>
    <t>200 1st Ave, Lansdowne, MD 21227</t>
  </si>
  <si>
    <t>(667) 600-3155</t>
  </si>
  <si>
    <t>Coursey Station, a Catholic Charities Senior Community</t>
  </si>
  <si>
    <t>Listed as rent-assisted apartments intended for seniors and persons with disabilities. The Catholic Charities senior communities pages describe their senior apartment communities as serving adults 62 and older; Coursey Station is listed among those communities. No additional intake, documentation, referral, or eligibility details were provided in the cited sources.</t>
  </si>
  <si>
    <t>Coursey Station is a senior apartment community that offers rent-assisted efficiency and one-bedroom apartments for older adults and people with disabilities. It is listed as part of Catholic Charities’ senior communities serving the Lansdowne area of Baltimore County.</t>
  </si>
  <si>
    <t>Reviewer text was not available or was too thin to summarize, so public review feedback cannot be meaningfully characterized. The organization’s official website lists Coursey Station among its senior apartment communities and describes it as offering rent-assisted efficiency and one-bedroom apartments, which corroborates the Google Maps listing. Published hours and contact information appear on the Google listing and the site, but there is limited third-party review detail.</t>
  </si>
  <si>
    <t>7920 Scotts Level Rd, Pikesville, MD 21208</t>
  </si>
  <si>
    <t>(410) 521-3600</t>
  </si>
  <si>
    <t>FutureCare - Courtland</t>
  </si>
  <si>
    <t>In-patient services are provided to patients and residents. To request a tour complete the facility form on the location website; patient-specific inquiries should be directed to the facility and non-urgent concerns can be sent to the Customer Care line as described on the location page.</t>
  </si>
  <si>
    <t>Skilled nursing and rehabilitation center providing around-the-clock nursing and inpatient clinical care. Offers comprehensive rehabilitation programs (physical, occupational, and speech therapy), cardiac and orthopedic rehab tracks, on-site dialysis services, IV/PICC therapy, and supporting clinical services such as pharmacy, laboratory, radiology, nutrition, case management, and therapeutic activities.</t>
  </si>
  <si>
    <t>https://futurecare.com/locations/courtland/</t>
  </si>
  <si>
    <t>Google reviewers commonly praise the rehabilitation and therapy teams and report positive clinical outcomes and attentive nursing care for many patients. Recurring negative themes in reviews include complaints about food quality, staff rudeness or unresponsiveness, cleanliness, and problems related to dialysis scheduling or care. The business frequently replies to reviews and directs people to a Customer Care line; recent reviews continue to show a mix of strong positive experiences and serious complaints.</t>
  </si>
  <si>
    <t>accepted google identity: 14.2/15; review volume: 30.0/30; review consistency: 0.7/7; review freshness: 7.3/8; verified website: 14.2/15; confirmed irs record: 0.0/20; source corroboration: 3.3/5; Synthesis metadata: high (not part of numeric confidence)</t>
  </si>
  <si>
    <t>511 Avondale Rd, Dundalk, MD 21222</t>
  </si>
  <si>
    <t>(240) 817-3665</t>
  </si>
  <si>
    <t>Day Village Townhomes</t>
  </si>
  <si>
    <t>Monday: Closed; Tuesday: 11 AM to 5:30 PM; Wednesday: 9 AM to 5:30 PM; Thursday: 9 AM to 5:30 PM; Friday: 9 AM to 5:30 PM; Saturday: 10 AM to 3 PM; Sunday: Closed</t>
  </si>
  <si>
    <t>A waterfront townhome rental community in Dundalk offering one- to four-bedroom rented townhome units with outdoor green space, an on-site playground, and pet-friendly policies.</t>
  </si>
  <si>
    <t>https://www.dayvillagetownhomes.com/?utm_knock=g</t>
  </si>
  <si>
    <t>Google Maps reviewers describe a mix of experiences: some residents praise specific staff for helpful, timely assistance, appreciate the waterfront setting and the children’s playground, and report successful move-ins. Recurring negative reports describe pest problems (rats/mice), flooding, mold or ventilation issues, and plumbing problems; several recent reviews echo those concerns. The property’s management appears responsive in public replies to reviews, but feedback is clearly mixed and recent negative reports persist alongside positive comments.</t>
  </si>
  <si>
    <t>accepted google identity: 14.7/15; review volume: 30.0/30; review consistency: 0.6/7; review freshness: 7.8/8; verified website: 14.7/15; confirmed irs record: 0.0/20; source corroboration: 3.3/5; Synthesis metadata: medium (not part of numeric confidence)</t>
  </si>
  <si>
    <t>3300 Benson Ave, Baltimore, MD 21227</t>
  </si>
  <si>
    <t>(667) 600-2684</t>
  </si>
  <si>
    <t>DePaul House, a Catholic Charities Senior Community</t>
  </si>
  <si>
    <t>Rent-assisted apartments; intended for seniors (website text for senior apartment communities references adults 62 and older) and for persons with disabilities. No additional intake, referral, documentation, or eligibility procedure details were found in the provided evidence.</t>
  </si>
  <si>
    <t>Monday: 9 AM to 4:30 PM; Tuesday: 9 AM to 4:30 PM; Wednesday: 9 AM to 4:30 PM; Thursday: 9 AM to 4:30 PM; Friday: 9 AM to 4:30 PM; Saturday: Closed; Sunday: Closed</t>
  </si>
  <si>
    <t>DePaul House is a senior apartment community that provides rent‑assisted one- and two‑bedroom apartments for older adults and people with disabilities. The listing notes on-site accessibility features and parking.</t>
  </si>
  <si>
    <t>Review text for this listing was unavailable or too thin to summarize, so reviewer themes and user experience details could not be assessed. The organization has a structured Google Maps listing and a reachable Catholic Charities website page that both describe DePaul House as a senior apartment community offering rent‑assisted units and accessibility features, which corroborates the housing details. Because review content could not be examined, there is limited direct evidence about resident experiences or service quality.</t>
  </si>
  <si>
    <t>accepted google identity: 14.7/15; review volume: 12.1/30; review consistency: 0.0/7; review freshness: 0.0/8; verified website: 14.7/15; confirmed irs record: 0.0/20; source corroboration: 3.3/5; Synthesis metadata: medium (not part of numeric confidence)</t>
  </si>
  <si>
    <t>531 Maude Avenue Baltimore 21225</t>
  </si>
  <si>
    <t>(410) 804-5806</t>
  </si>
  <si>
    <t>Divine Enlargement LLC</t>
  </si>
  <si>
    <t>An assisted-living provider that offers residential care for older adults, presenting assisted living services with graduated levels of care, medication monitoring, nutritional and dietary counseling, and private or semi-private accommodations.</t>
  </si>
  <si>
    <t>https://divineenlargement1.wixsite.com/website</t>
  </si>
  <si>
    <t>There are no public reviews or reviewer text available to characterize client experiences. The organization's verified website lists multiple assisted-living services (including medication monitoring and dietary counseling), and the Google Maps listing categorizes the location as an assisted living facility with published 24/7 hours. Because public review feedback is absent, these claims are supported by the provider’s own materials rather than independent client reports.</t>
  </si>
  <si>
    <t>10815 Powers Ave, Cockeysville, MD 21030</t>
  </si>
  <si>
    <t>(410) 303-0575</t>
  </si>
  <si>
    <t>Dulaney Valley Assisted Living</t>
  </si>
  <si>
    <t>Contact required to start intake; the provider states they respond by phone or online and can meet the same day when needed. The website advertises a free RN consultation and evaluation within 8 hours when necessary and says they can be reached 24 hours a day, seven days a week.</t>
  </si>
  <si>
    <t>A small assisted-living facility offering residential care for older adults, with on-site nursing oversight and services such as meals, personal care and assistance with daily activities, medication management, therapy and activity programming, and private or semi-private rooms.</t>
  </si>
  <si>
    <t>http://assistedlivingbaltimore.com/contact</t>
  </si>
  <si>
    <t>Online listing and the site provide detailed program and contact information and name on-site staff, which corroborates the service offerings. Google Maps has a small number of public reviews and the newest fetched review is strongly positive about staff care; however, the fetched review sample is very limited, so reviewer feedback is too thin to show recurring themes or consistent concerns. The website is reachable and lists specific services and intake practices, providing primary corroboration for the program details.</t>
  </si>
  <si>
    <t>accepted google identity: 14.7/15; review volume: 12.7/30; review consistency: 7.0/7; review freshness: 5.2/8; verified website: 14.7/15; confirmed irs record: 0.0/20; source corroboration: 3.3/5; Synthesis metadata: medium (not part of numeric confidence)</t>
  </si>
  <si>
    <t>5001 Carroll Manor Rd, Baldwin, MD 21013</t>
  </si>
  <si>
    <t>(410) 252-3430</t>
  </si>
  <si>
    <t>Prospective residents are asked to contact the provider for intake; the website states same-day tours/evaluations are available and that a master's-prepared RN will provide a free consultation and evaluation within 8 hours when necessary. The site also says they can be contacted 24 hours a day, seven days a week.</t>
  </si>
  <si>
    <t>24 hours a day, seven days a week, including all Holidays</t>
  </si>
  <si>
    <t>A small, home-style assisted living provider operating multiple residential facilities that offer room-and-board with staffed care, nurse oversight, medication management, meals, activities, therapy and short-term respite support.</t>
  </si>
  <si>
    <t>http://www.dulaneyvalleyalf.com/</t>
  </si>
  <si>
    <t>Public Google Maps review text is sparse but strongly negative: the sampled recent reviews describe very poor experiences (e.g., 'Horrible place') and there are no visible owner responses. Operational details are corroborated by an active website that lists services and multiple home-like locations, but the small number of user reviews and their consistent negativity limit confidence about client experience.</t>
  </si>
  <si>
    <t>accepted google identity: 14.8/15; review volume: 12.3/30; review consistency: 7.0/7; review freshness: 5.2/8; verified website: 14.8/15; confirmed irs record: 0.0/20; source corroboration: 3.3/5; Synthesis metadata: medium (not part of numeric confidence)</t>
  </si>
  <si>
    <t>200 E Padonia Rd, Timonium, MD 21093</t>
  </si>
  <si>
    <t>(410) 666-0490</t>
  </si>
  <si>
    <t>Dulaney Valley Memorial Gardens</t>
  </si>
  <si>
    <t>Office and gate hours are published and some services are available by appointment. The website instructs users that if a death has occurred they should call during office hours instead of using the online contact form. On‑site cremation is offered as part of advance planning. The listing indicates wheelchair‑accessible entrances and parking.</t>
  </si>
  <si>
    <t>A seventy‑acre cemetery and memorial complex in Timonium offering burial locations, mausoleum crypts and niches, on‑site cremation, memorialization and monument merchandise, and services for pets and families planning interment or remembrance. The organization also provides visitor access to maintained grounds and a mausoleum chapel and supports advance planning for burial and cremation arrangements.</t>
  </si>
  <si>
    <t>https://www.dulaneyvalley.com/</t>
  </si>
  <si>
    <t>Recent Google reviewers commonly praise front‑office staff for professionalism, helpfulness, and sensitivity when arranging services, and many describe the grounds and mausoleum as peaceful and well kept. Recurrent critical reports describe problems with groundskeeping damaging memorials or decorations, instances of management errors around plot placement, and occasional disruptive on‑site behavior or access complaints; some reviewers report that management later addressed issues. The newest reviews include negative accounts similar to earlier concerns, indicating mixed recent experiences rather than a clear improvement or decline.</t>
  </si>
  <si>
    <t>accepted google identity: 14.7/15; review volume: 30.0/30; review consistency: 1.5/7; review freshness: 7.9/8; verified website: 14.7/15; confirmed irs record: 0.0/20; source corroboration: 3.3/5; Synthesis metadata: high (not part of numeric confidence)</t>
  </si>
  <si>
    <t>7138 Windsor Blvd, Baltimore, MD 21244</t>
  </si>
  <si>
    <t>(410) 277-0940</t>
  </si>
  <si>
    <t>Easterseals Adult Day Services - Baltimore</t>
  </si>
  <si>
    <t>Program serves seniors and adults with disabilities; the website states the program is Medicaid-approved and may be covered by the Department of Veterans Affairs, county subsidies, and long-term care insurance. Curb-to-curb transportation is provided at no additional cost. Limited English proficiency accommodations (interpreters/document translation) are noted as available/required to access services. (Source evidence: 300 (Easterseals website); 298 (Google Maps listing))</t>
  </si>
  <si>
    <t>Monday: 7 AM to 6 PM; Tuesday: 7 AM to 6 PM; Wednesday: 7 AM to 6 PM; Thursday: 7 AM to 6 PM; Friday: 7 AM to 6 PM; Saturday: 10 AM to 4 PM; Sunday: Closed</t>
  </si>
  <si>
    <t>A center-based adult day program providing medical oversight and daily health-promoting activities for seniors and adults with disabilities, including on-site clinical services, physical/occupational therapy, meal service that meets special dietary needs, social and recreational programming, and curb-to-curb transportation.</t>
  </si>
  <si>
    <t>https://dcmdva.easterseals.com/get-support/areas-of-support/adult-services/adult-day-services</t>
  </si>
  <si>
    <t>Recent reviewer comments available in the fetched Google sample praise attentive, caring, and professional staff and express confidence that participants receive good day-to-day care. The fetched review sample is very small and somewhat dated, and the public review set includes some low-star ratings whose details were not present in the fetched sample, so there is limited visibility into negative experiences. Website and Google Maps listing content consistently describe clinical services, therapies, meals, transportation, and respite, providing corroboration outside of reviews.</t>
  </si>
  <si>
    <t>accepted google identity: 14.2/15; review volume: 14.5/30; review consistency: 5.2/7; review freshness: 1.3/8; verified website: 14.2/15; confirmed irs record: 0.0/20; source corroboration: 3.3/5; Synthesis metadata: medium (not part of numeric confidence)</t>
  </si>
  <si>
    <t>5235 King Ave Ste 200, Rosedale, MD 21237</t>
  </si>
  <si>
    <t>(443) 730-2020</t>
  </si>
  <si>
    <t>Eastern Baltimore County VA Outpatient Clinic - VA Maryland Health Care System</t>
  </si>
  <si>
    <t>A physical VA outpatient clinic providing primary medical care and a range of specialty services, including mental health care, medication management, telehealth visits, hearing aid repairs, and women's health services, delivered in an accessible clinic setting.</t>
  </si>
  <si>
    <t>Reviewers most often describe friendly, caring staff and a clean, accessible facility; several comments mention attentive providers and good on-site services. A recurring concern in the review sample is difficulty reaching the clinic by phone. The most recent reviews remain largely positive, though the phone-access issue appears at least once among newer feedback.</t>
  </si>
  <si>
    <t>accepted google identity: 14.7/15; review volume: 28.6/30; review consistency: 3.0/7; review freshness: 6.1/8; verified website: 0.0/15; confirmed irs record: 0.0/20; source corroboration: 1.7/5; Synthesis metadata: medium (not part of numeric confidence)</t>
  </si>
  <si>
    <t>1200 E Fayette St, Baltimore, MD 21202</t>
  </si>
  <si>
    <t>(410) 396-9410</t>
  </si>
  <si>
    <t>Baltimore Eastern Sexual Health Clinic</t>
  </si>
  <si>
    <t>Monday: 9 AM to 4 PM; Tuesday: 9 AM to 4 PM; Wednesday: 9 AM to 4 PM; Thursday: 9 AM to 1 PM; Friday: 9 AM to 4 PM; Saturday: Closed; Sunday: Closed</t>
  </si>
  <si>
    <t>A physical reproductive and sexual health clinic that, per its Google Maps listing, provides HIV and STD testing and general medical/reproductive health clinic services.</t>
  </si>
  <si>
    <t>https://health.baltimorecity.gov/node/93</t>
  </si>
  <si>
    <t>Google Maps reviewers describe both helpful, kind, and efficient clinical staff and a number of recurring concerns. Common positive comments praise friendly and fast care, while recurring negative feedback cites rude or unhelpful front-desk interactions, billing confusion, and at least one report describing privacy and LGBTQ-sensitivity problems. The most recent reviews skew more positive than some earlier negative reports, but feedback is mixed overall.</t>
  </si>
  <si>
    <t>accepted google identity: 14.7/15; review volume: 30.0/30; review consistency: 1.6/7; review freshness: 7.4/8; verified website: 14.7/15; confirmed irs record: 0.0/20; source corroboration: 3.3/5; Synthesis metadata: medium (not part of numeric confidence)</t>
  </si>
  <si>
    <t>3201 Tioga Pkwy Ste A, Baltimore, MD 21215</t>
  </si>
  <si>
    <t>(443) 961-0796</t>
  </si>
  <si>
    <t>PACE of West Baltimore</t>
  </si>
  <si>
    <t>Eligibility and enrollment requirements: must reside in the PACE-approved service area at enrollment; be age 55 or older; be able to be maintained in a community-based setting with PACE assistance at the time of enrollment; be determined to need the level of care required under the State Plan for coverage of nursing facility services for longer than four months; and agree to receive all health and long-term care services exclusively from the PACE provider and its contracted or referred providers. Enrollment is effective the first day of the calendar month following receipt of a signed enrollment agreement. Concurrent enrollment in a waiver program is prohibited. Service-area ZIP codes: 21201, 21209, 21210, 21211, 21212, 21215, 21216, 21223, 21225, 21226, 21229, 21230, 21239, 21251, 21287, 21207, 21228.</t>
  </si>
  <si>
    <t>PACE of West Baltimore operates a Program of All-Inclusive Care for the Elderly (PACE) that coordinates medical, long-term, and supportive services so older adults can remain safely at home. The program provides a day center, transportation to and from the center, and onsite clinical services as part of an individualized care plan.</t>
  </si>
  <si>
    <t>http://pacewestbaltimore.com/</t>
  </si>
  <si>
    <t>Google reviewers repeatedly praise staff professionalism and friendliness, calling out kind, patient drivers and a welcoming day program that participants enjoy. Several reviewers specifically note transportation support and onsite clinical/dental services, and the facility’s accessibility and parking. There is one brief negative review with no text; otherwise the most recent reviews continue to reflect the same positive themes, and the organization’s website provides detailed enrollment criteria and service-area information that corroborates the listing.</t>
  </si>
  <si>
    <t>accepted google identity: 14.7/15; review volume: 15.9/30; review consistency: 1.4/7; review freshness: 5.2/8; verified website: 14.7/15; confirmed irs record: 0.0/20; source corroboration: 3.3/5; Synthesis metadata: high (not part of numeric confidence)</t>
  </si>
  <si>
    <t>800 Southerly Rd, Towson, MD 21286</t>
  </si>
  <si>
    <t>(410) 339-6000</t>
  </si>
  <si>
    <t>Edenwald Senior Living</t>
  </si>
  <si>
    <t>Residency is offered under selectable service contracts (including Lifecare Type A and fee-for-service Type C) and involves entrance-fee options; specific refund terms are governed by the Residence and Care Agreement. Costs and availability of higher levels of care depend on the contract selected and the resident s changing care needs. Prospective residents or families should contact Edenwald for admissions details and eligibility.</t>
  </si>
  <si>
    <t>A continuing-care senior living community in Towson that offers on-campus residential living with options to receive assisted living, nursing care, and memory-care services as residents' needs change. The community also provides lifestyle programming, activities, dining venues, and transportation for residents.</t>
  </si>
  <si>
    <t>http://www.edenwald.org/</t>
  </si>
  <si>
    <t>Google reviewers frequently praise attentive and helpful staff (especially daytime teams), well-run activities and outings, and a pleasant, well-maintained facility; multiple reviewers report long-term resident satisfaction. Recurring complaints focus on inconsistent staff behavior on some evening shifts and occasional problems with dining/caf e9 staff, and these concerns appear in the sample of recent reviews. The organization is responsive to reviews and publicly replies, and registry records indicate an active IRS filing that corroborates the entity s operational status.</t>
  </si>
  <si>
    <t>accepted google identity: 14.7/15; review volume: 30.0/30; review consistency: 3.7/7; review freshness: 7.3/8; verified website: 14.7/15; confirmed irs record: 20.0/20; source corroboration: 5.0/5; Synthesis metadata: high (not part of numeric confidence)</t>
  </si>
  <si>
    <t>6600 North Point Rd, Sparrows Point, MD 21219</t>
  </si>
  <si>
    <t>(410) 887-7530</t>
  </si>
  <si>
    <t>Edgemere Senior Center</t>
  </si>
  <si>
    <t>Open to older adults / senior citizens (listing categorized as a senior citizen center).</t>
  </si>
  <si>
    <t>A local senior citizen center offering social programs and on-site activities for older adults. Google reviewers specifically mention organized activities (including bingo), friendly staff and volunteers, and a pleasant waterfront setting; listing details note wheelchair-accessible entrance, parking, and restrooms.</t>
  </si>
  <si>
    <t>http://www.baltimorecountymd.gov/</t>
  </si>
  <si>
    <t>Google Maps reviewers consistently report friendly staff, active social programming (several reviews call out bingo and general activities), and an appealing waterfront location. A small number of reviews are neutral or non-descriptive, but the majority of recent reviews remain positive, indicating a stable, favorable reputation among visitors. Attempts to view the listed official website returned an HTTP 403 error at check time, so web-based confirmation of program details was not available.</t>
  </si>
  <si>
    <t>accepted google identity: 14.2/15; review volume: 30.0/30; review consistency: 4.8/7; review freshness: 4.7/8; verified website: 14.2/15; confirmed irs record: 20.0/20; source corroboration: 5.0/5; Synthesis metadata: high (not part of numeric confidence)</t>
  </si>
  <si>
    <t>4330 Edmondson Ave, Baltimore, MD 21229</t>
  </si>
  <si>
    <t>(410) 396-0946</t>
  </si>
  <si>
    <t>Enoch Pratt Free Library - Edmondson Avenue Branch</t>
  </si>
  <si>
    <t>ADA accessible. Free outdoor and indoor Wi‑Fi; public computers available. Meeting rooms may be reserved (contact the branch or use the Pratt site). Book a free 60‑minute appointment with a subject librarian (in person, by phone, or video). Free lot parking at Edmondson Village Shopping Center and bus access as described on the branch page. For reservations, programs, or account help, contact the branch via the contact methods listed on the Pratt Library site.</t>
  </si>
  <si>
    <t>A neighborhood branch of the Enoch Pratt Free Library offering in‑person library services including lending of books and media, public computers and Wi‑Fi, printing/copying, programs for children and teens, job-and-career help, and reservable meeting space.</t>
  </si>
  <si>
    <t>https://www.prattlibrary.org/locations/edmondson-avenue</t>
  </si>
  <si>
    <t>Reviewer feedback consistently praises helpful staff, a clean and quiet branch environment, and routine availability of materials and computers. A recurring negative theme concerns inaccurate or changing opening times (reviewers have reported arriving when the branch opened later than shown online). The most recent reviews remain largely positive, though access-hour inconsistencies appear in the review stream and may affect visitor expectations.</t>
  </si>
  <si>
    <t>1040 E 33rd St, Baltimore, MD 21218</t>
  </si>
  <si>
    <t>(240) 635-9829</t>
  </si>
  <si>
    <t>Ednor Apartments at Stadium Place</t>
  </si>
  <si>
    <t>Designated as a senior community for adults age 62+. Leasing requires application and qualification via the property’s leasing team; the website advertises an application-fee waiver promo (promo code APPFEE) with stated restrictions and an expiration date. Contact with leasing is required for availability and qualification details.</t>
  </si>
  <si>
    <t>A senior (age 62+) apartment community providing one- and two-bedroom rental homes with on-site leasing and management, maintenance, and resident amenities such as a community room, laundry, salon, and other communal spaces.</t>
  </si>
  <si>
    <t>http://ednorapartments1.enterpriseresidential.org/</t>
  </si>
  <si>
    <t>Google reviewers report mixed experiences: several recent comments praise leasing staff for patient, helpful assistance with applications, while other reviewers complain about poor phone responsiveness and difficulty reaching the office. The property owner/management regularly posts owner responses to reviews, indicating engagement with feedback. The newest review in the sample is positive, suggesting recent interactions may be improving for some residents/ applicants.</t>
  </si>
  <si>
    <t>accepted google identity: 14.6/15; review volume: 17.5/30; review consistency: 0.8/7; review freshness: 7.8/8; verified website: 14.6/15; confirmed irs record: 0.0/20; source corroboration: 3.3/5; Synthesis metadata: high (not part of numeric confidence)</t>
  </si>
  <si>
    <t>3101 Fallstaff Rd, Baltimore, MD 21209</t>
  </si>
  <si>
    <t>(410) 358-6856</t>
  </si>
  <si>
    <t>Edward A Myerberg Center</t>
  </si>
  <si>
    <t>Membership is offered and provides access to members-only events, no-cost benefits, and discounts. Virtual offerings are available via subscription. Rental spaces are available (hourly). Specific program registration, membership fees, or other eligibility requirements are described on the organization’s website and may apply.</t>
  </si>
  <si>
    <t>Monday: 8 AM to 4 PM; Tuesday: 8 AM to 4 PM; Wednesday: 8 AM to 4 PM; Thursday: 8 AM to 4 PM; Friday: 8 AM to 12 PM; Saturday: Closed; Sunday: Closed</t>
  </si>
  <si>
    <t>A physical senior center that offers in-person and virtual programming focused on arts, fitness, humanities, technology, and social activities; the site also provides membership opportunities, classes, and rentable event/office space.</t>
  </si>
  <si>
    <t>http://www.myerberg.org/</t>
  </si>
  <si>
    <t>Google reviewers available for this listing describe a positive experience and praise the center as an excellent senior center; the fetched review text includes direct praise for the facility and programming. There are no recurring negative themes in the sampled reviews, and the most recent feedback is consistent with earlier praise. Online presence is corroborated by an active official website and a recent IRS BMF filing, supporting that the organization is currently operational.</t>
  </si>
  <si>
    <t>accepted google identity: 14.8/15; review volume: 11.3/30; review consistency: 7.0/7; review freshness: 4.8/8; verified website: 14.8/15; confirmed irs record: 20.0/20; source corroboration: 5.0/5; Synthesis metadata: high (not part of numeric confidence)</t>
  </si>
  <si>
    <t>6612 Baltimore National Pike, Catonsville, MD 21228</t>
  </si>
  <si>
    <t>(443) 828-7777</t>
  </si>
  <si>
    <t>Emmanuel Adult Medical Day Care Center</t>
  </si>
  <si>
    <t>Advertised as serving older adults and specifically notes a focus on elderly Korean Americans (Google Maps). The website states it is licensed as a Residential Service Agency by the Maryland Department of Health and lists service coverage for Anne Arundel, Baltimore, Carroll, Harford, Frederick, Howard, Montgomery, and Prince George's counties; no documented intake, referral, or required documentation procedures were found in the available sources.</t>
  </si>
  <si>
    <t>Monday: 7 AM to 3:30 PM; Tuesday: 7 AM to 3:30 PM; Wednesday: 7 AM to 3:30 PM; Thursday: 7 AM to 3:30 PM; Friday: 7 AM to 3:30 PM; Saturday: 7 AM to 3:30 PM; Sunday: Closed</t>
  </si>
  <si>
    <t>A physical adult medical day care center that provides daytime care for older adults, offering prepared meals, social and enrichment activities, and on-site health monitoring/regular medical checkups. The organization’s website also describes in-home personal care and caregiver services.</t>
  </si>
  <si>
    <t>https://www.emmanuel.care/</t>
  </si>
  <si>
    <t>Review feedback praises caregiving staff and describes regular medical attention, medication support, and social activities, and some reviewers explicitly note meal and medical-checkup services. At least one reviewer reported a serious complaint about communication and alleged unprofessional follow-up by management after a client transfer; this raises a specific concern about post-transfer communication and family interactions. The organization’s website additionally claims licensure as a Residential Service Agency with a multi-county service area, which corroborates its care-related identity.</t>
  </si>
  <si>
    <t>accepted google identity: 15.0/15; review volume: 16.3/30; review consistency: 0.9/7; review freshness: 6.0/8; verified website: 15.0/15; confirmed irs record: 0.0/20; source corroboration: 3.3/5; Synthesis metadata: high (not part of numeric confidence)</t>
  </si>
  <si>
    <t>1716 Harlem Ave, Baltimore, MD 21217</t>
  </si>
  <si>
    <t>(410) 225-9979</t>
  </si>
  <si>
    <t>Empowering Lives</t>
  </si>
  <si>
    <t>Wheelchair accessible parking lot (per the Google Maps listing).</t>
  </si>
  <si>
    <t>Identified on Google Maps as an assisted living facility; listed as a physical residential assisted-living provider at the given Baltimore location.</t>
  </si>
  <si>
    <t>There are no public Google Maps reviews for this listing, so reviewer feedback is unavailable. The Google Maps entry supplies only minimal metadata (category as an assisted living facility and an accessibility note) and lacks operating hours or descriptive program details. The organization could not be linked to a verified website and registry matching was inconclusive, so independent corroboration is limited.</t>
  </si>
  <si>
    <t>accepted google identity: 14.7/15; review volume: 0.0/30; review consistency: 0.0/7; review freshness: 0.0/8; verified website: 0.0/15; confirmed irs record: 0.0/20; source corroboration: 1.7/5; Synthesis metadata: insufficient_evidence (not part of numeric confidence)</t>
  </si>
  <si>
    <t>5610 York Rd, Baltimore, MD 21212</t>
  </si>
  <si>
    <t>410-323-3040</t>
  </si>
  <si>
    <t>Epiphany house Apts</t>
  </si>
  <si>
    <t>Wheelchair accessible entrance and wheelchair accessible parking lot per the listing.</t>
  </si>
  <si>
    <t>A physical apartment complex at 5610 York Rd in Baltimore that is presented as residential housing on its Google Maps listing and includes noted accessibility features.</t>
  </si>
  <si>
    <t>A Google Maps listing exists but the available public review contains no written feedback, so reviewer sentiment is unavailable. The listing notes accessibility features (wheelchair-accessible entrance and parking), but the organization’s website could not be verified and registry matching was inconclusive, leaving limited independent corroboration. Because public-review text is thin and web attribution failed, the available information is insufficient to confidently confirm full services or access procedures.</t>
  </si>
  <si>
    <t>accepted google identity: 14.7/15; review volume: 5.0/30; review consistency: 7.0/7; review freshness: 6.7/8; verified website: 0.0/15; confirmed irs record: 0.0/20; source corroboration: 1.7/5; Synthesis metadata: insufficient_evidence (not part of numeric confidence)</t>
  </si>
  <si>
    <t>1000 Franklin Ave, Essex, MD 21221</t>
  </si>
  <si>
    <t>(410) 344-1820</t>
  </si>
  <si>
    <t>Essex Co-op Apartments</t>
  </si>
  <si>
    <t>Units are intended for residents aged 62 and older; a limited number of mobility-accessible units are available to qualifying individuals aged 18 and up. The community is smoke-free except for a designated outdoor area. Rent is described as subsidized with residents paying 30% of certified income toward rent. (All access details supported by the cited evidence below.)</t>
  </si>
  <si>
    <t>A resident-managed, subsidized cooperative apartment building providing long-term physical housing for older adults; the property advertises onsite amenities and regular community activities for residents.</t>
  </si>
  <si>
    <t>https://www.csi.coop/housing/md/essex/essex-co-op/default</t>
  </si>
  <si>
    <t>Available Google review text is mixed: some reviewers praise the renovated building, subsidized/HUD rent, onsite social events, and presence of service coordinators, while other reviewers report persistent problems with management responsiveness, maintenance follow-through, and building security/vandalism. The newest review in the fetched sample is positive, but the review sample is small and other critical comments indicate variability in resident experience.</t>
  </si>
  <si>
    <t>accepted google identity: 14.7/15; review volume: 15.1/30; review consistency: 1.8/7; review freshness: 8.0/8; verified website: 14.7/15; confirmed irs record: 0.0/20; source corroboration: 3.3/5; Synthesis metadata: high (not part of numeric confidence)</t>
  </si>
  <si>
    <t>600 Dorsey Ave, Essex, MD 21221</t>
  </si>
  <si>
    <t>(410) 887-0267</t>
  </si>
  <si>
    <t>Essex Senior Center</t>
  </si>
  <si>
    <t>Primarily serves senior citizens. Onsite services are available and a wheelchair-accessible entrance is indicated. No additional eligibility, intake, referral, or required-documentation details were provided in the available sources.</t>
  </si>
  <si>
    <t>A county-run senior center offering on-site social and recreational programming for older adults, staffed during weekday daytime hours.</t>
  </si>
  <si>
    <t>https://www.baltimorecountymd.gov/departments/aging/centers/essex</t>
  </si>
  <si>
    <t>Google reviewers consistently report a friendly, helpful staff and a variety of activities that encourage socializing and participation; several recent reviews mention specific programs (bingo, chair Pilates, line dancing) and a volunteer gift shop. Negative or critical feedback is minimal in the sampled reviews and does not form a clear recurring complaint. The review text is recent and uniformly positive, and there were no owner responses in the fetched sample.</t>
  </si>
  <si>
    <t>accepted google identity: 14.7/15; review volume: 30.0/30; review consistency: 5.5/7; review freshness: 5.7/8; verified website: 14.7/15; confirmed irs record: 20.0/20; source corroboration: 5.0/5; Synthesis metadata: high (not part of numeric confidence)</t>
  </si>
  <si>
    <t>6100 Everall Ave, Baltimore, MD 21206</t>
  </si>
  <si>
    <t>(667) 600-2395</t>
  </si>
  <si>
    <t>Everall Gardens, a Catholic Charities Senior Community</t>
  </si>
  <si>
    <t>Housing for older adults; the program materials for the senior communities specify services for adults 62 and older and state services are available to people of all faiths. The Google listing describes rents as affordable to seniors of moderate means.</t>
  </si>
  <si>
    <t>A physical senior housing community that provides affordable one-bedroom apartment residences for older adults, operated as part of Catholic Charities' senior communities.</t>
  </si>
  <si>
    <t>Google reviewers frequently praise staff and express strong tenant satisfaction, with several reviewers calling out specific staff members as dependable and helpful. A recurring positive theme is that residents consider it a good place to live. Some reviewers note that while the facility is nice, office staff customer service could be improved; recent reviews remain broadly positive and continue to highlight helpful staff.</t>
  </si>
  <si>
    <t>accepted google identity: 14.7/15; review volume: 27.0/30; review consistency: 4.9/7; review freshness: 7.5/8; verified website: 14.7/15; confirmed irs record: 0.0/20; source corroboration: 3.3/5; Synthesis metadata: high (not part of numeric confidence)</t>
  </si>
  <si>
    <t>1600 Evergreen Way, Essex, MD 21221</t>
  </si>
  <si>
    <t>(240) 792-7894</t>
  </si>
  <si>
    <t>Evergreen Senior Apartments</t>
  </si>
  <si>
    <t>Age eligibility indicated as 62+ (senior community). No additional intake, documentation, referral, or subsidy/assistance eligibility details are stated in the available sources.</t>
  </si>
  <si>
    <t>A senior (62+) apartment community offering one- and two-bedroom rental homes with on-site amenities such as a fitness room, cybercafé, billiards and community rooms, on-site laundry, pet-friendly policies, and 24-hour emergency maintenance.</t>
  </si>
  <si>
    <t>http://evergreensenior.enterpriseresidential.org/</t>
  </si>
  <si>
    <t>Public review text is very limited and does not provide substantive user experience detail; the newest visible review contains no text, though the property owner replied, indicating some responsiveness. The Google Maps listing and the site maintained by the property manager consistently describe the same apartment features and amenities, and the official website is reachable and structured (floorplans, amenities, contact). Overall, review content is too thin to characterize recurring resident praise or complaints beyond the presence of positive ratings and an owner response.</t>
  </si>
  <si>
    <t>accepted google identity: 15.0/15; review volume: 13.9/30; review consistency: 7.0/7; review freshness: 7.5/8; verified website: 15.0/15; confirmed irs record: 0.0/20; source corroboration: 3.3/5; Synthesis metadata: high (not part of numeric confidence)</t>
  </si>
  <si>
    <t>100 S Taylor Ave, Essex, MD 21221</t>
  </si>
  <si>
    <t>(410) 686-4165</t>
  </si>
  <si>
    <t>Evision Medical Adult Day Center</t>
  </si>
  <si>
    <t>Appointments recommended; accepts credit and debit cards; wheelchair-accessible entrance, parking, and restroom.</t>
  </si>
  <si>
    <t>Monday: 8 AM to 5 PM; Tuesday: 8 AM to 5 PM; Wednesday: 8 AM to 5 PM; Thursday: 8 AM to 5 PM; Friday: 8 AM to 5 PM; Saturday: 8 AM to 3 PM; Sunday: 8 AM to 3 PM</t>
  </si>
  <si>
    <t>A locally listed adult day medical center that states a mission of providing a safe, comfortable daytime environment to promote independence and help people remain living at home.</t>
  </si>
  <si>
    <t>The Google Maps listing provides an owner-written mission statement, published hours, accessibility and payment details, but there are no public Google reviews to report on client experiences. An official website could not be verified and registry matching was inconclusive, so independent corroboration is limited. Because public review feedback and additional verifiable sources are lacking, available operational details should be treated as self-reported.</t>
  </si>
  <si>
    <t>1121 St Agnes Ln, Gwynn Oak, MD 21207</t>
  </si>
  <si>
    <t>(410) 869-8740</t>
  </si>
  <si>
    <t>Fairspring Apartments</t>
  </si>
  <si>
    <t>Reviewers report the property houses many seniors, but no official eligibility criteria, intake steps, referral requirements, or required documents were found in the listing or on the linked website.</t>
  </si>
  <si>
    <t>A residential apartment building that offers onsite services and has wheelchair-accessible entrance and parking; reviewers describe it functioning as housing for older adults/seniors.</t>
  </si>
  <si>
    <t>https://www.baltimorecountymd.gov/departments/aging/housing/apartments</t>
  </si>
  <si>
    <t>Google reviewers describe a mix of experiences: some residents say they like living there, but many complaints focus on management unresponsiveness, delayed or missing security-deposit returns, pest problems, and limited maintenance. The most recent review still praises aspects of the apartments for retirees while calling out high rent and building upkeep needs, indicating those concerns persist. Attempts to access the listing's linked website returned an access error, so official information could not be confirmed there.</t>
  </si>
  <si>
    <t>accepted google identity: 14.2/15; review volume: 17.5/30; review consistency: 5.2/7; review freshness: 5.3/8; verified website: 14.2/15; confirmed irs record: 0.0/20; source corroboration: 3.3/5; Synthesis metadata: medium (not part of numeric confidence)</t>
  </si>
  <si>
    <t>631 Cherry Hill Rd, Baltimore, MD 21225</t>
  </si>
  <si>
    <t>(410) 354-2000</t>
  </si>
  <si>
    <t>FHCB Health System</t>
  </si>
  <si>
    <t>A community health center that presents itself as an integrated health system offering general medical care and on-site dental services, with a stated mission of coordinated, quality care.</t>
  </si>
  <si>
    <t>http://www.fhcb.org/</t>
  </si>
  <si>
    <t>Public Google Maps reviews are mixed and the written sample is small and uneven. Several reviewers report problems reaching staff and unresolved billing or dental-order issues, while a few recent ratings have no written detail to explain the positive score. Owner responses are not present and the available review text is limited, so user experiences are noisy and should be treated cautiously.</t>
  </si>
  <si>
    <t>accepted google identity: 14.2/15; review volume: 21.6/30; review consistency: 1.1/7; review freshness: 7.1/8; verified website: 14.2/15; confirmed irs record: 0.0/20; source corroboration: 3.3/5; Synthesis metadata: medium (not part of numeric confidence)</t>
  </si>
  <si>
    <t>4202 Kolb Ave, Baltimore, MD 21206</t>
  </si>
  <si>
    <t>(410) 805-4104</t>
  </si>
  <si>
    <t>Family Ties Assisted Living</t>
  </si>
  <si>
    <t>Wheelchair-accessible entrance and wheelchair-accessible parking lot.</t>
  </si>
  <si>
    <t>A small assisted-living residence offering round-the-clock residential care; reviewers report attentive staff, a clean home-like environment, and mostly home-cooked, nutritious meals.</t>
  </si>
  <si>
    <t>Available Google review text is positive, highlighting caring staff, cleanliness, and home-cooked meals; the owner responded to that review. However, public review feedback is limited and not recent enough to strongly generalize about current operations. The organization’s website could not be verified from the provided evidence, which reduces corroboration.</t>
  </si>
  <si>
    <t>accepted google identity: 14.7/15; review volume: 12.0/30; review consistency: 7.0/7; review freshness: 1.0/8; verified website: 0.0/15; confirmed irs record: 0.0/20; source corroboration: 1.7/5; Synthesis metadata: medium (not part of numeric confidence)</t>
  </si>
  <si>
    <t>1217 W Fayette St, Baltimore, MD 21223</t>
  </si>
  <si>
    <t>(410) 727-3947</t>
  </si>
  <si>
    <t>Fayette Health and Rehabilitation Center</t>
  </si>
  <si>
    <t>A skilled nursing and rehabilitation facility that provides short-term rehabilitation (including physical and occupational therapy) and longer-term senior care services. The listing emphasizes person-centered care, therapy-focused recovery, and on-site clinical and activity programs for residents.</t>
  </si>
  <si>
    <t>https://www.communicarehealth.com/location/fayette-health-and-rehabilitation-center/?utm_source=bing&amp;utm_medium=organic&amp;utm_campaign=gbp-fayette-rehab</t>
  </si>
  <si>
    <t>Public reviews describe inconsistent experiences: some reviewers praise clinical staff, therapists, the activity department, and social work support, noting compassionate care and effective rehab for some residents. A larger portion of recent reviewers report problems with staffing (especially night shifts), cleanliness, food quality, and rude or unresponsive employees. The newest reviews are mixed—there are recent positive comments about staff and programs but recurring negative reports remain common—suggesting service quality may be variable across time or units within the facility.</t>
  </si>
  <si>
    <t>accepted google identity: 14.2/15; review volume: 30.0/30; review consistency: 1.6/7; review freshness: 7.6/8; verified website: 14.2/15; confirmed irs record: 0.0/20; source corroboration: 3.3/5; Synthesis metadata: medium (not part of numeric confidence)</t>
  </si>
  <si>
    <t>1041 Cromwell Bridge Rd, Towson, MD 21286</t>
  </si>
  <si>
    <t>(410) 337-0340</t>
  </si>
  <si>
    <t>Fidelity Resources Inc</t>
  </si>
  <si>
    <t>Monday: 8:30 AM to 6 PM; Tuesday: 8:30 AM to 6 PM; Wednesday: 8:30 AM to 6 PM; Thursday: 8:30 AM to 6 PM; Friday: 8:30 AM to 6 PM; Saturday: Closed; Sunday: Closed</t>
  </si>
  <si>
    <t>An in-person medical clinic / general practitioner practice located in Towson offering clinical services at a physical office.</t>
  </si>
  <si>
    <t>The Google Maps listing is recent and shows the business as operational with published hours, but the available Google review texts are empty so reviewer feedback is unavailable or too thin to summarize. The listing has a small number of recent high-star ratings, but those ratings lack comment text to reveal recurring strengths or concerns. An IRS BMF registry match from 2024 corroborates the organization’s registered identity, and no verified website could be found to provide additional service details.</t>
  </si>
  <si>
    <t>accepted google identity: 14.8/15; review volume: 11.3/30; review consistency: 7.0/7; review freshness: 7.9/8; verified website: 0.0/15; confirmed irs record: 20.0/20; source corroboration: 3.3/5; Synthesis metadata: medium (not part of numeric confidence)</t>
  </si>
  <si>
    <t>301 Main St Ste 2C, Reisterstown, MD 21136</t>
  </si>
  <si>
    <t>(410) 645-7982</t>
  </si>
  <si>
    <t>First Choice Health</t>
  </si>
  <si>
    <t>Offers service to adults in Baltimore City and Baltimore County (specific communities listed on their site). Initial assessments are performed by nurses; the agency advertises a free, no-obligation assessment. Care can be arranged for a few hours per day up to 24-hour care. Caregivers are screened and employed by the agency (W9 employees) and the agency coordinates with physicians, case managers, discharge planners, or social workers during intake.</t>
  </si>
  <si>
    <t>A local home health agency that provides in-home skilled nursing and non-medical homecare services for adults, including wound care, health assessments, blood pressure monitoring, personal care, meal preparation, light housekeeping, and companionship.</t>
  </si>
  <si>
    <t>http://www.firstchoice-health.org/</t>
  </si>
  <si>
    <t>Public Google reviews consistently describe the agency as professional, caring, and responsive: reviewers praise skilled, compassionate caregivers and note that office staff and the owner are hands-on and easy to reach. There are repeated reports of helpful training and support for family caregivers and positive experiences with nursing assistants and homecare aides. The most recent reviews follow the same positive pattern and the business frequently responds to reviewer comments, indicating ongoing engagement with clients.</t>
  </si>
  <si>
    <t>accepted google identity: 14.7/15; review volume: 28.8/30; review consistency: 6.0/7; review freshness: 5.0/8; verified website: 14.7/15; confirmed irs record: 0.0/20; source corroboration: 3.3/5; Synthesis metadata: high (not part of numeric confidence)</t>
  </si>
  <si>
    <t>641 Main St, Baltimore, MD 21222</t>
  </si>
  <si>
    <t>(410) 887-7225</t>
  </si>
  <si>
    <t>Fleming Senior Center</t>
  </si>
  <si>
    <t>Identified as a senior citizen center (serves older adults). No other eligibility, intake, referral, or document requirements are stated in the available sources; callers are encouraged to contact the center for details.</t>
  </si>
  <si>
    <t>A physical senior center that provides social and recreational programming for older adults, including group meals, classes and craft activities, and staff-help/resource connections for visitors and families.</t>
  </si>
  <si>
    <t>https://www.baltimorecountymd.gov/departments/aging/centers/fleming/</t>
  </si>
  <si>
    <t>Google reviewers consistently praise friendly, helpful staff, a clean facility, and a range of activities (including classes and meals). Reviewers mention specific offerings such as lunches/repasts, craft classes, and staff contacting members about upcoming events, and recent reviews remain positive. The center’s official county webpage appears to exist but was unreachable (HTTP 403) at fetch time, which limits direct website verification; registry data corroborates the organization’s identity.</t>
  </si>
  <si>
    <t>accepted google identity: 14.2/15; review volume: 30.0/30; review consistency: 5.6/7; review freshness: 4.1/8; verified website: 14.2/15; confirmed irs record: 20.0/20; source corroboration: 5.0/5; Synthesis metadata: high (not part of numeric confidence)</t>
  </si>
  <si>
    <t>701 Edmondson Ave, Catonsville, MD 21228</t>
  </si>
  <si>
    <t>(410) 747-7425</t>
  </si>
  <si>
    <t>Forest Haven Nursing and Rehabilitation Center</t>
  </si>
  <si>
    <t>Planned admissions are accepted 24 hours a day, 7 days a week, including holidays. The facility states it provides individualized care plans for short-term and long-term skilled nursing; visiting hours are recommended 8:00 a.m. to 8:00 p.m. (per the website).</t>
  </si>
  <si>
    <t>Monday: 8:30 AM to 5:30 PM; Tuesday: 8:30 AM to 5:30 PM; Wednesday: 8:30 AM to 5:30 PM; Thursday: 8:30 AM to 5:30 PM; Friday: 8:30 AM to 5:30 PM; Saturday: 8:30 AM to 5:30 PM; Sunday: 8:30 AM to 5:30 PM</t>
  </si>
  <si>
    <t>A skilled nursing facility in Catonsville that offers 24-hour nursing and professional care, short-term and long-term skilled nursing, and on-site rehabilitation services (physical, occupational, and speech therapy). The site also lists wound care and related clinical supports, hospice and respite care, medication management, and various ancillary services (lab, pharmacy, dietary, podiatry, dental, optometry).</t>
  </si>
  <si>
    <t>http://www.foresthavennursingcenter.com/</t>
  </si>
  <si>
    <t>Google reviewer feedback is mixed: many positive reviews praise individual staff and the rehabilitation team for compassionate, skilled care, while a substantial number of negative reviews allege understaffing, poor cleanliness, odor, and incidents interpreted as neglect. The facility frequently responds to reviews, and some of the newest posts are positive, suggesting at least some more recent reviewers report better experiences. Overall, public feedback is divided and highlights both consistent staff-level praise and recurring operational concerns.</t>
  </si>
  <si>
    <t>accepted google identity: 14.2/15; review volume: 30.0/30; review consistency: 0.0/7; review freshness: 5.2/8; verified website: 14.2/15; confirmed irs record: 0.0/20; source corroboration: 3.3/5; Synthesis metadata: medium (not part of numeric confidence)</t>
  </si>
  <si>
    <t>3023 Garrison Blvd, Baltimore, MD 21216</t>
  </si>
  <si>
    <t>410-396-0942</t>
  </si>
  <si>
    <t>Enoch Pratt Free Library - Forest Park Branch</t>
  </si>
  <si>
    <t>The branch is closed for a full-scale renovation (listed as closed on the Pratt Library site). ADA-accessible ground-floor entrance is reported.</t>
  </si>
  <si>
    <t>Monday: CLOSED; Tuesday: CLOSED; Wednesday: CLOSED; Thursday: CLOSED; Friday: CLOSED; Saturday: CLOSED; Sunday: CLOSED</t>
  </si>
  <si>
    <t>A public library branch offering typical library services including lending and collections for children and teens, public computers and free Wi‑Fi, printing and photocopying, meeting/room reservations, job and career assistance, events and programs for all ages, 3D printing, and an ADA-accessible ground-floor entrance.</t>
  </si>
  <si>
    <t>https://www.prattlibrary.org/locations/forest-park</t>
  </si>
  <si>
    <t>Review text was not available for summarization, so commenter praise or complaints could not be assessed. The official Pratt Library website is reachable and provides detailed information about services and an explicit notice that the Forest Park branch is closed for renovation. The Google Maps listing corroborates the branch identity and its temporary closure and notes accessibility features.</t>
  </si>
  <si>
    <t>accepted google identity: 14.7/15; review volume: 18.0/30; review consistency: 0.0/7; review freshness: 0.0/8; verified website: 14.7/15; confirmed irs record: 0.0/20; source corroboration: 3.3/5; Synthesis metadata: high (not part of numeric confidence)</t>
  </si>
  <si>
    <t>4801 Liberty Heights Ave #7157, Baltimore, MD 21207</t>
  </si>
  <si>
    <t>(410) 466-2124</t>
  </si>
  <si>
    <t>Forest Park Senior Center</t>
  </si>
  <si>
    <t>A local senior center that also serves as a community event space; reviewers describe using the site for gatherings where staff provided tables and chairs and assisted with event logistics.</t>
  </si>
  <si>
    <t>Reviewers commonly praise helpful staff and describe successful use of the facility for family or community events, including provision of tables and chairs. Recurring concerns reported by multiple reviewers include instances of unprofessional interactions, missed appointments or poor communication, and complaints about the facility condition or climate control. The most recent reviews in the sample include positive event-related feedback, suggesting some recent experiences have been favorable.</t>
  </si>
  <si>
    <t>accepted google identity: 14.8/15; review volume: 30.0/30; review consistency: 2.6/7; review freshness: 6.2/8; verified website: 0.0/15; confirmed irs record: 0.0/20; source corroboration: 1.7/5; Synthesis metadata: medium (not part of numeric confidence)</t>
  </si>
  <si>
    <t>1340 Smith Ave #300, Baltimore, MD 21209</t>
  </si>
  <si>
    <t>(443) 741-1088</t>
  </si>
  <si>
    <t>Frank, Frank &amp; Scherr, LLC</t>
  </si>
  <si>
    <t>Appointments required / appointments recommended.</t>
  </si>
  <si>
    <t>A law firm providing legal assistance in elder law and related areas, including estate planning (wills), probate/estate administration, Medicaid and long-term-care planning, guardianship matters, and special-needs planning.</t>
  </si>
  <si>
    <t>https://www.frankelderlaw.com/?npcmp=dir:local:2132472:21209</t>
  </si>
  <si>
    <t>Public Google reviews are largely positive: clients repeatedly praise staff expertise in elder law, Medicaid planning, estate planning, and probate, and many reviewers describe attentive, professional communication. A recurring negative comment describes delays and perceived overcharging in one estate matter. The most recent reviews remain positive, so recent feedback aligns with the overall favorable sentiment.</t>
  </si>
  <si>
    <t>accepted google identity: 14.7/15; review volume: 24.4/30; review consistency: 2.1/7; review freshness: 3.8/8; verified website: 14.7/15; confirmed irs record: 0.0/20; source corroboration: 3.3/5; Synthesis metadata: medium (not part of numeric confidence)</t>
  </si>
  <si>
    <t>229 N Mount St, Baltimore, MD 21223</t>
  </si>
  <si>
    <t>(410) 947-9000</t>
  </si>
  <si>
    <t>Franklin Square School Apartments</t>
  </si>
  <si>
    <t>A physical apartment building listed at the supplied address. The available sources identify it as residential housing but do not provide documented service programs, intake rules, or public-facing operational details.</t>
  </si>
  <si>
    <t>The Google Maps listing identifies this place as an apartment building but there is no verified official website and reviewer text is either absent or too sparse to describe user experiences. Public ratings are mixed and the most recent ratings trend lower than earlier ones, but because written feedback is unavailable it is not possible to identify recurring praises or complaints. Given the small, text-free review sample and lack of corroborating web documentation, operational details and service-level claims cannot be reliably verified.</t>
  </si>
  <si>
    <t>accepted google identity: 14.6/15; review volume: 13.5/30; review consistency: 1.1/7; review freshness: 5.0/8; verified website: 0.0/15; confirmed irs record: 0.0/20; source corroboration: 1.7/5; Synthesis metadata: medium (not part of numeric confidence)</t>
  </si>
  <si>
    <t>9200 Franklin Square Dr, Baltimore, MD 21237</t>
  </si>
  <si>
    <t>(410) 391-2600</t>
  </si>
  <si>
    <t>Franklin Woods Center</t>
  </si>
  <si>
    <t>A skilled nursing facility that provides on-site short-stay rehabilitation and long-term skilled nursing care, with therapy services (physical, occupational, speech), hospice and respite care, wound and IV therapies, medication management, and on-site clinical staff and amenities.</t>
  </si>
  <si>
    <t>http://www.genesishcc.com/FranklinWoods</t>
  </si>
  <si>
    <t>Google reviewers express mixed experiences: many recent comments praise helpful, friendly staff and effective therapy/rehabilitation services, and several visitors describe the facility as clean and comfortable. Recurring concerns include reports of inadequate personal care or feeding for immobile patients, cleanliness lapses in some rooms, occasional understaffing (especially on weekends), and dissatisfaction with food. The newest reviews continue to reflect this mix of positive staff/therapy experiences and some serious quality-of-care concerns, so user experiences appear to remain mixed rather than consistently improving or worsening.</t>
  </si>
  <si>
    <t>accepted google identity: 14.8/15; review volume: 30.0/30; review consistency: 1.9/7; review freshness: 7.6/8; verified website: 14.8/15; confirmed irs record: 0.0/20; source corroboration: 3.3/5; Synthesis metadata: high (not part of numeric confidence)</t>
  </si>
  <si>
    <t>711 Academy Rd, Catonsville, MD 21228</t>
  </si>
  <si>
    <t>(410) 788-3300</t>
  </si>
  <si>
    <t>Frederick Villa Healthcare</t>
  </si>
  <si>
    <t>A nursing-home facility that provides onsite nursing care and residential rehabilitation/therapy services in a physical, 24/7 setting. The Google Maps listing also indicates on-site parking and accessibility features such as a wheelchair-accessible entrance.</t>
  </si>
  <si>
    <t>http://www.frederickvillahcr.com/</t>
  </si>
  <si>
    <t>Google Maps reviewers most frequently praise friendly, professional staff, a clean environment, and helpful therapy/rehab teams; multiple recent reviews repeat those positive themes. At the same time, several reviewers report negative experiences including staff rudeness or inattentiveness and facility/food concerns, so user experiences appear mixed. The newest reviews are predominantly positive and generally align with the positive themes, though critical reports still appear intermittently.</t>
  </si>
  <si>
    <t>accepted google identity: 14.6/15; review volume: 30.0/30; review consistency: 1.6/7; review freshness: 8.0/8; verified website: 14.6/15; confirmed irs record: 0.0/20; source corroboration: 3.3/5; Synthesis metadata: medium (not part of numeric confidence)</t>
  </si>
  <si>
    <t>3112 Lord Baltimore Dr, Windsor Mill, MD 21244</t>
  </si>
  <si>
    <t>(410) 277-0070</t>
  </si>
  <si>
    <t>Friends &amp; Family Adult Day Services</t>
  </si>
  <si>
    <t>A physical adult day care provider operating from a listed Windsor Mill address, offering adult day services at an on-site facility.</t>
  </si>
  <si>
    <t>There is an active Google Maps listing for this organization, but no review text was returned in the fetched data, so reviewer feedback is unavailable or too thin to summarize. The listing indicates the place is operational and shows a phone number and accessibility information, but no verified website could be attributed to the organization. Because public review content could not be inspected and the website attribution was rejected, online corroboration is limited.</t>
  </si>
  <si>
    <t>accepted google identity: 14.8/15; review volume: 13.2/30; review consistency: 0.0/7; review freshness: 0.0/8; verified website: 0.0/15; confirmed irs record: 0.0/20; source corroboration: 1.7/5; Synthesis metadata: medium (not part of numeric confidence)</t>
  </si>
  <si>
    <t>6255 Kenwood Ave Ste C, Baltimore, MD 21237</t>
  </si>
  <si>
    <t>(410) 866-3700</t>
  </si>
  <si>
    <t>Friendship at Rosedale Adult Medical Day Center</t>
  </si>
  <si>
    <t>Accepts multiple payment options including Maryland Medical Assistance, Department of Veterans Affairs with authorization, Department of Aging, and private pay. Website text invites callers to discuss funding and access; intake appears to be by contacting the center (no documented online application). The site and listing indicate the center accepts clients with medical needs arising from conditions such as stroke, Alzheimer’s/dementia, diabetes, developmental disabilities, mental illness, Parkinson’s, and those needing daily socialization or assistance.</t>
  </si>
  <si>
    <t>Monday: 8 AM to 3 PM; Tuesday: 8 AM to 3 PM; Wednesday: 8 AM to 3 PM; Thursday: 8 AM to 3 PM; Friday: 8 AM to 3 PM; Saturday: 8 AM to 3 PM; Sunday: 8 AM to 3 PM</t>
  </si>
  <si>
    <t>A physical adult medical day center providing daytime supervision and therapeutic supports for older adults and people with cognitive or physical impairments. Documented offerings include nursing-led care, medication management and health monitoring, daily meals and snacks, a range of therapies (physical, occupational, speech), activities and outings, personal care assistance as needed, and transportation services.</t>
  </si>
  <si>
    <t>http://www.advanceadultdaycare.com/</t>
  </si>
  <si>
    <t>Google Maps reviewers mostly leave high ratings but often provide little or no written detail, so qualitative themes are limited. One reviewer explicitly reported poor communication; the owner publicly responded apologetically. The newest review(s) in the fetched sample are positive or contain no text, and the center’s website and Google listing are reachable and provide consistent service descriptions and published hours.</t>
  </si>
  <si>
    <t>accepted google identity: 14.7/15; review volume: 15.6/30; review consistency: 0.9/7; review freshness: 7.0/8; verified website: 14.7/15; confirmed irs record: 0.0/20; source corroboration: 3.3/5; Synthesis metadata: high (not part of numeric confidence)</t>
  </si>
  <si>
    <t>3 Easter Ct Ste b, Owings Mills, MD 21117</t>
  </si>
  <si>
    <t>(410) 902-0252</t>
  </si>
  <si>
    <t>Friendship at Owings Mills Adult Medical Day Center (formerly A Better Day)</t>
  </si>
  <si>
    <t>Accepts MD Medical Assistance, Department of Veterans Affairs with authorization, Department of Aging, and private pay; prospective clients are asked to call to discuss eligibility and available State/Federal funding. Transportation services are offered to/from clients' homes and to medical appointments.</t>
  </si>
  <si>
    <t>Monday: 8 AM to 3 PM; Tuesday: 8 AM to 3 PM; Wednesday: 8 AM to 3 PM; Thursday: 8 AM to 3 PM; Friday: 8 AM to 3 PM; Saturday: 8 AM to 3 PM; Sunday: Closed</t>
  </si>
  <si>
    <t>An adult medical day center that provides daytime nursing/medical oversight, medication management, therapeutic and recreational activities, meals, personal care assistance, and transportation for older adults and adults with cognitive or physical impairments.</t>
  </si>
  <si>
    <t>Available review text is sparse and does not contain substantive written feedback, so reviewers' specific praises or concerns are not documented. The organization's website and its Google Business profile provide detailed service descriptions, published hours, and contact details and are reachable, which corroborates that the center is operational.</t>
  </si>
  <si>
    <t>accepted google identity: 14.4/15; review volume: 10.1/30; review consistency: 7.0/7; review freshness: 2.7/8; verified website: 14.4/15; confirmed irs record: 0.0/20; source corroboration: 3.3/5; Synthesis metadata: medium (not part of numeric confidence)</t>
  </si>
  <si>
    <t>431 Notre Dame Ln, Baltimore, MD 21212</t>
  </si>
  <si>
    <t>(410) 435-4416</t>
  </si>
  <si>
    <t>Gallagher Mansion</t>
  </si>
  <si>
    <t>A physical residential property identified in Google Maps as an apartment building and retirement residence located in Baltimore. The listing presents it as a place offering housing/ residency at the stated address.</t>
  </si>
  <si>
    <t>Public feedback is very limited but includes a recent, detailed complaint that staff were unreachable and that attempts to contact someone at the building failed. The visible reviewer reported mailbox and phone problems and expressed concern for a possibly ill resident; there is no owner response visible. Other review content is sparse and mixed, so reviewer feedback is too limited to establish consistent strengths, but the available complaint raises concerns about responsiveness. The organization’s website could not be verified from the available evidence.</t>
  </si>
  <si>
    <t>accepted google identity: 14.8/15; review volume: 8.9/30; review consistency: 7.0/7; review freshness: 1.4/8; verified website: 0.0/15; confirmed irs record: 0.0/20; source corroboration: 1.7/5; Synthesis metadata: medium (not part of numeric confidence)</t>
  </si>
  <si>
    <t>17 E Mt Vernon Pl, Baltimore, MD 21202</t>
  </si>
  <si>
    <t>(667) 208-6715</t>
  </si>
  <si>
    <t>George Peabody Library</t>
  </si>
  <si>
    <t>Free and open to the public; the collection is non-circulating but readers and researchers are welcome to use materials on-site. The library is a closed-stacks facility and visitors are not permitted upstairs for safety and collection protection. Casual, personal, non-commercial photography is permitted with conditions; portrait or commercial photography must be prearranged with the Office of Private Events and may incur a fee. For event bookings and curator contact, follow the library's event/Curator contact procedures as listed on the institution's site.</t>
  </si>
  <si>
    <t>Monday: Closed; Tuesday: 10 AM to 5 PM; Wednesday: 10 AM to 5 PM; Thursday: 10 AM to 5 PM; Friday: Closed; Saturday: Closed; Sunday: 11 AM to 5 PM</t>
  </si>
  <si>
    <t>Historic 19th-century research library at Johns Hopkins University that houses a large, primarily non-circulating special collection, is open for on-site research and public visits, hosts exhibitions and public programs, and is made available for special-event rentals.</t>
  </si>
  <si>
    <t>https://www.library.jhu.edu/library-hours/george-peabody-library/</t>
  </si>
  <si>
    <t>Reviewer comments consistently praise the library’s architecture and visual impact, describing it as a beautiful or stunning historic space and recommending it as a visitor stop. Some reviewers note restricted access for non-Johns Hopkins patrons (limited areas access), which has led to disappointment for a minority of visitors. The most recent reviews continue to express the same positive impressions of the space; there are few owner responses in the review sample.</t>
  </si>
  <si>
    <t>accepted google identity: 14.6/15; review volume: 30.0/30; review consistency: 3.9/7; review freshness: 8.0/8; verified website: 14.6/15; confirmed irs record: 0.0/20; source corroboration: 3.3/5; Synthesis metadata: high (not part of numeric confidence)</t>
  </si>
  <si>
    <t>11630 Glen Arm Rd, Glen Arm, MD 21057</t>
  </si>
  <si>
    <t>(410) 319-5000</t>
  </si>
  <si>
    <t>Glen Meadows Retirement Community</t>
  </si>
  <si>
    <t>Website states the community is a Life Plan Community for people 60 and older. Prospective residents are asked to contact the community to schedule tours or join a waitlist when at capacity; callers are directed to community phone/email or corporate customer service for unresolved concerns. No documentation or referral requirements are specified in the available evidence.</t>
  </si>
  <si>
    <t>A life-plan senior living community that provides independent living options plus on-site supportive levels of care (assisted living and skilled nursing), with amenities such as dining, fitness facilities, chapel services, salon/barber, library, guest accommodations, and organized activities.</t>
  </si>
  <si>
    <t>https://www.presbyterianseniorliving.org/glen-meadows-retirement-community</t>
  </si>
  <si>
    <t>Google reviewers commonly praise the welcoming staff, active programming, pleasant campus, and good dining; many reviews describe helpful employees and a strong sense of community. A small number of recent reviews raise concerns about negative staff interactions or poor visitor experiences, and the most recent review is strongly critical, suggesting occasional lapses in customer-facing conduct. Management appears to engage with reviewers in public responses, indicating attention to feedback.</t>
  </si>
  <si>
    <t>accepted google identity: 14.6/15; review volume: 30.0/30; review consistency: 3.2/7; review freshness: 7.5/8; verified website: 14.6/15; confirmed irs record: 0.0/20; source corroboration: 3.3/5; Synthesis metadata: high (not part of numeric confidence)</t>
  </si>
  <si>
    <t>4404 Maine Ave, Baltimore, MD 21207</t>
  </si>
  <si>
    <t>(410) 929-9315</t>
  </si>
  <si>
    <t>Glory House Manor</t>
  </si>
  <si>
    <t>Listed on Google Maps as an assisted living facility in Baltimore; the listing identifies it as an assisted-living residence and notes wheelchair-accessible entrance and parking.</t>
  </si>
  <si>
    <t>Public review feedback was unavailable or too thin to assess user experiences. The only corroborating online record is a Google Maps business listing that classifies the location as an assisted living facility and documents accessibility features; no verified website or recent filings were found. Because there are no public reviews or additional authoritative sources, current operations and quality cannot be confirmed from the available evidence.</t>
  </si>
  <si>
    <t>accepted google identity: 13.2/15; review volume: 0.0/30; review consistency: 0.0/7; review freshness: 0.0/8; verified website: 0.0/15; confirmed irs record: 0.0/20; source corroboration: 1.7/5; Synthesis metadata: insufficient_evidence (not part of numeric confidence)</t>
  </si>
  <si>
    <t>7707 German Hill Rd, Dundalk, MD 21222</t>
  </si>
  <si>
    <t>(443) 530-6075</t>
  </si>
  <si>
    <t>Golden Days Baltimore East Medical Adult Day Care</t>
  </si>
  <si>
    <t>Website and listing state the program is intended for elderly and disabled clients; transportation is provided and the center lists phone, email, and online booking for inquiries and enrollment. The site also notes participation in the Maryland Child and Adult Care Food Program (CACFP). No specific intake documents, eligibility age cutoffs, required referrals, fees, or enrollment steps were stated in the available evidence.</t>
  </si>
  <si>
    <t>A local adult medical day center that provides daytime care, social activities, on-site therapeutic and nursing supports, meals, and transportation for older adults and people with disabilities in the Dundalk/Baltimore area.</t>
  </si>
  <si>
    <t>https://www.goldendayscenter.com/</t>
  </si>
  <si>
    <t>Google reviewers consistently praise friendly, attentive staff, a clean and welcoming facility, and a varied activity program that keeps clients engaged. A small number of reviews are neutral or negative without detailed complaints, but do not form a clear pattern of operational problems. The most recent written review continues the pattern of positive feedback about activities and atmosphere.</t>
  </si>
  <si>
    <t>accepted google identity: 14.2/15; review volume: 23.5/30; review consistency: 3.3/7; review freshness: 6.2/8; verified website: 14.2/15; confirmed irs record: 0.0/20; source corroboration: 3.3/5; Synthesis metadata: high (not part of numeric confidence)</t>
  </si>
  <si>
    <t>4825 Frankford Ave, Baltimore, MD 21206</t>
  </si>
  <si>
    <t>(410) 325-2686</t>
  </si>
  <si>
    <t>Golden Pond Adult Day Program</t>
  </si>
  <si>
    <t>Serves residents of Baltimore City and Baltimore County. Open to anyone 16 years and older who have chronic medical needs and are approved for adult medical day services in the state of Maryland. Individuals with Maryland Medical Assistance may qualify for payment; the program accepts Maryland Medical Assistance and VA payment. Private pay options are available. Services operate Monday–Friday during published hours and are closed on scheduled holidays; prospective participants are encouraged to contact the center to schedule a tour or intake and to arrange any required physician orders for specific therapies.</t>
  </si>
  <si>
    <t>A physical adult day program in Baltimore that provides structured daily care including therapeutic and social activities, nursing and social-work support, meals, and transportation for adults with chronic medical needs.</t>
  </si>
  <si>
    <t>http://www.goldenpondday.com/</t>
  </si>
  <si>
    <t>Review text was unavailable or too thin to identify recurring praise or concerns: the fetched recent review contains no descriptive text, so reviewer sentiment cannot be characterized from text. The organization’s own website and its Google Maps listing are reachable and consistent with each other about services, eligibility, and published hours. Website content provides detailed service and payment information; however public reviewer feedback is not informative in the available sample and the most recently fetched review is not recent.</t>
  </si>
  <si>
    <t>accepted google identity: 14.7/15; review volume: 15.4/30; review consistency: 7.0/7; review freshness: 1.0/8; verified website: 14.7/15; confirmed irs record: 0.0/20; source corroboration: 3.3/5; Synthesis metadata: medium (not part of numeric confidence)</t>
  </si>
  <si>
    <t>8620 Kelso Dr, Baltimore, MD 21221</t>
  </si>
  <si>
    <t>(410) 682-4094</t>
  </si>
  <si>
    <t>Golden Ring Co-op Apartments</t>
  </si>
  <si>
    <t>Residency is described as for independent seniors aged 62 and older and operates as a resident-member cooperative; reviewers also reference a leasing process and a waiting list for units.</t>
  </si>
  <si>
    <t>Monday: 9 AM to 12 PM; Tuesday: 9 AM to 12 PM; Wednesday: 9 AM to 12 PM; Thursday: 9 AM to 12 PM; Friday: 9 AM to 12 PM; Saturday: Closed; Sunday: Closed</t>
  </si>
  <si>
    <t>A cooperative senior housing community offering independent-living apartments for older adults, with on-site shared amenities such as a community room and game room, and building amenities (elevator, maintenance, outdoor space).</t>
  </si>
  <si>
    <t>https://www.csi.coop/housing/md/essex/golden-ring/default</t>
  </si>
  <si>
    <t>Google reviewers commonly describe the property as a comfortable, long-term senior community with features that visitors and residents appreciate. Recurring concerns in reviews focus on staffing and responsiveness—several recent reviews mention entrance/attendant coverage and difficulties or brusque experiences with leasing/waitlist interactions. The newest reviews continue to call out staffing and access problems while other reviewers still report positive long-term resident experiences; the owner has replied to some reviews.</t>
  </si>
  <si>
    <t>accepted google identity: 14.0/15; review volume: 25.2/30; review consistency: 2.6/7; review freshness: 7.5/8; verified website: 14.0/15; confirmed irs record: 0.0/20; source corroboration: 3.3/5; Synthesis metadata: medium (not part of numeric confidence)</t>
  </si>
  <si>
    <t>1601 E Belvedere Ave, Baltimore, MD 21239</t>
  </si>
  <si>
    <t>(410) 532-5600</t>
  </si>
  <si>
    <t>FutureCare - Good Samaritian</t>
  </si>
  <si>
    <t>A physical, on-site nursing facility offering short-term rehabilitation services (physical, occupational, and speech therapy) and long-term skilled nursing care; rehabilitation services are described as available up to seven days per week.</t>
  </si>
  <si>
    <t>Google Maps reviewers consistently report recurring concerns about understaffing, missed care (including reports of bedsores and delayed assistance), poor communication with families, and serious safety-related allegations. At the same time multiple reviewers single out individual staff members for thoughtful, compassionate care and note some positive aspects of the facility environment or therapy services. The most recent reviews trend negative and echo the earlier concerns; the listing’s management appears to respond publicly to reviews.</t>
  </si>
  <si>
    <t>accepted google identity: 14.2/15; review volume: 30.0/30; review consistency: 0.7/7; review freshness: 7.5/8; verified website: 0.0/15; confirmed irs record: 0.0/20; source corroboration: 1.7/5; Synthesis metadata: medium (not part of numeric confidence)</t>
  </si>
  <si>
    <t>5714 Bellona Ave, Baltimore, MD 21212</t>
  </si>
  <si>
    <t>(410) 396-6098</t>
  </si>
  <si>
    <t>Enoch Pratt Free Library - Govans Branch</t>
  </si>
  <si>
    <t>A neighborhood public library branch providing typical library services and community programming: free Wi‑Fi, public computers, photocopying/printing, children and teen collections and programs, meeting-room reservations, job and career assistance, and ADA accessibility. Reviewers also report occasional additional maker resources available on site.</t>
  </si>
  <si>
    <t>https://www.prattlibrary.org/locations/govans</t>
  </si>
  <si>
    <t>Public-facing signals are well corroborated by the library’s official site and its Google Maps listing. Reviewers frequently praise friendly, attentive staff, the family- and child-oriented programs, and availability of resources like computers, printing, and a safe after-school environment. A small number of reviews note temporary closures for repairs, but the most recent feedback remains positive (many recent reviews are brief or contain no text).</t>
  </si>
  <si>
    <t>accepted google identity: 14.7/15; review volume: 30.0/30; review consistency: 3.8/7; review freshness: 7.3/8; verified website: 14.7/15; confirmed irs record: 0.0/20; source corroboration: 3.3/5; Synthesis metadata: high (not part of numeric confidence)</t>
  </si>
  <si>
    <t>2000 W Baltimore St, Baltimore, MD 21223</t>
  </si>
  <si>
    <t>(410) 362-3000</t>
  </si>
  <si>
    <t>Grace Medical Center</t>
  </si>
  <si>
    <t>Appointments are listed as recommended. The listing indicates standard payment methods are accepted (credit/debit/NFC). The facility is described as wheelchair accessible. No eligibility restrictions, required documents, referral rules, or special intake procedures are evidenced.</t>
  </si>
  <si>
    <t>A physical medical center that includes an emergency department; the Google Maps listing shows the emergency department as operating on-site and the location offers general acute care services at this address.</t>
  </si>
  <si>
    <t>https://www.lifebridgehealth.org/locations/grace-medical-center</t>
  </si>
  <si>
    <t>Google reviewers give mixed feedback: several reviewers praise quick emergency care and name specific clinicians and nurses as helpful, while many others report repeated problems with staff professionalism, poor communication, difficulty obtaining records or returned calls, and concerning patient-safety or medication experiences. The most recent reviews continue to raise similar serious concerns about communication and clinical care rather than showing a clear improvement trend.</t>
  </si>
  <si>
    <t>accepted google identity: 14.5/15; review volume: 30.0/30; review consistency: 0.4/7; review freshness: 7.8/8; verified website: 14.5/15; confirmed irs record: 0.0/20; source corroboration: 3.3/5; Synthesis metadata: medium (not part of numeric confidence)</t>
  </si>
  <si>
    <t>6701 N Charles St, Towson, MD 21204</t>
  </si>
  <si>
    <t>(443) 849-2000</t>
  </si>
  <si>
    <t>Greater Baltimore Medical Center</t>
  </si>
  <si>
    <t>Google Maps listing notes both "Appointment required" and "Appointments recommended." Facility lists onsite services and wheelchair-accessible entrance/parking/restroom; paid parking (garage, lot, and street) is indicated. (Evidence: see evidence_used.)</t>
  </si>
  <si>
    <t>A full-service acute-care hospital and health system providing emergency care (adult and pediatric), surgical services, obstetrics with a Level III neonatal ICU, intensive care, cancer care, and a range of outpatient/support services including rehabilitation, pharmacy, ophthalmology, and laboratory services.</t>
  </si>
  <si>
    <t>https://www.gbmc.org/</t>
  </si>
  <si>
    <t>Recent Google Maps reviews repeatedly praise compassionate, attentive staff—many commenters highlight positive Emergency Department and pediatric experiences and name individual nurses or teams. Recurring concerns in lower-rated reviews include diagnostic frustrations and unresolved issues after ED visits. The most recent reviews in the fetched sample skew positive, and the organization’s official website and registry records corroborate the listing’s identity and the scope of clinical services described.</t>
  </si>
  <si>
    <t>accepted google identity: 14.6/15; review volume: 30.0/30; review consistency: 0.7/7; review freshness: 7.9/8; verified website: 14.6/15; confirmed irs record: 20.0/20; source corroboration: 5.0/5; Synthesis metadata: high (not part of numeric confidence)</t>
  </si>
  <si>
    <t>2707 Walbrook Ave, Baltimore, MD 21216</t>
  </si>
  <si>
    <t>(410) 225-0003</t>
  </si>
  <si>
    <t>Greater New Hope Towers</t>
  </si>
  <si>
    <t>A physical assisted-living residential facility / housing location in Baltimore (listed on Google Maps as an assisted living facility).</t>
  </si>
  <si>
    <t>The Google Maps listing exists and is rated, but the publicly fetched review sample contains only one review with no written text, so reviewer feedback is unavailable or too thin to identify recurring positive or negative themes. The listing metadata explicitly categorizes the place as an assisted living facility and provides accessibility details, but website attribution was rejected and the registry match is in a queued/review state, so the organization’s identity and web presence are not fully verified.</t>
  </si>
  <si>
    <t>accepted google identity: 14.2/15; review volume: 12.0/30; review consistency: 7.0/7; review freshness: 1.3/8; verified website: 0.0/15; confirmed irs record: 0.0/20; source corroboration: 1.7/5; Synthesis metadata: insufficient_evidence (not part of numeric confidence)</t>
  </si>
  <si>
    <t>425 Federal St, Baltimore, MD 21202</t>
  </si>
  <si>
    <t>(443) 996-9171</t>
  </si>
  <si>
    <t>Greenmount Senior Center</t>
  </si>
  <si>
    <t>Primary population served: older adults/seniors. Google Maps listing indicates wheelchair-accessible entrance, wheelchair-accessible parking, and wheelchair-accessible restroom; no intake, referral, document requirements, or published hours were found in the available evidence.</t>
  </si>
  <si>
    <t>A physical senior citizen center located in Baltimore that operates as an on-site community facility serving older adults.</t>
  </si>
  <si>
    <t>Google Maps reviewers give consistently positive ratings; the limited textual feedback that exists praises the director and members and does not report recurring problems, though most recent reviews contain no text so descriptive feedback is sparse. The organization’s identity is corroborated by a recent IRS BMF registry record, but no verified official website was found, so available evidence is limited to the Maps listing and the registry.</t>
  </si>
  <si>
    <t>accepted google identity: 14.7/15; review volume: 16.3/30; review consistency: 7.0/7; review freshness: 2.9/8; verified website: 0.0/15; confirmed irs record: 20.0/20; source corroboration: 3.3/5; Synthesis metadata: insufficient_evidence (not part of numeric confidence)</t>
  </si>
  <si>
    <t>1901 Gwynns Falls Pkwy, Baltimore, MD 21217</t>
  </si>
  <si>
    <t>(240) 326-3844</t>
  </si>
  <si>
    <t>Halcyone's House, LLC</t>
  </si>
  <si>
    <t>No public description of services was available in the provided sources. The available online listing identifies the organization by name and location but provides no details about programs, hours, or eligibility.</t>
  </si>
  <si>
    <t>Review feedback was unavailable or too thin to characterize user experience: the Google Maps listing shows zero public reviews. The listing itself contains minimal detail (no service description, categories, or published hours), and attempts to verify an official website were unsuccessful, which limits independent confirmation of services or access requirements.</t>
  </si>
  <si>
    <t>5910 Harford Rd, Baltimore, MD 21214</t>
  </si>
  <si>
    <t>(410) 396-6088</t>
  </si>
  <si>
    <t>Enoch Pratt Free Library - Hamilton Branch</t>
  </si>
  <si>
    <t>Open to the general public. Meeting rooms may be reserved in advance. ADA accessible. Subject to system-wide holiday and early-closure schedule.</t>
  </si>
  <si>
    <t>Neighborhood public library branch offering typical library services including lending and access to collections, free Wi‑Fi and public computers, printing/photocopying, children and teen sections, job and career assistance, community programs and events, and meeting-room reservations; the location is ADA accessible.</t>
  </si>
  <si>
    <t>https://www.prattlibrary.org/locations/hamilton/</t>
  </si>
  <si>
    <t>Reviewers consistently praise friendly, helpful, and professional staff, and commonly note the branch is clean and a good place to work or study; several recent comments highlight convenient services such as notary help and community programs. A smaller number of reviewers mention a limited selection in the collection. The newest reviews remain positive and reflect the same recurring strengths.</t>
  </si>
  <si>
    <t>accepted google identity: 14.7/15; review volume: 30.0/30; review consistency: 2.9/7; review freshness: 7.9/8; verified website: 14.7/15; confirmed irs record: 0.0/20; source corroboration: 3.3/5; Synthesis metadata: high (not part of numeric confidence)</t>
  </si>
  <si>
    <t>3641 Falls Rd, Baltimore, MD 21211</t>
  </si>
  <si>
    <t>(410) 396-6043</t>
  </si>
  <si>
    <t>Enoch Pratt Free Library - Hampden Branch</t>
  </si>
  <si>
    <t>A neighborhood public library branch offering in-person access to library collections and community services, including free Wi‑Fi, public computers, printing/photocopying, ADA-accessible facilities, children and teen sections and programs, job and career assistance, meeting-room reservations, and regular community events.</t>
  </si>
  <si>
    <t>https://www.prattlibrary.org/locations/hampden</t>
  </si>
  <si>
    <t>Google reviewers consistently praise helpful and welcoming staff, the branch’s clean historic building, quiet atmosphere, and practical amenities such as outlets and places to charge devices. Reviewers also note good availability of services and community programming (storytimes, crafts, teen events); a few mention a smaller collection compared with larger branches. The most recent reviews continue the generally positive tone.</t>
  </si>
  <si>
    <t>accepted google identity: 14.7/15; review volume: 30.0/30; review consistency: 5.6/7; review freshness: 7.2/8; verified website: 14.7/15; confirmed irs record: 0.0/20; source corroboration: 3.3/5; Synthesis metadata: high (not part of numeric confidence)</t>
  </si>
  <si>
    <t>1412 Providence Rd, Towson, MD 21286</t>
  </si>
  <si>
    <t>(410) 825-1743</t>
  </si>
  <si>
    <t>Hampton Meadows Assisted Living</t>
  </si>
  <si>
    <t>The provider participates in Baltimore County's Senior Assisted Living Subsidy (SALS) for qualifying residents; applicants should consult the Baltimore County Department of Aging for subsidy eligibility. Care plans and admissions are described as individualized on the provider website; no additional intake documents or referral requirements are specified in the available sources.</t>
  </si>
  <si>
    <t>An assisted-living residence that provides room-based accommodations and daily support for older adults, including meals, personal care and housekeeping, medication management, arranged transportation, activities, and access to visiting medical providers.</t>
  </si>
  <si>
    <t>https://www.hamptonmeadowsassistedliving.com/</t>
  </si>
  <si>
    <t>The organization's official website is reachable and provides detailed descriptions of services, staffing, accommodations, and participation in a local assisted-living subsidy program. The Google Maps listing includes an owner description and structured hours that align with the website, supporting that the location is operational. Public review text was not available for analysis, so user-feedback themes cannot be summarized from the sources provided.</t>
  </si>
  <si>
    <t>accepted google identity: 14.2/15; review volume: 7.7/30; review consistency: 0.0/7; review freshness: 0.0/8; verified website: 14.2/15; confirmed irs record: 0.0/20; source corroboration: 3.3/5; Synthesis metadata: medium (not part of numeric confidence)</t>
  </si>
  <si>
    <t>1 W Conway St, Baltimore, MD 21201</t>
  </si>
  <si>
    <t>(410) 962-1131</t>
  </si>
  <si>
    <t>Hanover Square Apartments</t>
  </si>
  <si>
    <t>A physical apartment building (apartment complex) at the listed address that provides residential housing units for residents.</t>
  </si>
  <si>
    <t>Google Maps reviewer feedback consistently raises concerns about management responsiveness and building maintenance, and several reviewers report difficulties with outdated payment processes and contact information. A small number of reviewers give neutral or positive comments about the site being acceptable for older residents, but the prevailing themes in recent reviews are accessibility and management issues. The most recent reviews continue to report similar problems, and there are no owner responses visible in the review context.</t>
  </si>
  <si>
    <t>accepted google identity: 14.7/15; review volume: 21.8/30; review consistency: 2.1/7; review freshness: 6.8/8; verified website: 0.0/15; confirmed irs record: 0.0/20; source corroboration: 1.7/5; Synthesis metadata: medium (not part of numeric confidence)</t>
  </si>
  <si>
    <t>5146 Park Heights Ave, Baltimore, MD 21215</t>
  </si>
  <si>
    <t>(410) 664-0056</t>
  </si>
  <si>
    <t>Happy Time Adult Medical Day Care</t>
  </si>
  <si>
    <t>A physical adult medical/ adult day care center that provides daytime care services for adults at a street-address location in Baltimore.</t>
  </si>
  <si>
    <t>Public Google Maps reviews include multiple recent complaints about poor customer service and staff behavior, with reviewers describing yelling, cursing, and concerns about how elderly visitors are treated. A smaller number of earlier reviews praise the director as compassionate and attentive to individualized care. The most recent review text trends negative, so recent reviewer feedback is more critical than older positive remarks.</t>
  </si>
  <si>
    <t>accepted google identity: 14.2/15; review volume: 24.5/30; review consistency: 0.7/7; review freshness: 4.6/8; verified website: 0.0/15; confirmed irs record: 0.0/20; source corroboration: 1.7/5; Synthesis metadata: medium (not part of numeric confidence)</t>
  </si>
  <si>
    <t>4308 Harford Rd, Baltimore, MD 21214</t>
  </si>
  <si>
    <t>(410) 426-5650</t>
  </si>
  <si>
    <t>Harford Belair Community Mental Health Center</t>
  </si>
  <si>
    <t>Accepts Maryland Medicaid (Maryland Medical Assistance), Medicare, and State of Maryland Uninsured eligibility. Harford Belair welcomes referrals from community and clinical settings and screens requests to match available resources; appointments are recommended. Contact the center for intake and appointment requests.</t>
  </si>
  <si>
    <t>Monday: 8 AM to 5 PM; Tuesday: 8 AM to 6 PM; Wednesday: 8 AM to 5 PM; Thursday: 8 AM to 6 PM; Friday: 8 AM to 4 PM; Saturday: Closed; Sunday: Closed</t>
  </si>
  <si>
    <t>A community mental health center that provides outpatient and residential psychiatric rehabilitation and a range of age-specific behavioral health services, including therapy (individual, group, family), medication management, assertive community treatment, and programs for co-occurring mental illness and substance use.</t>
  </si>
  <si>
    <t>http://www.harfordbelair.org/</t>
  </si>
  <si>
    <t>Public reviews show a mix of experiences: several reviewers report friendly, caring staff and an easy intake process, while other reviewers repeatedly describe scheduling delays, poor follow-up, and being released from services before receiving care. The newest available review is positive, suggesting some recent improvement, but multiple earlier complaints about appointment coordination persist. The organization’s official website and registry records corroborate the listed programs and an active IRS filing, and there is no evidence of permanent closure; staff responsiveness in public reviews appears limited (no owner responses recorded).</t>
  </si>
  <si>
    <t>accepted google identity: 14.7/15; review volume: 22.8/30; review consistency: 0.6/7; review freshness: 7.1/8; verified website: 14.7/15; confirmed irs record: 20.0/20; source corroboration: 5.0/5; Synthesis metadata: high (not part of numeric confidence)</t>
  </si>
  <si>
    <t>1700 Edmondson Ave, Baltimore, MD 21223</t>
  </si>
  <si>
    <t>(410) 728-4009</t>
  </si>
  <si>
    <t>Harlem Gardens</t>
  </si>
  <si>
    <t>Monday: 9 AM to 6 PM; Tuesday: 9 AM to 6 PM; Wednesday: 9 AM to 6 PM; Thursday: 9 AM to 6 PM; Friday: 9 AM to 6 PM; Saturday: Closed; Sunday: Closed</t>
  </si>
  <si>
    <t>A physical apartment complex and rental agency that offers residential apartment rentals and leasing services at a street-addressed location.</t>
  </si>
  <si>
    <t>Public Google Maps reviews are mixed: some reviewers (including at least one long-term resident) describe it as a nice place to live, while multiple reviewers report recurring maintenance and habitability problems such as flooding, water damage, and mold and express frustration with management’s responsiveness. The most recent reviews include very negative reports as well as at least one positive comment, so reviewer sentiment appears split with recurring concerns centered on building maintenance. Owner responses to reviews are not present in the public review texts.</t>
  </si>
  <si>
    <t>accepted google identity: 14.7/15; review volume: 18.1/30; review consistency: 0.1/7; review freshness: 6.2/8; verified website: 0.0/15; confirmed irs record: 0.0/20; source corroboration: 1.7/5; Synthesis metadata: medium (not part of numeric confidence)</t>
  </si>
  <si>
    <t>4417 Wentworth Rd, Baltimore, MD 21207</t>
  </si>
  <si>
    <t>(202) 938-5276</t>
  </si>
  <si>
    <t>Harmony Care Assisted Living Facility</t>
  </si>
  <si>
    <t>Visits and showings must be scheduled in advance; the site states visits follow COVID‑19 protocols and visitors are temperature‑screened on arrival. (No other eligibility, referral, or documentation requirements were stated.)</t>
  </si>
  <si>
    <t>Monday: 11 AM to 6 PM; Tuesday: 11 AM to 6 PM; Wednesday: 11 AM to 6 PM; Thursday: 11 AM to 6 PM; Friday: 11:30 AM to 6 PM; Saturday: 12 to 4 PM; Sunday: Closed</t>
  </si>
  <si>
    <t>A small assisted‑living residence that offers residential assisted‑living care for older adults, providing individualized daily‑living assistance (meal preparation, hygiene, housekeeping, supervision), three meals per day, companionship and social/cognitive activities, and access to pharmacy services.</t>
  </si>
  <si>
    <t>http://www.harmonycarealf.com/</t>
  </si>
  <si>
    <t>Public feedback is very limited but uniformly positive: the single recent Google reviewer praises cleanliness, caring staff, and good food. The organization’s own website and its Google listing provide consistent descriptions of assisted‑living services, menus, and visiting rules, which supports the listing details. However, the review sample is only one entry, so user experience trends are not well established.</t>
  </si>
  <si>
    <t>accepted google identity: 13.8/15; review volume: 5.0/30; review consistency: 7.0/7; review freshness: 4.0/8; verified website: 13.8/15; confirmed irs record: 0.0/20; source corroboration: 3.3/5; Synthesis metadata: medium (not part of numeric confidence)</t>
  </si>
  <si>
    <t>2406 W Lanvale St, Baltimore, MD 21216</t>
  </si>
  <si>
    <t>(443) 226-8161</t>
  </si>
  <si>
    <t>Harpers House Assisted Living, LLC.</t>
  </si>
  <si>
    <t>A small, residential assisted living home that provides 24/7, on-site care in a home-like setting, offering help with daily living activities, medication oversight, meals, housekeeping, social and recreational activities, and coordination of medical care and transportation.</t>
  </si>
  <si>
    <t>http://www.harpershousealf.com/</t>
  </si>
  <si>
    <t>Public review text is effectively unavailable (the Google review(s) include no written comments), so user feedback cannot be summarized from reviews. The organization’s official website and its Google Maps profile both describe a small, six-bed assisted living facility and list specific services such as ADL assistance, medication management, meals, housekeeping, activities, and care coordination. The website is reachable and the Google Maps profile includes published 24-hour hours, but review-based evidence about client experience is too thin to identify recurring themes.</t>
  </si>
  <si>
    <t>accepted google identity: 14.7/15; review volume: 5.0/30; review consistency: 7.0/7; review freshness: 1.8/8; verified website: 14.7/15; confirmed irs record: 0.0/20; source corroboration: 3.3/5; Synthesis metadata: medium (not part of numeric confidence)</t>
  </si>
  <si>
    <t>1510 Mosher St, Baltimore, MD 21217</t>
  </si>
  <si>
    <t>(410) 728-1166</t>
  </si>
  <si>
    <t>Harvey Johnson Towers</t>
  </si>
  <si>
    <t>A physical residential apartment building located at 1510 Mosher St in Baltimore that operates as leased housing and lists accessibility features such as a wheelchair-accessible entrance and parking.</t>
  </si>
  <si>
    <t>Google Maps reviewers give mixed feedback. Some reviewers (including a recent written comment) praise security, customer service, and a professional atmosphere; other reviewers have left low ratings without explanatory comments, suggesting inconsistent resident or visitor experiences. Many of the most recent ratings provide little or no text, so qualitative themes are uneven and owner responses are not present.</t>
  </si>
  <si>
    <t>accepted google identity: 14.7/15; review volume: 23.0/30; review consistency: 0.6/7; review freshness: 8.0/8; verified website: 0.0/15; confirmed irs record: 0.0/20; source corroboration: 1.7/5; Synthesis metadata: medium (not part of numeric confidence)</t>
  </si>
  <si>
    <t>2825 Fait Ave, Baltimore, MD 21224</t>
  </si>
  <si>
    <t>(410) 396-9025</t>
  </si>
  <si>
    <t>Baltimore Hatton Senior Center</t>
  </si>
  <si>
    <t>Website listing indicates the Hatton Senior Center is open Monday through Thursday and that Friday services may be by appointment only; callers should contact the center for enrollment or appointment details. (Evidence: 461 (website); hours are captured from both website and Google Maps—see service_days for the Google Maps hours.)</t>
  </si>
  <si>
    <t>Monday: 8:30 AM to 3:30 PM; Tuesday: 8:30 AM to 3:30 PM; Wednesday: 8:30 AM to 3:30 PM; Thursday: 8:30 AM to 3:30 PM; Friday: Closed; Saturday: Closed; Sunday: Closed</t>
  </si>
  <si>
    <t>A neighborhood senior center offering in-person programs and regular activities for older adults, including exercise and wellness classes, social/recreational events, and congregate meals; also listed as a site for occasional health screenings and seasonal vaccines.</t>
  </si>
  <si>
    <t>https://www.baltimorecity.gov/health/our-work/aging-services/senior-centers</t>
  </si>
  <si>
    <t>Google reviewers commonly praise the center’s staff and manager, describing a warm atmosphere, active programming, and regular shared meals. Multiple recent reviews describe recurring activities (exercise classes, bingo, outings) and positive interactions with staff. However, one detailed review alleges serious misconduct (taking belongings and mistreatment of a vulnerable attendee); this claim is unaddressed in the public review thread and contrasts sharply with other reviewers’ accounts.</t>
  </si>
  <si>
    <t>accepted google identity: 14.7/15; review volume: 25.7/30; review consistency: 2.2/7; review freshness: 7.8/8; verified website: 14.7/15; confirmed irs record: 0.0/20; source corroboration: 3.3/5; Synthesis metadata: high (not part of numeric confidence)</t>
  </si>
  <si>
    <t>401 Reisterstown Rd, Baltimore, MD 21208</t>
  </si>
  <si>
    <t>(410) 205-5579</t>
  </si>
  <si>
    <t>Healthy Life Adult Medical Day Center, LLC</t>
  </si>
  <si>
    <t>A physical adult day care center offering daytime care services for adults at an on-site facility.</t>
  </si>
  <si>
    <t>The Google Maps listing shows the business category as an adult day care and includes a phone number and accessibility details, but the single available Google review contains no text so reviewer feedback is unavailable or too thin to characterize. The listing appears operational and reachable by phone, but there is no verified website or published hours on the listing. IRS BMF data did not produce a definitive registry match despite a recent filing year being present, leaving identity corroboration incomplete.</t>
  </si>
  <si>
    <t>accepted google identity: 14.8/15; review volume: 5.0/30; review consistency: 7.0/7; review freshness: 1.6/8; verified website: 0.0/15; confirmed irs record: 0.0/20; source corroboration: 1.7/5; Synthesis metadata: insufficient_evidence (not part of numeric confidence)</t>
  </si>
  <si>
    <t>3505 Windsor Mill Rd, Baltimore, MD 21216</t>
  </si>
  <si>
    <t>(443) 759-6132</t>
  </si>
  <si>
    <t>Heartfelt Care Providers ASSISTED LIVING</t>
  </si>
  <si>
    <t>A physical assisted-living and nursing-home facility operating at a Baltimore street address, offering residential long-term care at an on-site location.</t>
  </si>
  <si>
    <t>Public review text was unavailable or too thin to summarize meaningful user experiences. The Google Maps business entry indicates the place is listed as operational and provides a phone number and some accessibility details, but no verified website or independent registry match could be found to corroborate service details. Due to the sparse public-review content and limited corroborating sources, publicly observable information about user experiences and operations is minimal.</t>
  </si>
  <si>
    <t>accepted google identity: 14.3/15; review volume: 3.8/30; review consistency: 0.0/7; review freshness: 0.0/8; verified website: 0.0/15; confirmed irs record: 0.0/20; source corroboration: 1.7/5; Synthesis metadata: insufficient_evidence (not part of numeric confidence)</t>
  </si>
  <si>
    <t>4411 Frankford Ave, Baltimore, MD 21206</t>
  </si>
  <si>
    <t>(443) 835-3237</t>
  </si>
  <si>
    <t>Assisted Living Manager</t>
  </si>
  <si>
    <t>A physical organization located at 4411 Frankford Ave in Baltimore that appears on Google Maps; the listing notes accessible entrance and parking but provides no descriptive information about the organization’s services. No verified website or corroborating online description was found.</t>
  </si>
  <si>
    <t>There are no public reviews available to summarize; reviewer feedback is therefore unavailable or too thin to characterize. The Google Maps listing supplies only minimal metadata (location and accessibility flags) and contains no narrative description of programs, hours, or eligibility. Website attribution failed and registry matching is inconclusive, so independent corroboration is limited.</t>
  </si>
  <si>
    <t>(410) 825-5575</t>
  </si>
  <si>
    <t>Heritage Adult Medical Daycare</t>
  </si>
  <si>
    <t>An adult medical day care center operating from a physical facility in Towson, MD that provides daytime care services for adults.</t>
  </si>
  <si>
    <t>A Google Maps business listing provides structured hours, a phone number, and accessibility details, and the listing is marked operational. Review text was not available for analysis, so reviewer feedback is too thin to characterize service quality or recurring themes. The organization also lacks a verified website and there was no clear registry match, leaving official documentation limited.</t>
  </si>
  <si>
    <t>accepted google identity: 14.2/15; review volume: 6.1/30; review consistency: 0.0/7; review freshness: 0.0/8; verified website: 0.0/15; confirmed irs record: 0.0/20; source corroboration: 1.7/5; Synthesis metadata: medium (not part of numeric confidence)</t>
  </si>
  <si>
    <t>1080 E 33rd St, Baltimore, MD 21218</t>
  </si>
  <si>
    <t>(410) 235-1706</t>
  </si>
  <si>
    <t>Heritage Run at Stadium Place 55+</t>
  </si>
  <si>
    <t>Community is for residents aged 55 and over. Leasing requires an application/approval process—contact the office for availability and application details. Office/contact hours are weekdays during posted business hours.</t>
  </si>
  <si>
    <t>A senior (55+) apartment community offering independent one- and two-bedroom apartments with on-site management and amenities such as a fitness area, community spaces, accessible apartments, and included basic utilities. The property provides unit features like in-unit laundry, walk-in showers with grab bars, and controlled entry/security.</t>
  </si>
  <si>
    <t>https://www.hrapts.com/</t>
  </si>
  <si>
    <t>Google reviewers mention both community amenities/events and ongoing maintenance/management issues. Commenters describe positive communal features and quiet reflective spaces, while others report slow maintenance responses and unresponsive management with long-running repair problems. Review feedback is limited and the most recent review emphasizes maintenance concerns; the listing shows no owner responses to reviews.</t>
  </si>
  <si>
    <t>accepted google identity: 14.6/15; review volume: 8.5/30; review consistency: 3.5/7; review freshness: 6.5/8; verified website: 14.6/15; confirmed irs record: 0.0/20; source corroboration: 3.3/5; Synthesis metadata: high (not part of numeric confidence)</t>
  </si>
  <si>
    <t>3801 Erdman Ave, Baltimore, MD 21213</t>
  </si>
  <si>
    <t>(410) 396-0996</t>
  </si>
  <si>
    <t>Enoch Pratt Free Library - Herring Run Branch</t>
  </si>
  <si>
    <t>Meeting rooms are available by reservation; book-a-librarian appointments (free, 60 minutes) are offered. The branch observes system-wide holidays and early-closure dates listed on the library website.</t>
  </si>
  <si>
    <t>A public branch library offering on-site collections and services including free indoor and outdoor Wi‑Fi, public computers, printing/photocopying, meeting rooms, programs and events for all ages, children and teen sections, and job/career assistance.</t>
  </si>
  <si>
    <t>https://www.prattlibrary.org/locations/herring-run</t>
  </si>
  <si>
    <t>Google Maps reviewers consistently praise the recent renovations, quiet study spaces, helpful and friendly staff, and expanded Wi‑Fi access; many recent comments echo those positive themes. A small number of reviewers report negative experiences with specific front-desk interactions or service tasks (for example, obtaining temporary printing access), indicating occasional inconsistency in frontline service. The listing has active, recent reviews, but there are no owner responses visible on the most recent sample.</t>
  </si>
  <si>
    <t>accepted google identity: 14.7/15; review volume: 30.0/30; review consistency: 2.1/7; review freshness: 7.4/8; verified website: 14.7/15; confirmed irs record: 0.0/20; source corroboration: 3.3/5; Synthesis metadata: high (not part of numeric confidence)</t>
  </si>
  <si>
    <t>11685 Crossroads Cir Ste A-B + S-U, Middle River, MD 21220</t>
  </si>
  <si>
    <t>(410) 282-8500</t>
  </si>
  <si>
    <t>High Road School of Baltimore County</t>
  </si>
  <si>
    <t>Extended School Year (ESY) services are provided to students whose IEP team determines continued instruction is necessary. The organization indicates partnerships with school districts and directs district inquiries to its Strategic Engagements Team. Records requests are handled via the school’s location page.</t>
  </si>
  <si>
    <t>Monday: 8 AM to 3:30 PM; Tuesday: 8 AM to 3:30 PM; Wednesday: 8 AM to 3:30 PM; Thursday: 8 AM to 3:30 PM; Friday: 8 AM to 3:30 PM; Saturday: Closed; Sunday: Closed</t>
  </si>
  <si>
    <t>A private day school that provides individualized special-education instruction in smaller, structured classrooms, with programs addressing academic, behavioral, communication, and daily-living skills and supports to help students progress toward postsecondary goals.</t>
  </si>
  <si>
    <t>https://sesischools.com/location/high-road-school-of-baltimore-county/</t>
  </si>
  <si>
    <t>Public review feedback is unavailable or too thin to characterize user experiences. Available corroborating signals include an active, detailed location page on the organization’s website and a Google Maps listing that publish program descriptions, a phone number, and structured hours—these support that the site is operational. Because there are no public reviews, recurring strengths or concerns reported by users could not be assessed.</t>
  </si>
  <si>
    <t>155 Grundy St, Baltimore, MD 21224</t>
  </si>
  <si>
    <t>(800) 362-0548</t>
  </si>
  <si>
    <t>Highlandtown Plaza Co-op Apartments</t>
  </si>
  <si>
    <t>Housing is for older adults aged 62 and over; residents are described as co-op member-residents. No other eligibility, application, intake, documentation, or referral requirements are documented in the available sources.</t>
  </si>
  <si>
    <t>Monday: 8 AM to 1 PM; Tuesday: Closed; Wednesday: 8 AM to 2 PM; Thursday: 8 AM to 1 PM; Friday: Closed; Saturday: Closed; Sunday: Closed</t>
  </si>
  <si>
    <t>A cooperatively managed, 74-unit senior apartment community offering independent living for older adults. The listing highlights resident-focused community activities and in-building common spaces typical of a retirement/co-op housing property.</t>
  </si>
  <si>
    <t>https://www.csi.coop/housing/md/baltimore/highlandtown-plaza/default</t>
  </si>
  <si>
    <t>Public Google review text is sparse and provides almost no written details about experiences, so reviewers’ specific praises or complaints cannot be reliably described. The star-level signals include mostly favorable ratings historically but there is a recent negative rating to which the owner responded. The organization’s own website page returned an access barrier (HTTP 403), so descriptive details are primarily drawn from the Google Maps listing.</t>
  </si>
  <si>
    <t>accepted google identity: 14.7/15; review volume: 12.5/30; review consistency: 0.4/7; review freshness: 5.2/8; verified website: 14.7/15; confirmed irs record: 0.0/20; source corroboration: 3.3/5; Synthesis metadata: medium (not part of numeric confidence)</t>
  </si>
  <si>
    <t>531 Stevenson Ln, Towson, MD 21286</t>
  </si>
  <si>
    <t>(410) 823-5310</t>
  </si>
  <si>
    <t>Holly Hill Healthcare Center</t>
  </si>
  <si>
    <t>A skilled nursing facility in Towson that provides short-term recovery and senior rehabilitation as well as long-term care, with on-site skilled nursing and rehabilitation therapies (including physical and occupational therapy).</t>
  </si>
  <si>
    <t>https://www.communicarehealth.com/location/holly-hill-healthcare-center/?utm_source=google&amp;utm_medium=organic&amp;utm_campaign=gbp-holly-hill</t>
  </si>
  <si>
    <t>Google reviewers give mixed feedback. Many recent reviewers praise kind, attentive staff, helpful admissions personnel, and active/cheerful activities staff; recurring positive themes include staff helpfulness and residents being well cared for. Recurring concerns in earlier reviews describe serious issues such as alleged staff mistreatment, facility maintenance problems, and poor communication or billing/administrative handling; the newest reviews trend more positive compared with some of those earlier critical reports.</t>
  </si>
  <si>
    <t>accepted google identity: 14.7/15; review volume: 30.0/30; review consistency: 1.5/7; review freshness: 6.1/8; verified website: 14.7/15; confirmed irs record: 0.0/20; source corroboration: 3.3/5; Synthesis metadata: medium (not part of numeric confidence)</t>
  </si>
  <si>
    <t>5500 Lexington Rd, Gwynn Oak, MD 21207</t>
  </si>
  <si>
    <t>(667) 600-3150</t>
  </si>
  <si>
    <t>Holy Korean Martyrs, a Catholic Charities Senior Community</t>
  </si>
  <si>
    <t>Offers rent-assisted apartments intended for adults 62 and older; the site is described as containing 74 one-bedroom, rent-assisted units. Wheelchair-accessible entrance and wheelchair-accessible parking are noted on the listing.</t>
  </si>
  <si>
    <t>A Catholic Charities senior housing community that provides rent-assisted one-bedroom apartments for older adults, with published office hours and on-site accessibility features.</t>
  </si>
  <si>
    <t>Review feedback was unavailable or too thin to assess resident experiences — the Google Maps listing has a public review but no review text was fetched. The Catholic Charities website and the Google Maps listing consistently describe this location as a senior apartment community offering rent-assisted one-bedroom units and publish hours and accessibility details. Because independent user feedback is minimal, there is limited evidence about day-to-day resident experiences.</t>
  </si>
  <si>
    <t>8222 Brattle Rd, Pikesville, MD 21208</t>
  </si>
  <si>
    <t>(410) 521-1658</t>
  </si>
  <si>
    <t>Homestyle Assisted Living, LLC</t>
  </si>
  <si>
    <t>Listed on Google Maps as an assisted living facility (residential care setting).</t>
  </si>
  <si>
    <t>Public review text is unavailable or too thin: the Google listing shows only star ratings with no written comments, so reviewers' specific experiences cannot be summarized. The listing includes structured hours and accessibility attributes, but the organization’s identity and online presence are unclear because website attribution was rejected and the scraped Google address differs from the source address, creating uncertainty about whether the listing matches the provided record.</t>
  </si>
  <si>
    <t>accepted google identity: 14.2/15; review volume: 8.9/30; review consistency: 7.0/7; review freshness: 1.1/8; verified website: 0.0/15; confirmed irs record: 0.0/20; source corroboration: 1.7/5; Synthesis metadata: insufficient_evidence (not part of numeric confidence)</t>
  </si>
  <si>
    <t>6000 Bellona Ave, Baltimore, MD 21212</t>
  </si>
  <si>
    <t>(410) 323-4223</t>
  </si>
  <si>
    <t>Autumn Lake Healthcare at Homewood Center</t>
  </si>
  <si>
    <t>A nursing home and rehabilitation center providing long-term care, round-the-clock skilled nursing, and sub-acute rehabilitative services with on-site therapy and gym-based rehabilitation programs.</t>
  </si>
  <si>
    <t>https://autumnlakehomewood.com/</t>
  </si>
  <si>
    <t>Google reviewers commonly praise professional, compassionate staff, cleanliness, and effective rehabilitation services; several reviewers describe helpful communication from staff and positive therapy outcomes. Recurring negative comments include isolated reports of poor interactions with particular staff members and occasional concerns about nursing quality. The most recent reviews remain largely positive, and the facility appears to frequently respond to reviewer feedback.</t>
  </si>
  <si>
    <t>accepted google identity: 14.7/15; review volume: 30.0/30; review consistency: 1.6/7; review freshness: 8.0/8; verified website: 14.7/15; confirmed irs record: 0.0/20; source corroboration: 3.3/5; Synthesis metadata: high (not part of numeric confidence)</t>
  </si>
  <si>
    <t>2700 N Charles St, Baltimore, MD 21218</t>
  </si>
  <si>
    <t>(410) 554-6300</t>
  </si>
  <si>
    <t>FutureCare - Homewood</t>
  </si>
  <si>
    <t>To request a tour, complete the facility’s online tour request form. For individual patient inquiries or admissions questions contact the facility directly; non-urgent concerns may be directed to the organization’s Customer Care line and immediate issues can be raised with the Executive Director as noted on the location page.</t>
  </si>
  <si>
    <t>A skilled nursing and short-stay rehabilitation facility offering on-site clinical and rehabilitative care, including inpatient rehabilitation programs, cardiac and orthopedic rehab tracks, a progressive pulmonary/ventilator care unit, and on-site dialysis and related medical services.</t>
  </si>
  <si>
    <t>https://futurecare.com/locations/homewood/</t>
  </si>
  <si>
    <t>Google reviewers commonly praise rehabilitation staff, specific therapists, and social work support, and several recent comments highlight a well-equipped rehab gym and positive therapy outcomes. Recurring negative themes include reports of understaffing, cleanliness concerns, and multiple serious complaints alleging neglect or medical errors; these criticisms appear alongside positive experiences in the same recent timeframe. The business appears to respond routinely to reviews, indicating active engagement with feedback.</t>
  </si>
  <si>
    <t>accepted google identity: 14.7/15; review volume: 30.0/30; review consistency: 0.9/7; review freshness: 6.0/8; verified website: 14.7/15; confirmed irs record: 0.0/20; source corroboration: 3.3/5; Synthesis metadata: high (not part of numeric confidence)</t>
  </si>
  <si>
    <t>814 Eastern Blvd, Essex, MD 21221</t>
  </si>
  <si>
    <t>410-686-8868</t>
  </si>
  <si>
    <t>Hong Lok Adult Medical Day Care</t>
  </si>
  <si>
    <t>A physically located adult day care center listed in Essex; the public listing indicates it operates as an adult day care and notes wheelchair-accessible entrance and parking.</t>
  </si>
  <si>
    <t>No public review text is available for this listing, so reviewer feedback is unavailable or too thin to summarize. The only corroborating public record is a Google Maps listing that includes accessibility features but no phone number or published hours. Attempts to verify an official website for the organization were rejected, limiting corroborating evidence about operations or intake procedures.</t>
  </si>
  <si>
    <t>1726 Whitehead Rd, Woodlawn, MD 21207</t>
  </si>
  <si>
    <t>(410) 265-8737</t>
  </si>
  <si>
    <t>Hope Health Systems Inc</t>
  </si>
  <si>
    <t>Services are described as tailored to children (from age 5) through adults. Appointments are recommended. The website lists acceptance of Maryland Medicaid, Medicare, and multiple commercial plans (several insurers named on the site).</t>
  </si>
  <si>
    <t>Monday: 9 AM to 8:30 PM; Tuesday: 9 AM to 8:30 PM; Wednesday: 9 AM to 8:30 PM; Thursday: 9 AM to 8:30 PM; Friday: 9 AM to 4 PM; Saturday: Closed; Sunday: Closed</t>
  </si>
  <si>
    <t>Provides comprehensive behavioral health care including child and adolescent and adult psychiatry, outpatient therapy for individuals and families, substance-abuse treatment, psychiatric rehabilitation and care coordination, expanded school mental health and case management. The organization also operates an on-site CLIA/CAP‑accredited laboratory offering PCR COVID-19 testing.</t>
  </si>
  <si>
    <t>http://www.hopehealthsystems.com/</t>
  </si>
  <si>
    <t>Google reviewers describe mixed experiences. Positive comments highlight caring, attentive clinicians and, when scheduled, transportation to appointments; several recent reviews specifically recommend clinicians by name. Recurring negative themes include difficulty scheduling, long waits for therapy, poor phone responsiveness, and unreliable transportation. The newest reviews include strong positive endorsements, indicating some recent patients have experienced prompt, attentive care, but overall feedback remains mixed.</t>
  </si>
  <si>
    <t>accepted google identity: 14.2/15; review volume: 24.0/30; review consistency: 0.1/7; review freshness: 5.1/8; verified website: 14.2/15; confirmed irs record: 0.0/20; source corroboration: 3.3/5; Synthesis metadata: medium (not part of numeric confidence)</t>
  </si>
  <si>
    <t>4940 Eastern Ave, Baltimore, MD 21224</t>
  </si>
  <si>
    <t>(410) 550-7044</t>
  </si>
  <si>
    <t>John Hopkins Elderplus</t>
  </si>
  <si>
    <t>Reviewed feedback and the listing indicate the program serves older adults/seniors. No documented eligibility rules, intake steps, referral requirements, required documents, or published hours were found in the available evidence.</t>
  </si>
  <si>
    <t>A wellness program that provides care and support services aimed at older adults; reviewers describe hands-on support for seniors and mention pickup/driver services connected with the program.</t>
  </si>
  <si>
    <t>https://www.hopkinsmedicine.org/johns-hopkins-bayview/medical-services/hopkins-elderplus</t>
  </si>
  <si>
    <t>Google reviewers most frequently praise compassionate, professional, and dedicated staff who provide supportive care to seniors; several recent reviews reiterate this positive tone. Recurring concerns are operational: multiple reviewers complain about drivers or vehicle/pickup safety and parking/loading-zone issues. The newest reviews trend positive, and there is no evidence of owner responses to reviews.</t>
  </si>
  <si>
    <t>accepted google identity: 14.2/15; review volume: 18.7/30; review consistency: 1.8/7; review freshness: 7.3/8; verified website: 14.2/15; confirmed irs record: 0.0/20; source corroboration: 3.3/5; Synthesis metadata: medium (not part of numeric confidence)</t>
  </si>
  <si>
    <t>3 Brett Ct, Essex, MD 21221</t>
  </si>
  <si>
    <t>(410) 687-2828</t>
  </si>
  <si>
    <t>Hopkins Village</t>
  </si>
  <si>
    <t>Described as an affordable residential property; includes ADA-compliant units and onsite management. No intake, eligibility, documentation, referral, or hours details were provided in the available evidence.</t>
  </si>
  <si>
    <t>An affordable apartment building offering one-bedroom residential units with some accessible (ADA-compliant) units, central air, onsite laundry, and onsite management.</t>
  </si>
  <si>
    <t>Public reviews on the Google Maps listing show an inconsistent resident experience: some older comments praise the property’s security and maintenance, while more recent reviews repeatedly report pest problems (mice, roaches), poor cleanliness, and unresolved maintenance concerns. Reviewers’ complaints appear to dominate the newest feedback, and there are no visible owner responses in the fetched review sample.</t>
  </si>
  <si>
    <t>accepted google identity: 14.6/15; review volume: 22.9/30; review consistency: 1.1/7; review freshness: 5.7/8; verified website: 0.0/15; confirmed irs record: 0.0/20; source corroboration: 1.7/5; Synthesis metadata: medium (not part of numeric confidence)</t>
  </si>
  <si>
    <t>3418 Piedmont Ave, Baltimore, MD 21216</t>
  </si>
  <si>
    <t>(443) 762-3211</t>
  </si>
  <si>
    <t>Howell Care Facility</t>
  </si>
  <si>
    <t>A Google Maps listing identifies this location as an assisted-living facility at 3418 Piedmont Ave in Baltimore; the profile shows wheelchair-accessible entrance and parking and lists a contact phone, but no published hours or verified website were available in the scraped data.</t>
  </si>
  <si>
    <t>Public review feedback was unavailable — the Google Maps listing has no published reviews, so user-experience claims cannot be assessed. The listing itself labels the place as an assisted-living facility and records accessibility features and a phone number, but it lacks published opening hours and an attributable website. Because information comes primarily from a single Google Maps profile with no corroborating reviews or a verified website, operational details and eligibility remain limited.</t>
  </si>
  <si>
    <t>940 S Lakewood Ave, Baltimore, MD 21224</t>
  </si>
  <si>
    <t>(410) 276-5114</t>
  </si>
  <si>
    <t>Indecco Senior Apartments</t>
  </si>
  <si>
    <t>A physical apartment building operating at the given address that is listed on Google Maps as Indecco Senior Apartments and appears to offer individual residential units.</t>
  </si>
  <si>
    <t>http://www.thefrenchcompanies.com/indecco</t>
  </si>
  <si>
    <t>Google Maps reviewers give mixed but recent positive feedback: the newest review describes a peaceful one-bedroom apartment and friendly neighbors, while an earlier review is a low-rating entry with no text. Public online corroboration beyond the Google Maps listing is limited and the listed website returns a 404 error, reducing independent verification. Overall, review text is sparse and the sample is small, so user experiences appear to vary but are not extensively documented.</t>
  </si>
  <si>
    <t>accepted google identity: 14.2/15; review volume: 11.3/30; review consistency: 0.0/7; review freshness: 6.3/8; verified website: 14.2/15; confirmed irs record: 0.0/20; source corroboration: 3.3/5; Synthesis metadata: insufficient_evidence (not part of numeric confidence)</t>
  </si>
  <si>
    <t>1320 Windlass Dr, Middle River, MD 21220</t>
  </si>
  <si>
    <t>(410) 918-2139</t>
  </si>
  <si>
    <t>Inspirations Bayside Assisted Living &amp; Memory Care</t>
  </si>
  <si>
    <t>Prospective residents and families are asked to contact the community via the website contact form for inquiries and placement discussions. The facility lists wheelchair-accessible entrance, parking, restrooms, and seating.</t>
  </si>
  <si>
    <t>A residential assisted living and memory care community offering personalized, memory-focused assisted living services including on-site therapy, meals, private studio apartments, and organized social/therapeutic activities.</t>
  </si>
  <si>
    <t>https://inspired-joy.com/</t>
  </si>
  <si>
    <t>Google reviewers consistently praise compassionate, attentive staff, family-focused leadership, and a resident-centered approach that emphasizes meaningful activities and good meals. Multiple recent reviews describe strong memory-care expertise and supportive communication with families; the listing owner has replied to several reviews. Recent review text continues the same positive themes and does not surface recurring complaints in the newest feedback.</t>
  </si>
  <si>
    <t>accepted google identity: 14.1/15; review volume: 25.2/30; review consistency: 7.0/7; review freshness: 8.0/8; verified website: 14.1/15; confirmed irs record: 0.0/20; source corroboration: 3.3/5; Synthesis metadata: high (not part of numeric confidence)</t>
  </si>
  <si>
    <t>1414 Front Ave, Timonium, MD 21093</t>
  </si>
  <si>
    <t>(833) 346-8569</t>
  </si>
  <si>
    <t>Inspirations Memory Care of Lutherville</t>
  </si>
  <si>
    <t>A small, residential assisted-living and memory-care community that provides dementia-focused, person-centered care in a home-like setting, with private studio apartments, on-site dining and culinary services, and organized activities and outings.</t>
  </si>
  <si>
    <t>Google reviewers commonly praise personalized, compassionate dementia care, a small, navigable community atmosphere, and the on-site dining and activities; several reviews specifically note attentive staff and welcoming family involvement. However, there are serious one-star complaints alleging neglect, weight loss, sanitation issues, and pest sightings; the owner responds publicly to reviews and disputes or requests more information about negative claims. The newest reviews in the sample trend positive while the negative reports remain part of the recent feedback, so public commentary is mixed and readers should consider both supportive and critical firsthand accounts.</t>
  </si>
  <si>
    <t>accepted google identity: 13.9/15; review volume: 21.8/30; review consistency: 0.4/7; review freshness: 7.1/8; verified website: 13.9/15; confirmed irs record: 0.0/20; source corroboration: 3.3/5; Synthesis metadata: medium (not part of numeric confidence)</t>
  </si>
  <si>
    <t>2802 Pinewood Ave, Baltimore, MD 21214</t>
  </si>
  <si>
    <t>(410) 254-1010</t>
  </si>
  <si>
    <t>Esther's Place at Pinewood</t>
  </si>
  <si>
    <t>A Google Maps business listing identifies this location as an assisted living facility and notes wheelchair-accessible entrance and parking. No additional verified service details were available from other sources.</t>
  </si>
  <si>
    <t>A public Google Maps listing exists for this address but full review text was not available for summary, so reviewer feedback could not be meaningfully characterized. The listing includes basic details (category, phone presence, and accessibility tags) but we were unable to verify operational or programmatic details via an official website or registry. Corroboration is limited to the single map listing.</t>
  </si>
  <si>
    <t>accepted google identity: 14.2/15; review volume: 10.8/30; review consistency: 0.0/7; review freshness: 0.0/8; verified website: 0.0/15; confirmed irs record: 0.0/20; source corroboration: 1.7/5; Synthesis metadata: insufficient_evidence (not part of numeric confidence)</t>
  </si>
  <si>
    <t>4021 Frederick Ave, Baltimore, MD 21229</t>
  </si>
  <si>
    <t>(410) 644-0589</t>
  </si>
  <si>
    <t>Irvington Place</t>
  </si>
  <si>
    <t>Google Maps indicates a wheelchair-accessible entrance and wheelchair-accessible parking lot. No documented eligibility, intake, referral, or documentation requirements were found.</t>
  </si>
  <si>
    <t>A property-management listing for Irvington Place at the given Baltimore address; the Google Maps entry presents it as a property management / apartment location with a contact phone number and accessibility features but provides minimal service detail on its website.</t>
  </si>
  <si>
    <t>http://thefrenchcompanies.com/?page_id=444</t>
  </si>
  <si>
    <t>Available public review text is sparse and leans negative: the lone recent reviewer accuses staff of abusive behavior toward elderly residents and being rude on the phone. There are very few reviews overall, so user-feedback is thin and not a robust signal. The linked website is a minimal “coming soon” page and did not corroborate service details from the listing, so online corroboration beyond the Google Maps entry is limited.</t>
  </si>
  <si>
    <t>accepted google identity: 14.2/15; review volume: 10.1/30; review consistency: 7.0/7; review freshness: 1.1/8; verified website: 14.2/15; confirmed irs record: 0.0/20; source corroboration: 3.3/5; Synthesis metadata: medium (not part of numeric confidence)</t>
  </si>
  <si>
    <t>601 Aldershot Rd, Baltimore, MD 21229</t>
  </si>
  <si>
    <t>(443) 695-8993</t>
  </si>
  <si>
    <t>J L Care Enterprises Inc</t>
  </si>
  <si>
    <t>Intake is by consultation/booking; the website invites callers to schedule an admission consultation and lists multiple levels of care (Level 1–3) with sample daily rates. No specific eligibility documents or referral requirements are stated on the cited pages.</t>
  </si>
  <si>
    <t>A physical assisted‑living residence that offers residential care for older adults, including private or semi‑private rooms, meals, personal care and assistance with activities of daily living, medication management, nursing/skilled services, housekeeping and laundry, social/recreational activities, transportation, and 24‑hour staffed monitoring.</t>
  </si>
  <si>
    <t>https://www.jlcareenterprise-homeagainii.com/</t>
  </si>
  <si>
    <t>Recent reviewer comments are predominantly positive, praising cleanliness, accommodating and communicative staff, smooth admission experiences, and that residents appear well cared for. There is one older, strongly negative review alleging severe neglect, filth, and pest problems; this contrasts with the newer positive reviews, which are the most recent signals. The facility’s own website corroborates the assisted‑living services and published hours, but a public tax/registry match was not found in the available records.</t>
  </si>
  <si>
    <t>accepted google identity: 14.8/15; review volume: 22.1/30; review consistency: 2.1/7; review freshness: 2.9/8; verified website: 14.8/15; confirmed irs record: 0.0/20; source corroboration: 3.3/5; Synthesis metadata: high (not part of numeric confidence)</t>
  </si>
  <si>
    <t>3605 Sweet Air Rd, Phoenix, MD 21131</t>
  </si>
  <si>
    <t>(410) 887-8208</t>
  </si>
  <si>
    <t>Jacksonville Senior Center</t>
  </si>
  <si>
    <t>Listed on Google Maps as a "Senior citizen center." Structured in-person hours are published; no formal eligibility documentation, intake process, or required referral was found in the available evidence.</t>
  </si>
  <si>
    <t>A locally run senior center providing in-person daytime programming and a place for older adults to gather for social, recreational, and educational activities. Visitors report organized classes and clubs, regular communal lunches, and on-site space for walking and some sports/recreation.</t>
  </si>
  <si>
    <t>https://www.baltimorecountymd.gov/departments/aging/centers/jacksonville/</t>
  </si>
  <si>
    <t>Google reviewers consistently describe friendly, helpful staff and a welcoming, well-organized environment with a variety of classes, social clubs, and regular low-cost lunches. Reviewers also cite useful on-site amenities such as walking space and recreational courts; a small number of reviews give neutral feedback on particular features (for example, playground equipment mentioned by a visitor with a child) but do not indicate systemic problems. The center’s official county webpage could not be fetched (HTTP 403) at the time of evidence collection, and owners do not appear to respond to Google reviews.</t>
  </si>
  <si>
    <t>accepted google identity: 14.2/15; review volume: 30.0/30; review consistency: 4.9/7; review freshness: 7.1/8; verified website: 14.2/15; confirmed irs record: 0.0/20; source corroboration: 3.3/5; Synthesis metadata: high (not part of numeric confidence)</t>
  </si>
  <si>
    <t>5010 York Rd, Baltimore, MD 21212</t>
  </si>
  <si>
    <t>(410) 433-2200</t>
  </si>
  <si>
    <t>Jai Medical Center</t>
  </si>
  <si>
    <t>Accepts Medicaid, Medicare, Blue Cross/Blue Shield, Department of Social Services disability determination vouchers, foster care children, and offers care to uninsured patients on a sliding fee scale. Walk-ins, appointments, and same‑day visits are available; services may vary by location and patients are advised to contact the site to confirm availability. Providers are reported to be available by phone 24 hours a day, 7 days a week. (All items above are supported by the clinic website and Google Maps listing.)</t>
  </si>
  <si>
    <t>A community medical clinic offering primary care for children and adults plus on-site laboratory and imaging (including x‑ray), immunizations and vaccines, routine and DOT physicals, urgent-care style sick visits/same-day appointments, and additional services such as transportation, care management, and some behavioral-health supports (e.g., substance‑use and HIV/AIDS counseling). Services offered can vary by site.</t>
  </si>
  <si>
    <t>http://www.jaimedicalcenter.com/</t>
  </si>
  <si>
    <t>Reviewers most often praise staff as respectful, helpful, and attentive, with several recent comments noting positive experiences with clinicians and radiology staff. Recurring negative themes include long waits, intermittent cleanliness concerns, and occasional reports of rude or dismissive interactions; recent reviews include both positive and negative accounts. The clinic appears responsive to feedback—management frequently replies to reviews—so publicly posted concerns are often acknowledged.</t>
  </si>
  <si>
    <t>accepted google identity: 14.7/15; review volume: 30.0/30; review consistency: 1.3/7; review freshness: 6.9/8; verified website: 14.7/15; confirmed irs record: 0.0/20; source corroboration: 3.3/5; Synthesis metadata: high (not part of numeric confidence)</t>
  </si>
  <si>
    <t>11 Celadon Rd, Owings Mills, MD 21117</t>
  </si>
  <si>
    <t>(410) 653-2700</t>
  </si>
  <si>
    <t>Jemicy School</t>
  </si>
  <si>
    <t>Serves students in grades 1–12 and focuses on learners with dyslexia and related language-based learning differences. (Admissions/intake details, tuition, and documentation requirements were not provided in the available sources.)</t>
  </si>
  <si>
    <t>Monday: 8 AM to 4:30 PM; Tuesday: 8 AM to 4:30 PM; Wednesday: 8 AM to 4:30 PM; Thursday: 8 AM to 4:30 PM; Friday: 8 AM to 2 PM; Saturday: Closed; Sunday: Closed</t>
  </si>
  <si>
    <t>A college-preparatory, coeducational independent school serving grades 1–12 that specializes in educating bright, talented students with dyslexia and related language-based learning differences. The school reports using multisensory, research-based instructional approaches and offers college-preparatory supports and specialized writing instruction.</t>
  </si>
  <si>
    <t>http://www.jemicyschool.org/</t>
  </si>
  <si>
    <t>There are no public reviews available on Google Maps, so reviewer feedback is unavailable or too thin to summarize. Multiple authoritative non-review sources—the organization's official website, a verified Google Maps listing (including structured hours and accessibility details), and an IRS Business Master File record—consistently corroborate the school's identity, stated mission, grade range, and specialization in dyslexia and language-based learning differences.</t>
  </si>
  <si>
    <t>accepted google identity: 14.8/15; review volume: 0.0/30; review consistency: 0.0/7; review freshness: 0.0/8; verified website: 14.8/15; confirmed irs record: 20.0/20; source corroboration: 5.0/5; Synthesis metadata: medium (not part of numeric confidence)</t>
  </si>
  <si>
    <t>(410) 550-0100</t>
  </si>
  <si>
    <t>Johns Hopkins Bayview Medical Center</t>
  </si>
  <si>
    <t>A full-service hospital campus with on-site medical care including an emergency department; listing indicates 24/7 operations and accessibility features for patients.</t>
  </si>
  <si>
    <t>Recent public reviews repeatedly report long emergency-department wait times, communication problems, and several accounts of serious negative patient outcomes; the hospital has replied publicly to multiple complaints acknowledging delays. There are also some positive reports praising staff and particular care experiences, but negative experiences dominate the newest reviews. Review sample is recent and mixed, so user experiences appear variable with consistent concerns about timeliness and communication.</t>
  </si>
  <si>
    <t>accepted google identity: 14.7/15; review volume: 30.0/30; review consistency: 0.4/7; review freshness: 8.0/8; verified website: 0.0/15; confirmed irs record: 0.0/20; source corroboration: 1.7/5; Synthesis metadata: medium (not part of numeric confidence)</t>
  </si>
  <si>
    <t>600 N Wolfe St, Baltimore, MD 21287</t>
  </si>
  <si>
    <t>410-955-5104</t>
  </si>
  <si>
    <t>Meyer Building</t>
  </si>
  <si>
    <t>Wheelchair-accessible entrance and wheelchair-accessible parking. Paid parking is available (paid garage, paid lot, and paid street parking).</t>
  </si>
  <si>
    <t>The Meyer Building is a named building on the Johns Hopkins University School of Medicine campus at 600 N Wolfe St. The Google Maps listing identifies it as an academic-department facility and the listing notes accessible entrances and parking amenities.</t>
  </si>
  <si>
    <t>https://www.jhu.edu/maps-directions/campus-map/</t>
  </si>
  <si>
    <t>Public review text on the Google Maps listing is mixed: some reviewers praise staff and the care they received, while other reviewers report cleanliness and pest concerns and describe unsatisfactory front-desk responsiveness. The most recent review is positive, indicating at least some recent favorable experiences. The listing shows no owner responses to reviews and the listed website page returned a restricted response when fetched, which limits additional online corroboration.</t>
  </si>
  <si>
    <t>accepted google identity: 14.6/15; review volume: 15.9/30; review consistency: 0.7/7; review freshness: 6.2/8; verified website: 14.6/15; confirmed irs record: 20.0/20; source corroboration: 5.0/5; Synthesis metadata: insufficient_evidence (not part of numeric confidence)</t>
  </si>
  <si>
    <t>1 E Mt Vernon Pl, Baltimore, MD 21202</t>
  </si>
  <si>
    <t>(667) 208-6500</t>
  </si>
  <si>
    <t>Peabody Institute of The Johns Hopkins University</t>
  </si>
  <si>
    <t>Library and some spaces are open to the public but upper floors or certain areas may be restricted to faculty, students, or researchers and access can be closed for events or private use. The site is wheelchair accessible (accessible entrance and parking noted). Specific admissions, program enrollment, and research-access permissions are handled by the institute and are not detailed in the available evidence.</t>
  </si>
  <si>
    <t>Monday: 10 AM to 5 PM; Tuesday: 10 AM to 5 PM; Wednesday: 10 AM to 5 PM; Thursday: 10 AM to 7 PM; Friday: Closed; Saturday: Closed; Sunday: 11 AM to 5 PM</t>
  </si>
  <si>
    <t>A university-affiliated conservatory and performing-arts institute that provides music and dance education, hosts performances and events, supports research and community programs in the performing arts, and maintains a library/archival space accessible to visitors.</t>
  </si>
  <si>
    <t>http://www.peabody.jhu.edu/</t>
  </si>
  <si>
    <t>Google Maps reviewers consistently praise the building, campus, and especially the library’s architecture and visitor experience; many recent reviews reiterate that positive theme. Recurring concerns in the review text include restricted access to upper/library floors, occasional closures for events, and occasional complaints about elitist experiences related to admissions or staff interactions. The website corroborates that the institution offers music and dance education, public-facing performances, research, and community programs.</t>
  </si>
  <si>
    <t>accepted google identity: 14.6/15; review volume: 30.0/30; review consistency: 3.2/7; review freshness: 8.0/8; verified website: 14.6/15; confirmed irs record: 0.0/20; source corroboration: 3.3/5; Synthesis metadata: high (not part of numeric confidence)</t>
  </si>
  <si>
    <t>2863 W Cold Spring Ln, Baltimore, MD 21215</t>
  </si>
  <si>
    <t>(443) 885-9507</t>
  </si>
  <si>
    <t>Johnson Foundation Assisted Living</t>
  </si>
  <si>
    <t>A physical facility listed on Google Maps and categorized there as a nursing home/residential care site. The listing shows basic categorization and accessibility details but there are no public reviews and no verified website to corroborate services.</t>
  </si>
  <si>
    <t>Review feedback is unavailable — the Google Maps listing has no public reviews or review text to summarize. The online footprint is minimal: the Maps entry supplies basic categorization and accessibility information, website attribution was rejected, and an IRS/BMF registry match is still queued, so independent corroboration is limited.</t>
  </si>
  <si>
    <t>501 E Preston St, Baltimore, MD 21202</t>
  </si>
  <si>
    <t>(410) 837-3383</t>
  </si>
  <si>
    <t>Johnston Square Apartments</t>
  </si>
  <si>
    <t>Residency is subject to standard rental/property-management eligibility and resident-selection procedures (move-in approvals, documentation, and program compliance as required by management and property owners). Specific income limits, subsidy participation, required documents, and eligibility rules are set by the property owner/manager and must be confirmed with management directly.</t>
  </si>
  <si>
    <t>A physical apartment building at 501 E Preston St in Baltimore listed as Johnston Square Apartments; the property is managed by a property-management firm that provides residential property management and resident services for affordable multifamily housing.</t>
  </si>
  <si>
    <t>http://www.preservationmanagement.com/</t>
  </si>
  <si>
    <t>Public review text is scarce: the available Google reviews in the fetched sample are positive but contain no descriptive feedback, so recurring themes from reviewers are unavailable. The newest reviews are positive in rating only and do not provide details. The property listing is corroborated by an active corporate property-management website that describes property management and resident services.</t>
  </si>
  <si>
    <t>accepted google identity: 14.7/15; review volume: 16.1/30; review consistency: 7.0/7; review freshness: 2.0/8; verified website: 14.7/15; confirmed irs record: 0.0/20; source corroboration: 3.3/5; Synthesis metadata: medium (not part of numeric confidence)</t>
  </si>
  <si>
    <t>6650 Belair Rd, Baltimore, MD 21206</t>
  </si>
  <si>
    <t>(410) 601-3358</t>
  </si>
  <si>
    <t>Joyful Adult Medical Day Care Center</t>
  </si>
  <si>
    <t>Monday: 8 AM to 4 PM; Tuesday: 8 AM to 4 PM; Wednesday: 8 AM to 4 PM; Thursday: 8 AM to 4 PM; Friday: 8 AM to 4 PM; Saturday: 8 AM to 2 PM; Sunday: Closed</t>
  </si>
  <si>
    <t>A physical adult medical day care center providing daytime care and supervised programming for adults in a staffed facility.</t>
  </si>
  <si>
    <t>Google Maps reviewers consistently describe the facility as clean and praise the staff as caring and professional; several reviewers note that family members (parents) enjoy attending. The fetched recent review text is uniformly positive with no recurring complaints in the sampled reviews. However, the visible reviews and listing are the primary corroboration and the most recent feedback is over a year old, and no verified website was found, so independent or more current corroboration is limited.</t>
  </si>
  <si>
    <t>accepted google identity: 14.7/15; review volume: 18.1/30; review consistency: 7.0/7; review freshness: 1.8/8; verified website: 0.0/15; confirmed irs record: 0.0/20; source corroboration: 1.7/5; Synthesis metadata: medium (not part of numeric confidence)</t>
  </si>
  <si>
    <t>11130 Philadelphia Rd, White Marsh, MD 21162</t>
  </si>
  <si>
    <t>(410) 344-0020</t>
  </si>
  <si>
    <t>Joyous Living</t>
  </si>
  <si>
    <t>Pets are permitted with appropriate license and shots. Short-term respite care is available. The facility advertises three levels of care and states residents pay only for services used; special rates are offered for live-in companions (spouse, sibling, adult child). The site states there is no long-term lease. (All access details are from the organization’s website and the Google Maps listing.)</t>
  </si>
  <si>
    <t>24-hour supervision and care</t>
  </si>
  <si>
    <t>Residential assisted-living provider offering on-site, around-the-clock supervision and personalized residential care in a small, home-like setting. The program advertises meal service, housekeeping and laundry, assistance with personal care and medication monitoring, on-site RN management, social and recreational activities, and short-term respite stays. The facility is pet-friendly with accommodations and accessibility features.</t>
  </si>
  <si>
    <t>http://www.joyousassistedliving.org/</t>
  </si>
  <si>
    <t>Recent Google Maps reviews in the fetched sample report management and customer-service problems, with recent reviewers calling out poor treatment and advising caution. Older public ratings include positive entries but lack written detail, so earlier favorable impressions are not well described. The owner or management did not appear to have responded to the recent written complaints in the fetched sample.</t>
  </si>
  <si>
    <t>accepted google identity: 14.8/15; review volume: 16.3/30; review consistency: 0.0/7; review freshness: 7.2/8; verified website: 14.8/15; confirmed irs record: 0.0/20; source corroboration: 3.3/5; Synthesis metadata: medium (not part of numeric confidence)</t>
  </si>
  <si>
    <t>2901 Gibbons Ave, Baltimore, MD 21214</t>
  </si>
  <si>
    <t>(443) 310-0032</t>
  </si>
  <si>
    <t>Julie's Manor</t>
  </si>
  <si>
    <t>A Google Maps listing identifies Julie's Manor as an assisted-living / adult day care residence that presents itself as providing a home-like environment for residents and indicates round-the-clock (24/7) occupancy.</t>
  </si>
  <si>
    <t>Public review feedback is unavailable or too thin to assess client experiences. The listing content is primarily an owner-provided description on Google Maps and includes structured 24/7 hours, but the organization’s website could not be verified and external corroboration is limited. Because of the lack of independent reviews and limited corroborating sources, operational details and service specifics remain insufficiently substantiated.</t>
  </si>
  <si>
    <t>5000 Ready Ave, Baltimore, MD 21212</t>
  </si>
  <si>
    <t>(410) 457-7437</t>
  </si>
  <si>
    <t>K and R's Assisted Living 2 LLC</t>
  </si>
  <si>
    <t>Licensed 6‑bed facility; accepts residents up to a level‑3 care level (per the Google listing).</t>
  </si>
  <si>
    <t>A small, licensed assisted-living and memory-care home in the Govans area providing residential care and daily living support for older adults, including on-site medical oversight and daily meals.</t>
  </si>
  <si>
    <t>Public Google Maps reviews are uniformly positive: reviewers repeatedly praise caring, professional staff, a clean and family‑oriented environment, home‑cooked meals, and active engagement of residents. Several reviewers (including other professionals) note reliable medical appointment management and improvement in residents’ quality of life. Newer reviews continue the same positive themes, and no recurring complaints appear in the fetched review sample.</t>
  </si>
  <si>
    <t>accepted google identity: 14.7/15; review volume: 21.7/30; review consistency: 7.0/7; review freshness: 4.1/8; verified website: 0.0/15; confirmed irs record: 0.0/20; source corroboration: 1.7/5; Synthesis metadata: medium (not part of numeric confidence)</t>
  </si>
  <si>
    <t>4230 Hollins Ferry Rd, Lansdowne, MD 21227</t>
  </si>
  <si>
    <t>(667) 600-3670</t>
  </si>
  <si>
    <t>Kessler Park</t>
  </si>
  <si>
    <t>Advertised for adults 62 and older seeking affordable senior housing; the community is described as offering 64 apartments (efficiency, one- and two-bedroom) and rents are described as affordable. No documented intake steps, required documents, referral process, or detailed eligibility screening information was provided in the cited sources.</t>
  </si>
  <si>
    <t>Kessler Park is a senior apartment community that provides affordable studio (efficiency), one-bedroom, and two-bedroom apartments for older adults. The site is presented as a managed senior housing community with on-site accessibility features and typical community supports.</t>
  </si>
  <si>
    <t>Reviewer text on the Google listing is uniformly positive, with commenters praising the staff, cleanliness, and suitability of the community for seniors; several reviews explicitly note a pleasant, professional staff and a smoke-free environment. There are no recurring negative themes in the visible review text, and the most recent reviews continue the positive tone. The organization’s official site lists Kessler Park among its senior communities, which corroborates the listing details.</t>
  </si>
  <si>
    <t>accepted google identity: 14.8/15; review volume: 18.5/30; review consistency: 7.0/7; review freshness: 6.8/8; verified website: 14.8/15; confirmed irs record: 0.0/20; source corroboration: 3.3/5; Synthesis metadata: high (not part of numeric confidence)</t>
  </si>
  <si>
    <t>700 W 40th St, Baltimore, MD 21211</t>
  </si>
  <si>
    <t>(410) 235-8860</t>
  </si>
  <si>
    <t>Keswick Multi-Care Center</t>
  </si>
  <si>
    <t>Website invites prospective residents and families to contact Keswick to request information, schedule a personal tour, or complete an online intake/interest form. The Cognitive &amp; Caregiver Resource Center is described as a small-group day program for individuals living with cognitive changes; the Wise &amp; Well Center is described for people ages 50+. (See evidence sources for details.)</t>
  </si>
  <si>
    <t>Keswick Multi-Care Center is a campus-based provider serving older adults that operates long-term care and on-site nursing/medical services, runs a post-acute rehabilitation program, and offers community-focused wellness and cognitive support programs for older adults and their caregivers.</t>
  </si>
  <si>
    <t>https://choosekeswick.org/</t>
  </si>
  <si>
    <t>Google reviewers report a mix of positive and negative experiences. Common positive themes include a clean facility environment, compassionate and helpful staff (with multiple mentions of a consistently praised manager), strong rehabilitation outcomes from PT/OT, and supportive ancillary services like food/chef accommodations. Recurring concerns focus on variable nursing responsiveness, inconsistent communication from clinical staff or physicians, and occasional instances where calls were not promptly answered or medical follow‑through was lacking. The newest reviews continue to reflect this mixed pattern, with recent praise for staff and cleanliness alongside some reports of service variability.</t>
  </si>
  <si>
    <t>accepted google identity: 14.4/15; review volume: 30.0/30; review consistency: 0.8/7; review freshness: 7.6/8; verified website: 14.4/15; confirmed irs record: 20.0/20; source corroboration: 5.0/5; Synthesis metadata: high (not part of numeric confidence)</t>
  </si>
  <si>
    <t>500 Rolling Rd., Catonsville, MD 21228</t>
  </si>
  <si>
    <t>(410) 788-0300</t>
  </si>
  <si>
    <t>Key Point Health Services</t>
  </si>
  <si>
    <t>Serves children, teens, and adults in Anne Arundel County, Baltimore City, Baltimore County, Cecil County, and Harford County. Appointments are recommended.</t>
  </si>
  <si>
    <t>Monday: 8:30 AM to 5 PM; Tuesday: 8:30 AM to 7 PM; Wednesday: 8:30 AM to 5 PM; Thursday: 8:30 AM to 5 PM; Friday: 8:30 AM to 5 PM; Saturday: Closed; Sunday: Closed</t>
  </si>
  <si>
    <t>A behavioral health provider offering outpatient counseling, medication management, psychiatric rehabilitation programs, and related community-based behavioral health services for children, adolescents, and adults.</t>
  </si>
  <si>
    <t>http://www.keypoint.org/</t>
  </si>
  <si>
    <t>Google Maps reviewers report inconsistent experiences: several reviewers praise particular clinicians and long‑term support, but multiple recent reports describe poor communication, unprofessional interactions, and administrative failures such as delayed release of medical records that affected continuity of care. The most recent reviews continue to emphasize administrative and responsiveness problems rather than improvement. There are no visible owner responses in the review sample.</t>
  </si>
  <si>
    <t>accepted google identity: 14.8/15; review volume: 21.3/30; review consistency: 1.6/7; review freshness: 6.6/8; verified website: 14.8/15; confirmed irs record: 0.0/20; source corroboration: 3.3/5; Synthesis metadata: medium (not part of numeric confidence)</t>
  </si>
  <si>
    <t>4204 Old Milford Mill Rd, Pikesville, MD 21208</t>
  </si>
  <si>
    <t>(410) 486-1500</t>
  </si>
  <si>
    <t>King David Nursing and Rehabilitation Center</t>
  </si>
  <si>
    <t>A physical nursing and rehabilitation facility providing sub-acute rehabilitation and long-term skilled nursing care, with on-site rehabilitative therapy and a multidisciplinary clinical team.</t>
  </si>
  <si>
    <t>http://kingdavidrehab.com/</t>
  </si>
  <si>
    <t>Google Maps reviewers commonly praise the facility’s rehabilitation programs, therapists, and staff for helping residents regain function and for a supportive therapy environment. However, there are several detailed negative reports describing serious concerns such as medication delays, communication problems, privacy and hygiene issues, and alleged neglect in individual cases. Owner responses to reviews are frequent, and recent reviews remain mixed rather than uniformly positive.</t>
  </si>
  <si>
    <t>accepted google identity: 14.3/15; review volume: 30.0/30; review consistency: 1.1/7; review freshness: 8.0/8; verified website: 14.3/15; confirmed irs record: 0.0/20; source corroboration: 3.3/5; Synthesis metadata: high (not part of numeric confidence)</t>
  </si>
  <si>
    <t>529 Old Town Mall, Baltimore, MD 21202</t>
  </si>
  <si>
    <t>(443) 793-8485</t>
  </si>
  <si>
    <t>Kingdom Elements AMDC</t>
  </si>
  <si>
    <t>Enrollment requires completing application and referral forms and arranging a clinical referral or hospital referral; the website directs callers to contact Maryland Access Point for a Level One screening and an Adult Daycare Assessment and notes an in‑home assessment by Baltimore City Department of Aging assessors is required. The center accepts private pay, Medical Assistance, Veterans Administration benefits, senior care funding, and some private insurance. Hospital or clinical referrals can be submitted via the site’s electronic referral form; staff follow up after forms are submitted.</t>
  </si>
  <si>
    <t>Monday: 9 AM to 2 PM; Tuesday: 9 AM to 2 PM; Wednesday: 9 AM to 3 PM; Thursday: 9 AM to 2 PM; Friday: 9 AM to 2 PM; Saturday: Closed; Sunday: Closed</t>
  </si>
  <si>
    <t>Provides adult medical day care and related supports for adults and seniors with medical needs, including on-site nursing-level assistance, medication management and coordinated care with physicians; the program offers structured cognitive and physical activities and also provides enrollment and housing-placement/case-management assistance.</t>
  </si>
  <si>
    <t>https://www.kingdomelementsadultday.com/contact</t>
  </si>
  <si>
    <t>Google reviewers are mixed: several recent reviewers praise the staff, the social activities, and large community outreach events, while other reviewers report confrontational or rude interactions with management that made them discourage others from using the service. The newest reviews include both positive accounts of programming and at least one strong complaint about staff conduct, so feedback remains divided. There are no visible owner responses to reviews in the sample.</t>
  </si>
  <si>
    <t>accepted google identity: 14.2/15; review volume: 16.8/30; review consistency: 0.1/7; review freshness: 6.6/8; verified website: 14.2/15; confirmed irs record: 0.0/20; source corroboration: 3.3/5; Synthesis metadata: high (not part of numeric confidence)</t>
  </si>
  <si>
    <t>6401 Loch Raven Blvd, Baltimore, MD 21239</t>
  </si>
  <si>
    <t>410-323-8910</t>
  </si>
  <si>
    <t>Kirkwood house apartments</t>
  </si>
  <si>
    <t>Google Maps indicates a wheelchair-accessible parking lot. The Google Maps entry has no phone number and does not list business hours.</t>
  </si>
  <si>
    <t>A physical apartment complex / residential housing property located at the supplied address.</t>
  </si>
  <si>
    <t>No public Google Maps reviews or review text are available, so reviewer feedback is unavailable. Corroborating information is limited to the Google Maps listing, which identifies the location as an apartment complex and notes wheelchair-accessible parking; there is no verified website and registry matching is inconclusive, so independent confirmation is limited.</t>
  </si>
  <si>
    <t>1401 N Lakewood Ave, Baltimore, MD 21213</t>
  </si>
  <si>
    <t>(443) 347-6474</t>
  </si>
  <si>
    <t>Lakewood Apartments</t>
  </si>
  <si>
    <t>The property’s website states the leasing office is open and requests that prospective residents schedule appointments by phone, email, or the site’s tour-scheduling feature; current residents are directed to use a Resident Portal scheduler. County mask rules are noted as required in the office and public community spaces. Rents shown on the site are described as base rent and may exclude additional mandatory or voluntary fees; prospective renters are asked to contact the community for more information.</t>
  </si>
  <si>
    <t>A residential apartment community offering rental units (studios, one- and two-bedroom apartments) with an on-site leasing office that schedules tours and processes rental inquiries.</t>
  </si>
  <si>
    <t>https://www.lakewoodapthomes.com/?utm_knock=g</t>
  </si>
  <si>
    <t>Written Google review text is too sparse to identify recurring service themes; the fetched review sample contains brief star ratings without descriptive comments, so reviewer experiences are not well documented. The listing is corroborated by an active official website and a Google Maps listing, but public review feedback is limited and dated, so user-experience claims cannot be strongly generalized.</t>
  </si>
  <si>
    <t>accepted google identity: 14.7/15; review volume: 13.9/30; review consistency: 5.2/7; review freshness: 1.8/8; verified website: 14.7/15; confirmed irs record: 0.0/20; source corroboration: 3.3/5; Synthesis metadata: medium (not part of numeric confidence)</t>
  </si>
  <si>
    <t>603 S Ann St, Baltimore, MD 21231</t>
  </si>
  <si>
    <t>(410) 342-7200</t>
  </si>
  <si>
    <t>Lemko House</t>
  </si>
  <si>
    <t>Website states the property serves senior citizens and persons with disabilities and is federally‑aided; units are income‑based (rent commonly tied to percent of adjusted gross income) and many apartments use waiting lists—interested applicants are instructed to call the property for openings and eligibility details.</t>
  </si>
  <si>
    <t>A federally‑aided apartment complex providing low‑income housing targeted to senior citizens and people with disabilities; the property offers one‑bedroom apartments and efficiencies plus resident social/cultural programming and on‑site nondenominational religious services.</t>
  </si>
  <si>
    <t>https://www.lowincomehousing.us/det/21231_lemko-community</t>
  </si>
  <si>
    <t>Google review text is mixed: several reviewers praise the building’s cleanliness, management, and staff attentiveness (including staff checking on residents), while at least one reviewer reported a severe bed‑bug problem. The newest available review is positive and echoes themes of staff support, which aligns with other positive comments, but the presence of a serious complaint tempers the overall picture. Owner responses are not present in the available review sample.</t>
  </si>
  <si>
    <t>accepted google identity: 14.2/15; review volume: 13.5/30; review consistency: 0.4/7; review freshness: 7.1/8; verified website: 14.2/15; confirmed irs record: 20.0/20; source corroboration: 5.0/5; Synthesis metadata: high (not part of numeric confidence)</t>
  </si>
  <si>
    <t>2434 W Belvedere Ave, Baltimore, MD 21215</t>
  </si>
  <si>
    <t>(410) 601-2400</t>
  </si>
  <si>
    <t>Levindale Hebrew and Geriatric Center</t>
  </si>
  <si>
    <t>Facility operates as an on-site, physical campus and accepts referrals/intake for skilled and long-term geriatric care. Multiple reviewers reported that visitors were required to present/scan a driver’s license at check-in and described variable visitation access (including restrictions reported during the COVID period).</t>
  </si>
  <si>
    <t>Levindale Hebrew and Geriatric Center is a physical hospital and long-term care campus providing geriatric-focused clinical and residential care. The facility advertises skilled long-term and respite care, dementia-specific programs, respiratory support, comfort/hospice services, and on-site rehabilitation/therapy for older or frail patients.</t>
  </si>
  <si>
    <t>https://www.lifebridgehealth.org/locations/levindale</t>
  </si>
  <si>
    <t>Google reviewers report a mix of strong, positive experiences—noting competent clinicians, helpful therapists, and instances of responsive, high-quality care—alongside frequent, detailed complaints about inconsistent management, staffing shortages, communication breakdowns, and care problems such as pressure sores, medication/dignity concerns, and long delays answering call bells. Several recent reviews are strongly positive, indicating that public feedback is mixed and may be trending more positive in the newest comments, but negative reports about leadership and staffing remain recurrent.</t>
  </si>
  <si>
    <t>accepted google identity: 14.7/15; review volume: 30.0/30; review consistency: 0.1/7; review freshness: 7.4/8; verified website: 14.7/15; confirmed irs record: 20.0/20; source corroboration: 5.0/5; Synthesis metadata: high (not part of numeric confidence)</t>
  </si>
  <si>
    <t>3000 Towanda Ave Unit 424, Baltimore, MD 21215</t>
  </si>
  <si>
    <t>(410) 523-1113</t>
  </si>
  <si>
    <t>Bon Secours Liberty Village</t>
  </si>
  <si>
    <t>Eligibility stated for independent living: seniors 62 and over and people with disabilities 55 and over. No other intake, referral, or documentation requirements were specified in the available sources.</t>
  </si>
  <si>
    <t>An independent-living apartment community for older adults and people with disabilities operated as part of Bon Secours’ Baltimore affordable housing portfolio. The location provides senior housing units and on-site apartment amenities, and the Google listing also notes accessible entrances and restrooms.</t>
  </si>
  <si>
    <t>https://www.bonsecours.com/locations/community-services/baltimore/bon-secours-liberty-village</t>
  </si>
  <si>
    <t>Google reviewers frequently mention a close-knit community and staff who interact with residents, and several reviews describe the site as a caring and safe environment. Reported negatives in the review sample include noise issues in some units and mixed interpersonal experiences among residents. The facility’s official Bon Secours webpage corroborates that this site is an independent-living senior housing location, and the recent reviews are mixed but generally consistent with past feedback.</t>
  </si>
  <si>
    <t>accepted google identity: 14.2/15; review volume: 27.6/30; review consistency: 2.4/7; review freshness: 5.1/8; verified website: 14.2/15; confirmed irs record: 0.0/20; source corroboration: 3.3/5; Synthesis metadata: high (not part of numeric confidence)</t>
  </si>
  <si>
    <t>3601 Eastern Ave, Baltimore, MD 21224</t>
  </si>
  <si>
    <t>(410) 396-1580</t>
  </si>
  <si>
    <t>Enoch Pratt Free Library - Southeast Anchor Branch</t>
  </si>
  <si>
    <t>Meeting rooms can be reserved through the library's location page. Programming and services (for example, storytime and computer classes) are offered to the public; some services require scheduling or appointments (e.g., 'Book a Librarian'). The community market is described as stocked with free food and household goods for community members who need them. ADA‑accessible parking and nearby public transit options are noted on the location page.</t>
  </si>
  <si>
    <t>A public branch of the Enoch Pratt Free Library serving the Highlandtown/Canton area that provides typical library services such as in‑building public internet access and Wi‑Fi, public computers, circulating collections (including Spanish language materials), printing/photocopying, children and teen collections and programs, job and career assistance, meeting room reservations, and community programs. The site also describes a community market stocked with free food and household goods for local residents in need.</t>
  </si>
  <si>
    <t>https://www.prattlibrary.org/locations/southeast-anchor</t>
  </si>
  <si>
    <t>Public Google Maps reviews consistently praise helpful staff and the library's programs (including family and children’s offerings). Recurring concerns from reviewers mention cleanliness (particularly bathrooms) and that the branch is not always a quiet place for study. The most recent reviews remain largely positive, indicating these themes persist in current patron feedback.</t>
  </si>
  <si>
    <t>accepted google identity: 14.7/15; review volume: 30.0/30; review consistency: 2.8/7; review freshness: 8.0/8; verified website: 14.7/15; confirmed irs record: 0.0/20; source corroboration: 3.3/5; Synthesis metadata: high (not part of numeric confidence)</t>
  </si>
  <si>
    <t>2200 Pleasant Villa Ave, Catonsville, MD 21228</t>
  </si>
  <si>
    <t>(443) 673-4358</t>
  </si>
  <si>
    <t>LifeSpring Assisted Living</t>
  </si>
  <si>
    <t>Contact required to schedule a tour or inquire about admissions; the provider says they speak with families prior to move-in to determine the appropriate level of assistance. The website invites calls/emails for pricing and availability and notes Saturday and Sunday are by appointment; Google Maps listing provides a separate set of published daily hours (see service_days). Wheelchair-accessible entrance and parking are indicated on the Google Maps listing.</t>
  </si>
  <si>
    <t>A residential assisted-living home in Catonsville that provides personalized daily living assistance for older adults, with private and semi-private rooms, on-site meals, activities and social programming, medication management, arranged transportation, short-term/respite stays, and 24/7 nursing coverage on call.</t>
  </si>
  <si>
    <t>https://www.lifespringassistedliving.com/</t>
  </si>
  <si>
    <t>Available public review text from the Google Maps listing is uniformly positive: a recent reviewer praised attentive, compassionate staff, a homelike atmosphere, engaging activities, and peaceful grounds. No recurring negative themes appear in the fetched review sample. However, review feedback is limited in volume, so conclusions about consistency and breadth of experience should be made cautiously.</t>
  </si>
  <si>
    <t>accepted google identity: 13.7/15; review volume: 7.3/30; review consistency: 7.0/7; review freshness: 2.4/8; verified website: 13.7/15; confirmed irs record: 0.0/20; source corroboration: 3.3/5; Synthesis metadata: medium (not part of numeric confidence)</t>
  </si>
  <si>
    <t>30 New Plant Ct, Owings Mills, MD 21117</t>
  </si>
  <si>
    <t>(443) 914-2161</t>
  </si>
  <si>
    <t>Lifeway Adult Medical Day Center</t>
  </si>
  <si>
    <t>A physical adult day care center that provides day-time care services at an on-site facility. The Google Maps listing also identifies a wheelchair-accessible entrance and wheelchair-accessible parking.</t>
  </si>
  <si>
    <t>Review text was unavailable or too thin to summarize reviewer experiences. The Google Maps listing exists and presents the location as an operational adult day care center and includes a phone number and accessibility details, but no website content could be verified. Because there are no review texts to evaluate and the site attribution was rejected, independent corroborating information is limited.</t>
  </si>
  <si>
    <t>accepted google identity: 14.7/15; review volume: 7.7/30; review consistency: 0.0/7; review freshness: 0.0/8; verified website: 0.0/15; confirmed irs record: 0.0/20; source corroboration: 1.7/5; Synthesis metadata: insufficient_evidence (not part of numeric confidence)</t>
  </si>
  <si>
    <t>1251 Light St, Baltimore, MD 21230</t>
  </si>
  <si>
    <t>(410) 396-1096</t>
  </si>
  <si>
    <t>Enoch Pratt Free Library - Light Street Branch</t>
  </si>
  <si>
    <t>ADA-accessible entrance and at least one ADA-accessible parking spot are available. Meeting rooms can be reserved at this location (reservation required). Book-a-Librarian appointments (free 60-minute sessions) are offered in person, by phone, or by video chat. The site posts holidays and early-closure dates that may affect availability.</t>
  </si>
  <si>
    <t>A public branch of the Enoch Pratt Free Library serving South Baltimore. The location provides library services including public computers and free Wi‑Fi, photocopying/printing, children and teen sections, job and career assistance, programs and events for all ages, and meeting-room reservations.</t>
  </si>
  <si>
    <t>https://www.prattlibrary.org/locations/light-street</t>
  </si>
  <si>
    <t>User reviews consistently praise friendly, helpful staff, a pleasant environment, and active programming with a community and youth focus. Some reviewers report occasional operational issues, most notably complaints about computers being shut down or services ending before posted closing times. The most recent reviews remain largely positive, and the branch’s official website and an IRS BMF filing corroborate the location’s active, established status.</t>
  </si>
  <si>
    <t>accepted google identity: 14.6/15; review volume: 30.0/30; review consistency: 2.7/7; review freshness: 7.8/8; verified website: 14.6/15; confirmed irs record: 20.0/20; source corroboration: 5.0/5; Synthesis metadata: high (not part of numeric confidence)</t>
  </si>
  <si>
    <t>1813 Old Eastern Ave, Essex, MD 21221</t>
  </si>
  <si>
    <t>(410) 505-7529</t>
  </si>
  <si>
    <t>Lighthouse Senior Living at Hopkins Creek</t>
  </si>
  <si>
    <t>Service is offered to older adults/seniors and includes assisted living and memory care; no documented intake steps, referral process, eligibility criteria, or required documents were found on the available website or listing pages.</t>
  </si>
  <si>
    <t>A senior living community that provides residential assisted living and memory care along with on-site meals, activities and social programming, housekeeping, and transportation for residents.</t>
  </si>
  <si>
    <t>https://lighthousehopkinscreek.com/</t>
  </si>
  <si>
    <t>Google reviewers commonly praise friendly, caring staff, cleanliness, and on-site activities. Recurring concerns in the review text include reports of poor communication and a detailed complaint about a traumatic memory-care incident and limited activity engagement for some memory-care residents. The most recent reviews remain mixed, with both high-praise and critical accounts appearing in the latest sample.</t>
  </si>
  <si>
    <t>accepted google identity: 14.7/15; review volume: 30.0/30; review consistency: 1.8/7; review freshness: 3.9/8; verified website: 14.7/15; confirmed irs record: 0.0/20; source corroboration: 3.3/5; Synthesis metadata: high (not part of numeric confidence)</t>
  </si>
  <si>
    <t>301 McMechen St, Baltimore, MD 21217</t>
  </si>
  <si>
    <t>(410) 523-0013</t>
  </si>
  <si>
    <t>Linden Park Apartments in Bolton Hill (Seniors 62+)</t>
  </si>
  <si>
    <t>Income limits apply; age 62+ required.</t>
  </si>
  <si>
    <t>Linden Park Apartments is a senior-oriented rental housing community in Baltimore that offers studio, one- and two-bedroom apartments for residents aged 62 and older. The community is professionally managed by Habitat America, LLC, and the listing notes income limits apply.</t>
  </si>
  <si>
    <t>http://www.seniorlivingbaltimoremd.com/</t>
  </si>
  <si>
    <t>Google Maps listing shows Linden Park as a senior housing community with income limits and accessible features, and the site indicates management by Habitat America with options for studio to two-bedroom units. Review text from Google is sparse but shows engagement from management in responses to residents, and there is a mix of brief positive and negative entries in the most recent posts. The newest reviews reflect ongoing management interaction and do not indicate a clear, consistent shift in resident experience; overall, the reliability signal is moderate due to limited substantive review content.</t>
  </si>
  <si>
    <t>accepted google identity: 14.7/15; review volume: 21.4/30; review consistency: 1.8/7; review freshness: 7.5/8; verified website: 14.7/15; confirmed irs record: 0.0/20; source corroboration: 3.3/5; Synthesis metadata: medium (not part of numeric confidence)</t>
  </si>
  <si>
    <t>601 Maiden Choice Ln, Catonsville, MD 21228</t>
  </si>
  <si>
    <t>(410) 744-9367</t>
  </si>
  <si>
    <t>Little Sisters of the Poor, St. Martin's Home</t>
  </si>
  <si>
    <t>St. Martin's Home provides housing with ongoing care in a home-like, non-institutional setting in Catonsville, offering a continuum of care rather than a traditional institutional nursing home.</t>
  </si>
  <si>
    <t>http://www.littlesistersofthepoorbaltimore.org/</t>
  </si>
  <si>
    <t>Reviews consistently describe friendly, caring staff and a clean, home-like environment with positive resident care. The newest reviews (through 2026) continue to reflect satisfaction and a peaceful atmosphere, with no recurring concerns evident in the available sample. Registry data indicates the organization is actively operating, which supports the credibility of the listing.</t>
  </si>
  <si>
    <t>accepted google identity: 14.3/15; review volume: 22.0/30; review consistency: 7.0/7; review freshness: 6.8/8; verified website: 14.3/15; confirmed irs record: 20.0/20; source corroboration: 5.0/5; Synthesis metadata: high (not part of numeric confidence)</t>
  </si>
  <si>
    <t>12230 Roundwood Rd, Timonium, MD 21093</t>
  </si>
  <si>
    <t>(410) 252-0880</t>
  </si>
  <si>
    <t>Lorien Mays Chapel</t>
  </si>
  <si>
    <t>Lorien Mays Chapel is a 93-bed skilled nursing and rehabilitation facility in Timonium, MD offering short-term and long-term nursing care, sub-acute rehabilitation, on-site physical, occupational, and speech therapy, hospice services, and Korean Senior Care, with 24-hour nursing coverage.</t>
  </si>
  <si>
    <t>https://www.lorienhealth.com/locations/mays-chapel?utm_source=gmb&amp;utm_medium=organic&amp;utm_campaign=mays-chapel</t>
  </si>
  <si>
    <t>Reviews for Lorien Mays Chapel show a generally positive experience. Recurring themes include attentive and compassionate staff, cleanliness, and effective rehabilitation and nursing care; reviewers frequently mention the quality of therapy teams and the responsiveness of staff. A few comments note variability when agency staff are involved, but the most recent reviews continue to reflect positive experiences and satisfaction with care.</t>
  </si>
  <si>
    <t>accepted google identity: 14.8/15; review volume: 30.0/30; review consistency: 2.3/7; review freshness: 7.6/8; verified website: 14.8/15; confirmed irs record: 0.0/20; source corroboration: 3.3/5; Synthesis metadata: high (not part of numeric confidence)</t>
  </si>
  <si>
    <t>3231 Glendale Ave, Baltimore, MD 21234</t>
  </si>
  <si>
    <t>(443) 438-5482</t>
  </si>
  <si>
    <t>Luxe Home Care LLC</t>
  </si>
  <si>
    <t>Monday: 8 AM to 7 PM; Tuesday: 8 AM to 7 PM; Wednesday: 8 AM to 7 PM; Thursday: 8 AM to 7 PM; Friday: 8 AM to 7 PM; Saturday: 8 AM to 7 PM; Sunday: 8 AM to 7 PM</t>
  </si>
  <si>
    <t>Luxe Home Care LLC operates an assisted living facility at 3231 Glendale Avenue, Parkville, MD 21234, offering senior housing with around-the-clock staff, medication assistance, meals, activities, and transportation to appointments. The organization presents itself as a caring, home-like facility with 24-hour staffing and structured daily routines designed for residents who need ongoing support.</t>
  </si>
  <si>
    <t>http://www.luxehomeparkville.com/</t>
  </si>
  <si>
    <t>Reviews consistently describe Luxe Home Care LLC as a caring, well-run assisted living setting where staff are responsive and resident-focused. Reviewers highlight good communication with families, a home-like atmosphere, and reliable meals and activities. The newest available reviews are from mid-2024 and generally align with earlier praise, with no clear signals of new concerns in the sample.</t>
  </si>
  <si>
    <t>accepted google identity: 14.7/15; review volume: 13.7/30; review consistency: 7.0/7; review freshness: 1.7/8; verified website: 14.7/15; confirmed irs record: 0.0/20; source corroboration: 3.3/5; Synthesis metadata: high (not part of numeric confidence)</t>
  </si>
  <si>
    <t>3617 Seven Mile Ln, Pikesville, MD 21208</t>
  </si>
  <si>
    <t>(410) 358-6461</t>
  </si>
  <si>
    <t>L'Chaim Day Program</t>
  </si>
  <si>
    <t>Eligibility: accepts long-term care insurance and private pay; transportation provided via wheelchair-accessible van.</t>
  </si>
  <si>
    <t>L’Chaim Day Program is a licensed adult day center that provides medical care, daytime activities, and a warm, home-like environment for seniors and disabled adults, with pickup service and wheelchair-accessible transportation.</t>
  </si>
  <si>
    <t>http://www.lchaimdayprogram.com/</t>
  </si>
  <si>
    <t>Reviews for L’Chaim Day Program are highly positive and consistently describe staff as warm and caring, with engaging activities and a welcoming environment. The newest public reviews (from 2025) continue to echo satisfaction, including remarks about social opportunities and reliable transportation, with no recurring negative themes in the available sample.</t>
  </si>
  <si>
    <t>accepted google identity: 14.8/15; review volume: 26.6/30; review consistency: 7.0/7; review freshness: 3.2/8; verified website: 14.8/15; confirmed irs record: 0.0/20; source corroboration: 3.3/5; Synthesis metadata: high (not part of numeric confidence)</t>
  </si>
  <si>
    <t>4205 Liberty Heights Ave, Gwynn Oak, MD 21207</t>
  </si>
  <si>
    <t>(443) 561-7447</t>
  </si>
  <si>
    <t>Mabel's House Assisted Living</t>
  </si>
  <si>
    <t>Mabel's House Assisted Living is a nurse-owned residential care facility offering around-the-clock support, safety, and personalized care for older adults, along with life enrichment programs and development activities to keep residents engaged.</t>
  </si>
  <si>
    <t>https://mabelshousealf.com/</t>
  </si>
  <si>
    <t>Reviews for Mabel's House Assisted Living depict a consistently positive experience among residents and families, with reviewers noting compassionate, attentive staff and a home-like atmosphere. Newer feedback reinforces the message that residents receive individualized care and engaging activities, and there are no published owner responses to address concerns. Overall, the available review text supports a favorable perception, though the small sample size means this picture may not capture all experiences.</t>
  </si>
  <si>
    <t>accepted google identity: 14.2/15; review volume: 19.9/30; review consistency: 7.0/7; review freshness: 2.8/8; verified website: 14.2/15; confirmed irs record: 0.0/20; source corroboration: 3.3/5; Synthesis metadata: high (not part of numeric confidence)</t>
  </si>
  <si>
    <t>37 Main St, Reisterstown, MD 21136</t>
  </si>
  <si>
    <t>(410) 526-7882</t>
  </si>
  <si>
    <t>Main Street Mobile Treatment and Main Street Community Mental Health Center</t>
  </si>
  <si>
    <t>Appointments recommended</t>
  </si>
  <si>
    <t>A local mental health clinic offering outpatient behavioral health services at a physical location in Reisterstown, Maryland (in-person treatment options, including therapy/counseling).</t>
  </si>
  <si>
    <t>http://mainstreetmentalhealthinc.org/</t>
  </si>
  <si>
    <t>Reviews show a small, mixed set. One recent 1-star review describes patient abandonment, another 1-star post critiques diversity, and a 5-star review praises clinicians and staff. The newest feedback is negative, while earlier positive notes about attentive providers persist, indicating varied experiences.</t>
  </si>
  <si>
    <t>accepted google identity: 14.2/15; review volume: 17.3/30; review consistency: 0.4/7; review freshness: 2.4/8; verified website: 14.2/15; confirmed irs record: 0.0/20; source corroboration: 3.3/5; Synthesis metadata: medium (not part of numeric confidence)</t>
  </si>
  <si>
    <t>4511 Maine Ave, Baltimore, MD 21207</t>
  </si>
  <si>
    <t>(410) 601-3500</t>
  </si>
  <si>
    <t>Maine Manor Assisted Living</t>
  </si>
  <si>
    <t>Maine Manor is listed as an assisted living facility in Baltimore, MD.</t>
  </si>
  <si>
    <t>Google Maps shows Maine Manor with user reviews; however, the data provides little detail about reviewer experiences, so it is hard to extract common themes. The listing currently indicates the business is temporarily closed, which affects access to services.</t>
  </si>
  <si>
    <t>accepted google identity: 13.9/15; review volume: 6.1/30; review consistency: 0.0/7; review freshness: 0.0/8; verified website: 0.0/15; confirmed irs record: 0.0/20; source corroboration: 1.7/5; Synthesis metadata: low (not part of numeric confidence)</t>
  </si>
  <si>
    <t>1701 Eutaw Pl Apt 133, Baltimore, MD 21217</t>
  </si>
  <si>
    <t>(410) 669-3005</t>
  </si>
  <si>
    <t>Marlborough Apartments</t>
  </si>
  <si>
    <t>Section 8 rental assistance; federally subsidized housing; on-site staff; 24-hour maintenance.</t>
  </si>
  <si>
    <t>Marlborough Apartments is a federally subsidized, low-income housing community in Baltimore offering Section 8 rental assistance, on-site management, and 24-hour maintenance with on-site staff to assist residents.</t>
  </si>
  <si>
    <t>https://st-residential.com/marlborough-apartments</t>
  </si>
  <si>
    <t>Reviews show mixed experiences. Some residents praise the on-site staff and convenient location, while a 2025 review notes slow elevators and limited cooling. The most recent 2026 review remains positive about staff and resident interactions, but overall sentiment across reviews remains mixed, with ongoing concerns about building amenities.</t>
  </si>
  <si>
    <t>accepted google identity: 14.7/15; review volume: 18.9/30; review consistency: 2.6/7; review freshness: 7.5/8; verified website: 14.7/15; confirmed irs record: 0.0/20; source corroboration: 3.3/5; Synthesis metadata: medium (not part of numeric confidence)</t>
  </si>
  <si>
    <t>300 International Cir, Cockeysville, MD 21030</t>
  </si>
  <si>
    <t>(410) 527-1111</t>
  </si>
  <si>
    <t>Maryland Masonic Homes</t>
  </si>
  <si>
    <t>Admissions: admissions@mdmasonichomes.org; Take A Tour; Phone: 410-527-1111; Admissions contact for intake information.</t>
  </si>
  <si>
    <t>Maryland Masonic Homes is a campus-based elder-care community offering independent living, assisted living, long-term care, and short-term/sub-acute rehabilitation on site in Cockeysville, MD.</t>
  </si>
  <si>
    <t>http://mdmasonichomes.com/</t>
  </si>
  <si>
    <t>Reviews show a mix of positive experiences—many residents and families praise caring staff, good rehab services, and a welcoming community. Some reviews note issues with responsiveness or staffing levels, and at least one recent post describes neglect and unresponsiveness. The most recent feedback suggests mixed experiences, with newer reviews highlighting concerns that contrast with older positive narratives.</t>
  </si>
  <si>
    <t>accepted google identity: 14.8/15; review volume: 28.8/30; review consistency: 1.9/7; review freshness: 7.2/8; verified website: 14.8/15; confirmed irs record: 20.0/20; source corroboration: 5.0/5; Synthesis metadata: medium (not part of numeric confidence)</t>
  </si>
  <si>
    <t>2605 Banister Rd, Baltimore, MD 21215</t>
  </si>
  <si>
    <t>(443) 873-9814</t>
  </si>
  <si>
    <t>Maryland Medical Day Services</t>
  </si>
  <si>
    <t>Monday: 8 AM to 4 PM; Tuesday: 8 AM to 4 PM; Wednesday: 8 AM to 4 PM; Thursday: 8 AM to 4 PM; Friday: 8 AM to 4 PM; Saturday: 8 AM to 4 PM; Sunday: 8 AM to 4 PM</t>
  </si>
  <si>
    <t>Maryland Medical Day Services offers adult day care services providing a safe, supportive environment for seniors and adults with disabilities, with engaging activities and social opportunities.</t>
  </si>
  <si>
    <t>Reviews show mixed feedback: two positive reviews praising staff’s care and attentiveness, and one negative review criticizing the staff and quality of service. The business owner responded to the negative review, indicating engagement with feedback. The newest publicly posted feedback is negative, whereas earlier reviews were positive, so the overall reliability direction is uncertain.</t>
  </si>
  <si>
    <t>accepted google identity: 14.8/15; review volume: 11.3/30; review consistency: 0.4/7; review freshness: 3.1/8; verified website: 0.0/15; confirmed irs record: 0.0/20; source corroboration: 1.7/5; Synthesis metadata: medium (not part of numeric confidence)</t>
  </si>
  <si>
    <t>3501 Taylor Ave, Baltimore, MD 21236</t>
  </si>
  <si>
    <t>(410) 444-5000</t>
  </si>
  <si>
    <t>The Maryland School for the Blind</t>
  </si>
  <si>
    <t>The Maryland School for the Blind is a Baltimore-based educational center serving students who are blind or have low vision from infancy through age 21, offering personalized instruction, therapy (occupational, physical, speech-language), orientation and mobility training, assistive technology, and transition services on campus and statewide.</t>
  </si>
  <si>
    <t>https://www.marylandschoolfortheblind.org/</t>
  </si>
  <si>
    <t>Reviews for MSB are consistently positive, highlighting a welcoming environment and supportive staff. Review text frequently notes strong teachers, helpful services, and student opportunities, with a few older entries mentioning construction; recent reviews continue to reflect a favorable impression. Overall, latest feedback aligns with the positive sentiment seen in prior years.</t>
  </si>
  <si>
    <t>accepted google identity: 14.7/15; review volume: 28.8/30; review consistency: 4.8/7; review freshness: 7.4/8; verified website: 14.7/15; confirmed irs record: 20.0/20; source corroboration: 5.0/5; Synthesis metadata: high (not part of numeric confidence)</t>
  </si>
  <si>
    <t>1525 Rolling Rd., Catonsville, MD 21228</t>
  </si>
  <si>
    <t>(410) 402-1200</t>
  </si>
  <si>
    <t>Meadow Park Rehabilitation &amp; Healthcare</t>
  </si>
  <si>
    <t>Meadow Park Rehabilitation &amp; Healthcare Center provides post-acute rehabilitation and skilled nursing care in Catonsville, MD, with a focus on rehabilitative therapy and returning residents home when possible.</t>
  </si>
  <si>
    <t>https://meadowparkrehabhc.com/?utm_source=google&amp;utm_medium=organic&amp;utm_campaign=gmb&amp;utm_content=main_button</t>
  </si>
  <si>
    <t>Reviews consistently describe Meadow Park as clean and well-maintained, with friendly, attentive staff and strong therapy services. Recent posts highlight positive experiences with the therapy team and nursing care, though a few comments note that some staff could improve patience or consistency. Overall, the newest reviews continue to reflect satisfaction with the facility and the level of care provided.</t>
  </si>
  <si>
    <t>accepted google identity: 14.8/15; review volume: 30.0/30; review consistency: 6.3/7; review freshness: 7.9/8; verified website: 14.8/15; confirmed irs record: 0.0/20; source corroboration: 3.3/5; Synthesis metadata: high (not part of numeric confidence)</t>
  </si>
  <si>
    <t>9000 Franklin Square Dr, Baltimore, MD 21237</t>
  </si>
  <si>
    <t>(443) 777-7000</t>
  </si>
  <si>
    <t>MedStar Franklin Square Medical Center</t>
  </si>
  <si>
    <t>Some services require appointments; urgent care offers walk‑ins with online check‑in recommended; MedStar eVisit telehealth is available 24/7.</t>
  </si>
  <si>
    <t>MedStar Franklin Square Medical Center is a full‑service hospital with a 24/7 emergency department and outpatient services across multiple specialties, including orthopedics, oncology, cardiology, obstetrics/gynecology, neurosciences, neonatal care, and behavioral health.</t>
  </si>
  <si>
    <t>https://www.medstarhealth.org/locations/medstar-franklin-square-medical-center?utm_campaign=mhs_citations&amp;utm_medium=listing&amp;utm_source=citation_management&amp;utm_term=hospital</t>
  </si>
  <si>
    <t>Reviews show a mix of positive and negative experiences. Reviewers frequently praise staff friendliness, attentiveness, and facility cleanliness, while some recent comments express dissatisfaction with labor and delivery experiences and communication. The newest reviews are negative, but hospital responses suggest ongoing efforts to address concerns.</t>
  </si>
  <si>
    <t>accepted google identity: 14.8/15; review volume: 30.0/30; review consistency: 3.6/7; review freshness: 8.0/8; verified website: 14.8/15; confirmed irs record: 0.0/20; source corroboration: 3.3/5; Synthesis metadata: high (not part of numeric confidence)</t>
  </si>
  <si>
    <t>5601 Loch Raven Blvd, Baltimore, MD 21239</t>
  </si>
  <si>
    <t>(443) 444-8000</t>
  </si>
  <si>
    <t>MedStar Good Samaritan Hospital</t>
  </si>
  <si>
    <t>MedStar Good Samaritan Hospital is a community hospital in Baltimore offering inpatient and outpatient medical care, with programs in cancer care, geriatrics, behavioral health, rehabilitation, wound care, and related specialty services.</t>
  </si>
  <si>
    <t>https://www.medstarhealth.org/locations/medstar-good-samaritan-hospital?utm_campaign=mhs_citations&amp;utm_medium=listing&amp;utm_source=citation_management&amp;utm_term=hospital</t>
  </si>
  <si>
    <t>Reviews for MedStar Good Samaritan Hospital are largely positive, with frequent mentions of compassionate doctors, attentive nursing staff, and smooth registration. A small subset of reviews express frustration with emergency room wait times and concerns about cleanliness, but the newest reviews remain highly favorable and staff responses to feedback are common.</t>
  </si>
  <si>
    <t>accepted google identity: 14.7/15; review volume: 30.0/30; review consistency: 4.6/7; review freshness: 8.0/8; verified website: 14.7/15; confirmed irs record: 20.0/20; source corroboration: 5.0/5; Synthesis metadata: high (not part of numeric confidence)</t>
  </si>
  <si>
    <t>201 E University Pkwy, Baltimore, MD 21218</t>
  </si>
  <si>
    <t>(410) 554-2000</t>
  </si>
  <si>
    <t>MedStar Union Memorial Hospital</t>
  </si>
  <si>
    <t>MedStar Union Memorial Hospital is a long-established teaching hospital in Baltimore that provides acute inpatient care and emergency services, with recognized specialty programs in heart and vascular care, orthopedics and hand/upper-extremity care, neurology, cancer care, and palliative services.</t>
  </si>
  <si>
    <t>https://www.medstarhealth.org/locations/medstar-union-memorial-hospital?utm_campaign=mhs_citations&amp;utm_medium=listing&amp;utm_source=citation_management&amp;utm_term=hospital</t>
  </si>
  <si>
    <t>Reviews for MedStar Union Memorial Hospital are broadly positive, with reviewers frequently noting professional, courteous staff, clean facilities, and high-quality care. The newest feedback shows continued satisfaction with imaging and cardiac care, and staff responsiveness, even as a few comments point to busy departments. Overall, the sentiment aligns with the hospital’s strong reputation for comprehensive medical services.</t>
  </si>
  <si>
    <t>accepted google identity: 14.7/15; review volume: 30.0/30; review consistency: 3.4/7; review freshness: 8.0/8; verified website: 14.7/15; confirmed irs record: 20.0/20; source corroboration: 5.0/5; Synthesis metadata: high (not part of numeric confidence)</t>
  </si>
  <si>
    <t>301 St Paul St, Baltimore, MD 21202</t>
  </si>
  <si>
    <t>(410) 332-9477</t>
  </si>
  <si>
    <t>Mercy Medical Center Emergency Department</t>
  </si>
  <si>
    <t>Mercy Medical Center Emergency Department offers around-the-clock emergency medical care for adults and children, including triage, rapid assessment, and on-site diagnostics, with additional programs such as the Forensic Nurse Examiner program for certain cases.</t>
  </si>
  <si>
    <t>https://mdmercy.com/mercy-services/emergency-department</t>
  </si>
  <si>
    <t>Reviews show mixed experiences at Mercy Medical Center Emergency Department. Some patients praise compassionate staff and timely care in certain visits, while others describe long waits, communication issues, cleanliness concerns, and rude behavior by some staff. The newest reviews include both negative and positive experiences, suggesting a divided user perception over time.</t>
  </si>
  <si>
    <t>accepted google identity: 14.6/15; review volume: 30.0/30; review consistency: 0.6/7; review freshness: 8.0/8; verified website: 14.6/15; confirmed irs record: 20.0/20; source corroboration: 5.0/5; Synthesis metadata: high (not part of numeric confidence)</t>
  </si>
  <si>
    <t>2525 Pot Spring Rd, Timonium, MD 21093</t>
  </si>
  <si>
    <t>(410) 561-0200</t>
  </si>
  <si>
    <t>Mercy Ridge</t>
  </si>
  <si>
    <t>Mercy Ridge is a continuing care retirement community in Timonium, Maryland, offering independent living and on-site assisted living with licensed nursing support, wellness services, dining venues, and transportation on a campus designed for active senior living.</t>
  </si>
  <si>
    <t>https://www.mercyridge.com/</t>
  </si>
  <si>
    <t>Reviews portray Mercy Ridge positively, with many recent reviews praising friendly, caring staff and a welcoming environment. The newest feedback continues to highlight attentive staff, safety, and a supportive community. Review responses from management appear frequent, courteous, and engaged with residents and families.</t>
  </si>
  <si>
    <t>accepted google identity: 14.8/15; review volume: 30.0/30; review consistency: 7.0/7; review freshness: 7.8/8; verified website: 14.8/15; confirmed irs record: 20.0/20; source corroboration: 5.0/5; Synthesis metadata: high (not part of numeric confidence)</t>
  </si>
  <si>
    <t>718 Main St, Reisterstown, MD 21136</t>
  </si>
  <si>
    <t>(410) 363-2279</t>
  </si>
  <si>
    <t>Mid Atlantic Medical Supply</t>
  </si>
  <si>
    <t>Monday: 9 AM to 6 PM; Tuesday: 9 AM to 6 PM; Wednesday: 9 AM to 6 PM; Thursday: 9 AM to 6 PM; Friday: 9 AM to 6 PM; Saturday: 10 AM to 4 PM; Sunday: Closed</t>
  </si>
  <si>
    <t>Mid-Atlantic Medical Supply &amp; Equipment is a family‑owned medical supply store offering sales and rentals of mobility aids and other medical equipment, with a Reisterstown showroom and delivery service.</t>
  </si>
  <si>
    <t>http://medicalsuppliesbaltimore.com/</t>
  </si>
  <si>
    <t>Reviews consistently describe knowledgeable, patient staff who provide thorough guidance on equipment and reliable delivery. Reviewers frequently note helpful staff and good customer service, with several comments about prompt setup and explanations of product features. The most recent feedback remains positive, with no clear negative pattern emerging in the latest postings.</t>
  </si>
  <si>
    <t>accepted google identity: 14.7/15; review volume: 30.0/30; review consistency: 6.0/7; review freshness: 7.2/8; verified website: 14.7/15; confirmed irs record: 0.0/20; source corroboration: 3.3/5; Synthesis metadata: high (not part of numeric confidence)</t>
  </si>
  <si>
    <t>3400 N Charles St, Baltimore, MD 21218</t>
  </si>
  <si>
    <t>(410) 516-8335</t>
  </si>
  <si>
    <t>Milton S Eisenhower Library</t>
  </si>
  <si>
    <t>Temporarily closed due to renovation.</t>
  </si>
  <si>
    <t>The Milton S. Eisenhower Library is Johns Hopkins University's principal research library, the largest in its library network. It is undergoing renovation, and library services and study spaces are temporarily relocated to the MSE Library Annex and other campus spaces (e.g., Hutzler Reading Room, Hodson Hall). The library is located at 3400 N Charles St, Baltimore, MD 21218.</t>
  </si>
  <si>
    <t>http://library.jhu.edu/</t>
  </si>
  <si>
    <t>Reviews highlight strong collections and helpful staff, with some comments noting the building’s aging condition and ongoing renovations. The most recent review is positive about the renovation’s progress, while earlier feedback points to building-related concerns. Overall, the sentiment focuses on resources and staff positively despite construction.</t>
  </si>
  <si>
    <t>accepted google identity: 14.7/15; review volume: 21.6/30; review consistency: 3.7/7; review freshness: 6.1/8; verified website: 14.7/15; confirmed irs record: 0.0/20; source corroboration: 3.3/5; Synthesis metadata: medium (not part of numeric confidence)</t>
  </si>
  <si>
    <t>4111 Springdale Ave, Gwynn Oak, MD 21207</t>
  </si>
  <si>
    <t>(443) 475-0667</t>
  </si>
  <si>
    <t>Montane Manor Assisted Living</t>
  </si>
  <si>
    <t>Monday: 8 AM to 8 PM; Tuesday: 8 AM to 8 PM; Wednesday: 8 AM to 8 PM; Thursday: 8 AM to 8 PM; Friday: 8 AM to 8 PM; Saturday: 8 AM to 8 PM; Sunday: 8 AM to 8 PM</t>
  </si>
  <si>
    <t>Montane Manor Assisted Living is a small residential facility that provides help with activities of daily living, including medication administration, housekeeping, laundry, and meal preparation, with a goal of supporting residents' independence and dignity.</t>
  </si>
  <si>
    <t>Montane Manor Assisted Living appears to be an operational, small residential facility offering daily living assistance. The Google listing confirms ADL-related tasks such as medication administration, housekeeping, laundry, and meal preparation, with consistent hours from 8 AM to 8 PM seven days a week. Four Reviews are publicly listed, all at five stars, but no review text is accessible in this feed to identify recurring themes or experiences.</t>
  </si>
  <si>
    <t>2501 Violet Ave, Baltimore, MD 21215</t>
  </si>
  <si>
    <t>(410) 728-4424</t>
  </si>
  <si>
    <t>MonteVerde Apartments</t>
  </si>
  <si>
    <t>MonteVerde Apartments is a Baltimore apartment community offering rental units with on-site management and maintenance, a controlled-access building, and convenient access to public transit and nearby shopping and services. The property provides 1- and 2-bedroom floor plans and resident services, emphasizing a location-friendly, hassle-free living experience.</t>
  </si>
  <si>
    <t>http://www.monteverdeapts.net/</t>
  </si>
  <si>
    <t>Reviews show recurring positive themes around location and staff, with mixed concerns about maintenance, odor, and safety in some units. The newest reviews appear positive, suggesting a potential shift in recent experiences, but earlier feedback remains relevant for context. Owner responses indicate ongoing engagement with residents.</t>
  </si>
  <si>
    <t>accepted google identity: 15.0/15; review volume: 30.0/30; review consistency: 2.3/7; review freshness: 6.8/8; verified website: 15.0/15; confirmed irs record: 0.0/20; source corroboration: 3.3/5; Synthesis metadata: high (not part of numeric confidence)</t>
  </si>
  <si>
    <t>6920 Harford Rd, Baltimore, MD 21234</t>
  </si>
  <si>
    <t>(667) 205-1111</t>
  </si>
  <si>
    <t>More Than Just Friends - Adult Medical Day Center</t>
  </si>
  <si>
    <t>A daytime care facility for adults in Baltimore, listed on Google Maps as an adult day care center.</t>
  </si>
  <si>
    <t>Reviews show generally positive feedback about staff and care, with multiple reviewers noting a professional and caring environment. The most recent posting raises a safety concern about driving speeds by a vehicle, indicating a potential issue not reflected in earlier comments. Overall, the listing’s reliability appears mixed, with ongoing positive impressions but a new, conflicting safety concern.</t>
  </si>
  <si>
    <t>accepted google identity: 14.7/15; review volume: 16.8/30; review consistency: 1.4/7; review freshness: 8.0/8; verified website: 0.0/15; confirmed irs record: 0.0/20; source corroboration: 1.7/5; Synthesis metadata: medium (not part of numeric confidence)</t>
  </si>
  <si>
    <t>8800 Old Harford Rd, Parkville, MD 21234</t>
  </si>
  <si>
    <t>(410) 941-3374</t>
  </si>
  <si>
    <t>Morningside House of Satyr Hill</t>
  </si>
  <si>
    <t>Private-pay only; Medicaid not accepted. For admissions, tours, and eligibility details, contact the community.</t>
  </si>
  <si>
    <t>Morningside House of Satyr Hill is a senior living community that provides assisted living and memory-care services, with around-the-clock staff, daily activities, and short-term stays within a warm, home-like environment.</t>
  </si>
  <si>
    <t>https://mhseniorliving.com/satyr-hill/</t>
  </si>
  <si>
    <t>Reviews consistently describe a warm, welcoming community with attentive staff and meaningful resident engagement. Families frequently mention feeling their loved ones are safe and well-cared-for, with staff who are friendly, responsive, and respectful. The most recent reviews reinforce these themes, indicating ongoing satisfaction and positive experiences, while a few notes mention areas for improvement like meal variety.</t>
  </si>
  <si>
    <t>accepted google identity: 14.8/15; review volume: 30.0/30; review consistency: 4.2/7; review freshness: 5.5/8; verified website: 14.8/15; confirmed irs record: 0.0/20; source corroboration: 3.3/5; Synthesis metadata: high (not part of numeric confidence)</t>
  </si>
  <si>
    <t>104 Pleasant Ridge Dr, Owings Mills, MD 21117</t>
  </si>
  <si>
    <t>(844) 586-0742</t>
  </si>
  <si>
    <t>Morningside Senior Apartments</t>
  </si>
  <si>
    <t>Eligibility: 62+; income limits; voucher holders welcome. Applications available; standard 12-month lease. Office hours: Monday–Friday, 9:00 AM–5:00 PM; contact the Community Manager for intake or further information.</t>
  </si>
  <si>
    <t>Monday–Thursday: 9:00 AM–5:00 PM; Friday–Sunday: Closed</t>
  </si>
  <si>
    <t>Morningside Senior Apartments is a senior-housing community in Owings Mills offering 1- and 2-bedroom apartments for residents aged 62+, with income-based leasing and voucher acceptance. The property features on-site management, elevator access, and amenities such as a community space and fitness/accessible facilities, with standard 12-month leases and language-accessible application options.</t>
  </si>
  <si>
    <t>http://www.morningsidesenior.com/</t>
  </si>
  <si>
    <t>Reviews show mixed experiences: some residents praise the community and location, while others raise ongoing concerns about management responsiveness, maintenance, and building conditions. The most recent review mentions management issues, and this sentiment aligns with earlier complaints, suggesting current feedback trends toward ongoing dissatisfaction rather than consistently positive experiences.</t>
  </si>
  <si>
    <t>accepted google identity: 14.8/15; review volume: 18.6/30; review consistency: 2.1/7; review freshness: 5.0/8; verified website: 14.8/15; confirmed irs record: 0.0/20; source corroboration: 3.3/5; Synthesis metadata: medium (not part of numeric confidence)</t>
  </si>
  <si>
    <t>1820 Spence St, Baltimore, MD 21230</t>
  </si>
  <si>
    <t>(410) 644-2334</t>
  </si>
  <si>
    <t>Morrell Park Apartments</t>
  </si>
  <si>
    <t>Morrell Park Apartments is a residential rental apartment building in Baltimore's Morrell Park neighborhood.</t>
  </si>
  <si>
    <t>https://livebaltimore.com/neighborhoods/morrell-park/</t>
  </si>
  <si>
    <t>Google Maps data shows Morrell Park Apartments as an apartment building in Baltimore, and the listing is linked to a verified website. The dataset provides no verbatim Review text or recent reviews to summarize themes, so sentiment cannot be drawn from user feedback in this sample. Because review content is unavailable here, reliability relies on basic listing data and site reachability rather than reviewer commentary.</t>
  </si>
  <si>
    <t>accepted google identity: 14.7/15; review volume: 13.7/30; review consistency: 0.0/7; review freshness: 0.0/8; verified website: 14.7/15; confirmed irs record: 0.0/20; source corroboration: 3.3/5; Synthesis metadata: medium (not part of numeric confidence)</t>
  </si>
  <si>
    <t>4400 Belvieu Ave, Baltimore, MD 21215</t>
  </si>
  <si>
    <t>410-814-3302</t>
  </si>
  <si>
    <t>Msc Family Care</t>
  </si>
  <si>
    <t>MSC Family Care is a physical medical clinic in Baltimore, located at 4400 Belvieu Ave, Baltimore, MD 21215. The Google Maps listing identifies it as a medical clinic and provides basic location details.</t>
  </si>
  <si>
    <t>The Google Maps listing shows MSC Family Care as a physically located medical clinic that appears operational, with at least one public review data point. However, the actual review text is not available in the provided data, so themes from reviewers cannot be summarized. Because there is minimal corroborating data beyond the single listing, the reliability of broader service claims is limited.</t>
  </si>
  <si>
    <t>833 W Pratt St #1, Baltimore, MD 21201</t>
  </si>
  <si>
    <t>(410) 727-4477</t>
  </si>
  <si>
    <t>Mount Clare Overlook Apartments</t>
  </si>
  <si>
    <t>Eligibility is for residents 62+ and/or disabled; third-party verification may be required for eligibility purposes.</t>
  </si>
  <si>
    <t>Monday: 10 AM to 4 PM; Tuesday: 10 AM to 4 PM; Wednesday: Closed; Thursday: 9 AM to 4 PM; Friday: Closed; Saturday: Closed; Sunday: Closed</t>
  </si>
  <si>
    <t>Mount Clare Overlook Apartments is an affordable Baltimore rental community for residents 62+ and/or with disabilities, offering one- and two-bedroom units with on-site management and shared amenities such as a community room, on-site laundry, parking, and maintenance.</t>
  </si>
  <si>
    <t>https://www.preservationmanagement.com/rental/property/mount-clare</t>
  </si>
  <si>
    <t>Reviews for Mount Clare Overlook Apartments are sparse in the available sample, with the newest visible review from 2024 containing little to no narrative content. Because the reviewer text is thin, there aren’t clear recurring themes about strengths or concerns to convey. The listing appears operational and the property is reachable online, and amenities are described by the owner, but the lack of review content limits reliable inference about resident experiences.</t>
  </si>
  <si>
    <t>accepted google identity: 14.3/15; review volume: 19.2/30; review consistency: 7.0/7; review freshness: 1.4/8; verified website: 14.3/15; confirmed irs record: 0.0/20; source corroboration: 3.3/5; Synthesis metadata: medium (not part of numeric confidence)</t>
  </si>
  <si>
    <t>4707 Renwick Avenue Baltimore 21206</t>
  </si>
  <si>
    <t>(443) 739-9922</t>
  </si>
  <si>
    <t>My Caring Hands LLC</t>
  </si>
  <si>
    <t>My Caring Hands LLC operates as an assisted living facility in Baltimore, providing housing with daily living support.</t>
  </si>
  <si>
    <t>Review feedback was unavailable: there are no Reviews for this listing, so there are no recurring themes to summarize. The listing shows operational status and published hours, but registry and attribution signals are inconclusive, so independent verification of experiences is limited.</t>
  </si>
  <si>
    <t>701 N Arlington Ave #, Baltimore, MD 21217</t>
  </si>
  <si>
    <t>(410) 669-4270</t>
  </si>
  <si>
    <t>N M Carroll Manor</t>
  </si>
  <si>
    <t>A housing and shelter organization in Baltimore, operating at 701 N Arlington Ave in the Harlem Park area. It is listed as a non-profit organization servicing residents in the local housing/shelter context.</t>
  </si>
  <si>
    <t>Reviews show a mix of experiences. A recent positive comment praises staff courtesy, particularly a named assistant manager, while a newer 1-star rating signals dissatisfaction. The remaining recent reviews contain little text, and the newest review is several months old, so it’s unclear if current conditions remain the same.</t>
  </si>
  <si>
    <t>accepted google identity: 14.7/15; review volume: 25.2/30; review consistency: 2.2/7; review freshness: 5.7/8; verified website: 0.0/15; confirmed irs record: 20.0/20; source corroboration: 3.3/5; Synthesis metadata: high (not part of numeric confidence)</t>
  </si>
  <si>
    <t>4205 Penhurst Ave, Baltimore, MD 21215</t>
  </si>
  <si>
    <t>443-682-4407</t>
  </si>
  <si>
    <t>Natural Cultural Living</t>
  </si>
  <si>
    <t>Operates a physical facility described as an assisted living facility in Baltimore, MD.</t>
  </si>
  <si>
    <t>Google Maps provides a listing for the entity, but there are no public reviews or ratings to draw conclusions from. The only corroborating signal is the listing’s category indicating an assisted living facility, with operational status noted as active. Because review data is unavailable, reliability feedback is too thin to assess at this time.</t>
  </si>
  <si>
    <t>accepted google identity: 13.5/15; review volume: 0.0/30; review consistency: 0.0/7; review freshness: 0.0/8; verified website: 0.0/15; confirmed irs record: 0.0/20; source corroboration: 1.7/5; Synthesis metadata: insufficient_evidence (not part of numeric confidence)</t>
  </si>
  <si>
    <t>3616 Gwynn Oak Avenue Baltimore 21207</t>
  </si>
  <si>
    <t>(443) 631-3303</t>
  </si>
  <si>
    <t>New Heights Residences</t>
  </si>
  <si>
    <t>Monday: 9 AM to 5 PM; Tuesday: 9 AM to 5 PM; Wednesday: 9 AM to 5 PM; Thursday: 9 AM to 5 PM; Friday: 9 AM to 3 PM; Saturday: Closed; Sunday: Closed</t>
  </si>
  <si>
    <t>New Heights Residences provides housing with wrap-around services for adults, including supports for mental health, substance use, developmental disabilities, and veterans. The listing indicates treatment services, medical care and medication management, mental health treatment, and employment or vocational training across multiple housing locations around the Maryland corridor.</t>
  </si>
  <si>
    <t>There are no Reviews or other platform reviews available for this listing in the provided data. Because there is no recent feedback to summarize, there are no recurring themes or concerns to report. With no reviews to assess, it is difficult to gauge consistency in user experience.</t>
  </si>
  <si>
    <t>5502 Seward Ave, Baltimore, MD 21206</t>
  </si>
  <si>
    <t>(410) 878-3332</t>
  </si>
  <si>
    <t>New Hope Assisted Living LLC</t>
  </si>
  <si>
    <t>New Hope Assisted Living is a residential facility that offers housing with personal care services, including help with daily activities, medication management, meals, housekeeping, laundry, transportation to appointments, and planned activities or access to an adult day program.</t>
  </si>
  <si>
    <t>http://newhopeassistedliving.net/</t>
  </si>
  <si>
    <t>Reviews show a generally positive impression, with reviewers noting a welcoming, clean environment and staff who are kind and attentive. The most detailed recent review emphasizes residents' safety, dignity, and comfort; newer entries are brief or text-free. The available feedback in the sample remains positive overall, though the text is limited.</t>
  </si>
  <si>
    <t>accepted google identity: 14.7/15; review volume: 13.5/30; review consistency: 7.0/7; review freshness: 6.0/8; verified website: 14.7/15; confirmed irs record: 0.0/20; source corroboration: 3.3/5; Synthesis metadata: high (not part of numeric confidence)</t>
  </si>
  <si>
    <t>7600 Clays Ln Ste B, Windsor Mill, MD 21244</t>
  </si>
  <si>
    <t>(443) 883-2081</t>
  </si>
  <si>
    <t>New Life HL Adult Medical Daycare</t>
  </si>
  <si>
    <t>Monday: 7 AM to 3 PM; Tuesday: 7 AM to 3 PM; Wednesday: 7 AM to 3 PM; Thursday: 7 AM to 3 PM; Friday: 7 AM to 3 PM; Saturday: Closed; Sunday: Closed</t>
  </si>
  <si>
    <t>New Life HL Adult Medical Daycare is an adult day care center in Windsor Mill offering daytime supervised care and engaging activities for aging adults in a warm, inclusive setting.</t>
  </si>
  <si>
    <t>Reviews for the listing describe a caring, welcoming staff and a clean, participant-focused environment. Review text highlights attention to daily activities, meals, and social engagement in a warm setting. Most recent public comments are from late 2023, and there is no owner responsiveness recorded in the listings.</t>
  </si>
  <si>
    <t>accepted google identity: 13.8/15; review volume: 21.7/30; review consistency: 7.0/7; review freshness: 1.2/8; verified website: 0.0/15; confirmed irs record: 0.0/20; source corroboration: 1.7/5; Synthesis metadata: high (not part of numeric confidence)</t>
  </si>
  <si>
    <t>1901 Elgin Ave, Baltimore, MD 21217</t>
  </si>
  <si>
    <t>(410) 523-1649</t>
  </si>
  <si>
    <t>New Shiloh Village Senior Living</t>
  </si>
  <si>
    <t>Monday: 10 AM to 10:30 PM; Tuesday: 10 AM to 10:30 PM; Wednesday: 10 AM to 10:30 PM; Thursday: 10 AM to 10:30 PM; Friday: 10 AM to 10:30 PM; Saturday: 10 AM to 10:30 PM; Sunday: 10 AM to 10:30 PM</t>
  </si>
  <si>
    <t>Residential apartment building at 1901 Elgin Ave, Baltimore, MD 21217, offering housing through rental apartments.</t>
  </si>
  <si>
    <t>Reviews show mixed experiences for this listing. The newest feedback highlights concerns about safety, heating, and maintenance, and there are reports of limited on-site security and slow heat repairs. The listing is currently operational, with a low overall public rating reflected in the most recent reviews and limited owner responses.</t>
  </si>
  <si>
    <t>accepted google identity: 14.2/15; review volume: 16.8/30; review consistency: 3.7/7; review freshness: 6.1/8; verified website: 0.0/15; confirmed irs record: 0.0/20; source corroboration: 1.7/5; Synthesis metadata: low (not part of numeric confidence)</t>
  </si>
  <si>
    <t>3824 Deckerts Ln, Baltimore, MD 21236</t>
  </si>
  <si>
    <t>(443) 835-4273</t>
  </si>
  <si>
    <t>New Castle Manor Assisted Living</t>
  </si>
  <si>
    <t>New Castle Manor Assisted Living is an assisted living facility in Baltimore, Maryland, offering housing and daily living support for residents.</t>
  </si>
  <si>
    <t>Google listing provides limited textual content: the single 5-star review has no comments, so there are no recurring themes to report. The listing identifies the organization as an assisted living facility and shows it as operational, but the lack of review text limits assessment of quality or reliability. Because review content is very thin, reliability cannot be confidently established from Reviews alone.</t>
  </si>
  <si>
    <t>accepted google identity: 13.7/15; review volume: 5.0/30; review consistency: 7.0/7; review freshness: 3.7/8; verified website: 0.0/15; confirmed irs record: 0.0/20; source corroboration: 1.7/5; Synthesis metadata: insufficient_evidence (not part of numeric confidence)</t>
  </si>
  <si>
    <t>2424 W Rogers Ave, Baltimore, MD 21209</t>
  </si>
  <si>
    <t>(443) 449-1794</t>
  </si>
  <si>
    <t>Newton Manor Assisted Living</t>
  </si>
  <si>
    <t>Newton Manor Assisted Living is listed on Google Maps as an assisted living facility in Baltimore.</t>
  </si>
  <si>
    <t>Google Maps shows the listing as operational and includes user reviews. The dataset does not provide the actual review text, so recurring themes or concerns cannot be summarized from the available content. Registry data show no confirmed IRS match, and there is no verified website in the dataset, which limits corroboration.</t>
  </si>
  <si>
    <t>Admission requires residency; Life Care plan provides access to higher levels of care for residents; nonresidents are not admitted to higher levels of care.</t>
  </si>
  <si>
    <t>North Oaks Senior Living Community is a continuing care retirement community offering independent living with activities and chef-prepared meals, plus access to a continuum of care (assisted living, skilled nursing, and rehabilitation) through a Life Care plan.</t>
  </si>
  <si>
    <t>Reviews consistently describe North Oaks as a warm, well-maintained community with caring staff and engaging activities. Reviewers frequently note staff who know residents by name and respond quickly, and they generally praise the meals, cleanliness, and overall atmosphere; a few reviews mention dining concerns. The most recent reviews continue to highlight positive staff interactions and community life, suggesting sentiment remains favorable overall.</t>
  </si>
  <si>
    <t>accepted google identity: 13.8/15; review volume: 28.6/30; review consistency: 3.5/7; review freshness: 7.4/8; verified website: 13.8/15; confirmed irs record: 0.0/20; source corroboration: 3.3/5; Synthesis metadata: high (not part of numeric confidence)</t>
  </si>
  <si>
    <t>1716 Merritt Blvd, Dundalk, MD 21222</t>
  </si>
  <si>
    <t>(410) 887-7255</t>
  </si>
  <si>
    <t>Baltimore County Public Library - North Point Branch</t>
  </si>
  <si>
    <t>Temporarily closed for renovation; reopening date not provided in the listing.</t>
  </si>
  <si>
    <t>Sunday: Closed; Monday–Thursday: 9 a.m.–8 p.m.; Friday–Saturday: 9 a.m.–5 p.m.</t>
  </si>
  <si>
    <t>Baltimore County Public Library – North Point Branch is a public library that provides general library services to the Dundalk community, including access to computers, printing, fax, study rooms, and librarian assistance, along with homework help resources.</t>
  </si>
  <si>
    <t>https://bcpl.info/locations/north-point</t>
  </si>
  <si>
    <t>Reviews for North Point Branch are largely positive, with recurring praise for friendly staff and convenient location. A recent 1-star review notes it is closed until further notice, which aligns with the listing indicating temporary closure for renovation. Overall, recent feedback is mixed due to access disruption, while earlier reviews frequently highlight helpful staff and solid services.</t>
  </si>
  <si>
    <t>accepted google identity: 14.6/15; review volume: 30.0/30; review consistency: 2.8/7; review freshness: 7.2/8; verified website: 14.6/15; confirmed irs record: 0.0/20; source corroboration: 3.3/5; Synthesis metadata: high (not part of numeric confidence)</t>
  </si>
  <si>
    <t>1046 North Point Rd, Baltimore, MD 21224</t>
  </si>
  <si>
    <t>(410) 282-0100</t>
  </si>
  <si>
    <t>FutureCare NorthPoint</t>
  </si>
  <si>
    <t>FutureCare NorthPoint is a skilled-nursing and rehabilitation facility in Baltimore offering on-site rehabilitation services and health care supports for short-stay and longer-term residents, including physical, occupational, and speech therapy, on-site dialysis, wound care, and around-the-clock nursing.</t>
  </si>
  <si>
    <t>https://futurecare.com/locations/northpoint/</t>
  </si>
  <si>
    <t>Reviews for FutureCare NorthPoint show a generally positive pattern: many reviewers praise rehab outcomes, staff care, and facility cleanliness, with frequent mentions of effective physical therapy and good dining. However, there are a few recent negative reviews citing issues like perceived neglect, call-button access, and billing concerns. The latest reviews include both praise and criticism, indicating mixed experiences but a trend toward positive outcomes in many cases.</t>
  </si>
  <si>
    <t>accepted google identity: 14.7/15; review volume: 30.0/30; review consistency: 2.4/7; review freshness: 8.0/8; verified website: 14.7/15; confirmed irs record: 0.0/20; source corroboration: 3.3/5; Synthesis metadata: high (not part of numeric confidence)</t>
  </si>
  <si>
    <t>4601 Pall Mall Rd, Baltimore, MD 21215</t>
  </si>
  <si>
    <t>(410) 664-5551</t>
  </si>
  <si>
    <t>Northwest Healthcare Center</t>
  </si>
  <si>
    <t>Northwest Healthcare Center is a skilled nursing facility in Baltimore offering short-term recovery, rehabilitation, and long-term care services designed to support residents’ physical and emotional well-being.</t>
  </si>
  <si>
    <t>https://www.communicarehealth.com/location/northwest-healthcare-center/?utm_source=google&amp;utm_medium=organic&amp;utm_campaign=gbp-northwest</t>
  </si>
  <si>
    <t>Reviews show a mix of experiences. Some reviewers praise care from staff and effective rehabilitation, while others express concerns about responsiveness, safety, and administrative issues. The most recent review is negative, while several earlier posts describe satisfactory care, so overall feedback is inconsistent and not uniformly positive.</t>
  </si>
  <si>
    <t>accepted google identity: 14.8/15; review volume: 30.0/30; review consistency: 0.9/7; review freshness: 7.7/8; verified website: 14.8/15; confirmed irs record: 0.0/20; source corroboration: 3.3/5; Synthesis metadata: medium (not part of numeric confidence)</t>
  </si>
  <si>
    <t>5401 Old Court Rd, Randallstown, MD 21133</t>
  </si>
  <si>
    <t>(410) 521-2200</t>
  </si>
  <si>
    <t>Northwest Hospital</t>
  </si>
  <si>
    <t>Northwest Hospital Center is a community hospital in Randallstown, Maryland, providing general hospital care and emergency services to the northwest Baltimore area.</t>
  </si>
  <si>
    <t>https://www.lifebridgehealth.org/locations/northwest-hospital</t>
  </si>
  <si>
    <t>Reviews show a mix of experiences. The newest reviews focus on negative ER experiences with long wait times, perceived poor maintenance, and dissatisfied interactions, while other recent posts praise doctors and staff. Overall, sentiment appears mixed and recent feedback leans toward negative experiences in the emergency department, though there are still positive notes about care in other interactions.</t>
  </si>
  <si>
    <t>accepted google identity: 14.8/15; review volume: 30.0/30; review consistency: 0.6/7; review freshness: 8.0/8; verified website: 14.8/15; confirmed irs record: 20.0/20; source corroboration: 5.0/5; Synthesis metadata: medium (not part of numeric confidence)</t>
  </si>
  <si>
    <t>4420 Loch Raven Blvd, Baltimore, MD 21218</t>
  </si>
  <si>
    <t>(410) 396-6076</t>
  </si>
  <si>
    <t>Enoch Pratt Free Library - Northwood Branch</t>
  </si>
  <si>
    <t>General public access; ADA accessible; free Wi‑Fi; computers for public use; printing and self-checkout available; events and programs for all ages.</t>
  </si>
  <si>
    <t>Northwood Branch is a public library offering information resources, access to computers and printers, free Wi‑Fi, and family- and community-focused programs for all ages.</t>
  </si>
  <si>
    <t>https://www.prattlibrary.org/locations/northwood/</t>
  </si>
  <si>
    <t>Reviews for the Northwood Branch show it as a welcoming, helpful community hub with friendly staff. Reviewers consistently praise the staff's helpfulness and the library's quiet spaces for study, with several posts noting positive experiences across recent visits. The newest reviews align with prior impressions, suggesting ongoing satisfaction.</t>
  </si>
  <si>
    <t>accepted google identity: 14.7/15; review volume: 30.0/30; review consistency: 2.4/7; review freshness: 7.7/8; verified website: 14.7/15; confirmed irs record: 0.0/20; source corroboration: 3.3/5; Synthesis metadata: high (not part of numeric confidence)</t>
  </si>
  <si>
    <t>3501 Howard Park Ave, Baltimore, MD 21207</t>
  </si>
  <si>
    <t>(410) 466-9267</t>
  </si>
  <si>
    <t>Oaks at Liberty Senior Apartments</t>
  </si>
  <si>
    <t>Oaks at Liberty Senior Apartments is an affordable 62+ senior housing community offering one- and two-bedroom units with on-site management, a resident library, and a community room.</t>
  </si>
  <si>
    <t>http://oaksatliberty.com/</t>
  </si>
  <si>
    <t>Reviews show mixed feedback for Oaks at Liberty. Positive notes highlight a pleasant community, accessible amenities, and convenient location, while one review described negative staff interactions. The newest publicly available reviews are from 2024, suggesting limited recent feedback. Overall, the listing appears operational with verified hours and an active website, but user sentiment is inconsistent.</t>
  </si>
  <si>
    <t>accepted google identity: 14.7/15; review volume: 16.3/30; review consistency: 0.4/7; review freshness: 1.7/8; verified website: 14.7/15; confirmed irs record: 0.0/20; source corroboration: 3.3/5; Synthesis metadata: medium (not part of numeric confidence)</t>
  </si>
  <si>
    <t>(667) 210-2461</t>
  </si>
  <si>
    <t>OK Family Care Assisted Living</t>
  </si>
  <si>
    <t>A physical-location facility in Baltimore listed on Google Maps as an assisted living facility.</t>
  </si>
  <si>
    <t>Google Maps shows the listing as operational with 24/7 hours and one public review, but the actual review text is not provided in the available data. This limits insight into user experience, so the reliability assessment rests mainly on the active status and hours. Overall reliability is cautious due to the sparse review content.</t>
  </si>
  <si>
    <t>accepted google identity: 14.7/15; review volume: 3.8/30; review consistency: 0.0/7; review freshness: 0.0/8; verified website: 0.0/15; confirmed irs record: 0.0/20; source corroboration: 1.7/5; Synthesis metadata: high (not part of numeric confidence)</t>
  </si>
  <si>
    <t>5412 Old Court Rd, Randallstown, MD 21133</t>
  </si>
  <si>
    <t>(410) 922-3200</t>
  </si>
  <si>
    <t>FutureCare - Old Court</t>
  </si>
  <si>
    <t>To request a tour, use the facility’s form. For individual-patient inquiries, contact the facility directly at the published phone number; for general questions or concerns, contact the Customer CareLine listed by the facility.</t>
  </si>
  <si>
    <t>FutureCare Old Court is a skilled-nursing and rehabilitation facility in Randallstown that offers inpatient rehabilitation services (physical, occupational, and speech-language therapies) and on-site long-term skilled nursing care, with specialized programs such as VitalStrong rehabilitation and CAMPStrong comprehensive amputee management.</t>
  </si>
  <si>
    <t>https://futurecare.com/locations/old-court/</t>
  </si>
  <si>
    <t>Reviews show a mix of experiences. Some recent reviews critique staff professionalism and communication, while other reviews highlight positive interactions with therapists and effective rehab care. The newest feedback points to concerns in some encounters, but there are also enduring stories of helpful therapists and quality rehabilitation from other reviewers.</t>
  </si>
  <si>
    <t>accepted google identity: 14.8/15; review volume: 30.0/30; review consistency: 1.2/7; review freshness: 7.3/8; verified website: 14.8/15; confirmed irs record: 0.0/20; source corroboration: 3.3/5; Synthesis metadata: high (not part of numeric confidence)</t>
  </si>
  <si>
    <t>5105 Old Court Rd, Randallstown, MD 21133</t>
  </si>
  <si>
    <t>(410) 496-4199</t>
  </si>
  <si>
    <t>Old Court Estates Co-op Apartments</t>
  </si>
  <si>
    <t>Eligibility evidenced for seniors 62+; rents are subsidized based on income (30% of income). Intake/tours are available by calling for tours. The property advertises subsidized rents and on-site staff; no other specific intake documents are listed in the sources.</t>
  </si>
  <si>
    <t>Old Court Estates Co-op Apartments is a senior-focused housing cooperative in Randallstown providing subsidized rental units within a 51-unit, three-story complex. It targets residents aged 62+, with subsidized rents (approximately 30% of income) and a smoke-free environment. On-site amenities and staff support residents, including a library with computer access, laundry facilities, a large community room, and overnight emergency staff, with the property located within walking distance to stores and public transit.</t>
  </si>
  <si>
    <t>https://www.csi.coop/housing/md/randallstown/old-court-estates/default</t>
  </si>
  <si>
    <t>Google Maps provides limited textual review content for this listing, with a small number of reviews and no available review text to summarize themes. The listing is marked operational and the official website corroborates the property's identity and features, but the sparse review data limits confidence in long-term user experience insights.</t>
  </si>
  <si>
    <t>accepted google identity: 14.8/15; review volume: 8.9/30; review consistency: 7.0/7; review freshness: 3.3/8; verified website: 14.8/15; confirmed irs record: 0.0/20; source corroboration: 3.3/5; Synthesis metadata: medium (not part of numeric confidence)</t>
  </si>
  <si>
    <t>4802 Wendell Ave, Baltimore, MD 21206</t>
  </si>
  <si>
    <t>(443) 762-0314</t>
  </si>
  <si>
    <t>Olive Living Assisted Living LLC</t>
  </si>
  <si>
    <t>A physical-location facility listed as a nursing home in Baltimore that provides around-the-clock supervision and housing for residents.</t>
  </si>
  <si>
    <t>http://www.oliveassistedliving.com/assisted-living-facility-contact-us</t>
  </si>
  <si>
    <t>Reviews describe the facility as clean and the residents as happy, with praise for the owners and staff who feel like family. The only publicly available review is from August 2025 and reports a home-like atmosphere with attentive staff. With just a single positive review and no recent updates, it’s difficult to confirm a broad or current pattern of performance.</t>
  </si>
  <si>
    <t>accepted google identity: 14.7/15; review volume: 5.0/30; review consistency: 7.0/7; review freshness: 3.8/8; verified website: 14.7/15; confirmed irs record: 0.0/20; source corroboration: 3.3/5; Synthesis metadata: high (not part of numeric confidence)</t>
  </si>
  <si>
    <t>1401 E Oliver St, Baltimore, MD 21213</t>
  </si>
  <si>
    <t>(410) 347-9694</t>
  </si>
  <si>
    <t>Oliver Plaza LP</t>
  </si>
  <si>
    <t>A physical housing property (apartment building) located at 1401 East Oliver Street, Baltimore, MD, identified in listings as Oliver Plaza LP.</t>
  </si>
  <si>
    <t>Google Maps provides limited consumer feedback for this listing: a single recent review within the sample describes dirty conditions and unresponsive management. With only one recent review and no corroborating feedback, there isn’t enough data to establish a reliable pattern of service quality. Other signals indicate basic property details but do not clarify specific services or eligibility requirements.</t>
  </si>
  <si>
    <t>accepted google identity: 14.2/15; review volume: 15.8/30; review consistency: 7.0/7; review freshness: 7.4/8; verified website: 0.0/15; confirmed irs record: 0.0/20; source corroboration: 1.7/5; Synthesis metadata: insufficient_evidence (not part of numeric confidence)</t>
  </si>
  <si>
    <t>1700 N Gay St # B, Baltimore, MD 21213</t>
  </si>
  <si>
    <t>(410) 396-3861</t>
  </si>
  <si>
    <t>Oliver Senior Center-Home</t>
  </si>
  <si>
    <t>A physical senior center/community hub for older adults in Baltimore, located at 1700 N Gay St.</t>
  </si>
  <si>
    <t>Reviews describe a welcoming, social atmosphere with events and activities for seniors. The most recent feedback is very positive, and older entries similarly reflect a favorable impression. There is at least one older note suggesting the reviewer had no opinion on the center’s services. Overall, recent feedback points in a positive direction, though the sample is small.</t>
  </si>
  <si>
    <t>accepted google identity: 14.6/15; review volume: 24.0/30; review consistency: 4.2/7; review freshness: 7.7/8; verified website: 0.0/15; confirmed irs record: 0.0/20; source corroboration: 1.7/5; Synthesis metadata: insufficient_evidence (not part of numeric confidence)</t>
  </si>
  <si>
    <t>111 West Road, Towson, MD 21204</t>
  </si>
  <si>
    <t>(410) 828-6500</t>
  </si>
  <si>
    <t>Orchard Hill Rehabilitation &amp; Healthcare Center</t>
  </si>
  <si>
    <t>Orchard Hill Rehabilitation &amp; Healthcare Center provides post-acute rehabilitation and skilled nursing care in Towson, offering a continuum of subacute rehab and related therapies, with on-site dialysis.</t>
  </si>
  <si>
    <t>https://orchardhillrehab.com/?utm_source=google&amp;utm_medium=organic&amp;utm_campaign=gmb&amp;utm_content=main_button</t>
  </si>
  <si>
    <t>Reviews show many residents and families praising friendly, attentive staff and strong therapy programs, with progress and good experiences highlighted. A subset of newer reviews describe concerns about cleanliness and staffing responsiveness, including delays in aides and odors; management responses indicate ongoing efforts to address issues. Overall, the recent feedback is mixed but with a clear pattern of positive experiences alongside persistent quality-of-care concerns.</t>
  </si>
  <si>
    <t>accepted google identity: 14.2/15; review volume: 30.0/30; review consistency: 2.7/7; review freshness: 7.9/8; verified website: 14.2/15; confirmed irs record: 0.0/20; source corroboration: 3.3/5; Synthesis metadata: high (not part of numeric confidence)</t>
  </si>
  <si>
    <t>4410 White Ave, Baltimore, MD 21206</t>
  </si>
  <si>
    <t>(443) 759-9015</t>
  </si>
  <si>
    <t>Our Helping Hands llc</t>
  </si>
  <si>
    <t>Monday: 7 AM to 8 PM; Tuesday: 7 AM to 8 PM; Wednesday: 7 AM to 8 PM; Thursday: 7 AM to 8 PM; Friday: 7 AM to 8 PM; Saturday: 7 AM to 8 PM; Sunday: Closed</t>
  </si>
  <si>
    <t>Residential care facility offering assisted living in an 8-bed Baltimore site, with 24/7 on-site medical oversight and related wellness services. The organization provides on-site COVID-19 testing and a mobile lab, aligned with a holistic approach to elder care.</t>
  </si>
  <si>
    <t>http://www.ourhelpinghandsllc.org/</t>
  </si>
  <si>
    <t>No Reviews exist for this listing, so there is no consumer feedback to summarize. The site and maps listing are both verified and describe residential care, assisted living, and on-site/mobile COVID-19 testing, but there is no user experience data to gauge reliability. Without reviews, readers should seek additional feedback or references to confirm service delivery.</t>
  </si>
  <si>
    <t>200 Kane St, Baltimore, MD 21224</t>
  </si>
  <si>
    <t>(667) 600-3301</t>
  </si>
  <si>
    <t>Our Lady of Fatima II</t>
  </si>
  <si>
    <t>Eligibility and application information is provided on site; residents must be 62+ and qualify for rent-assisted housing. Contact 667-600-2280 to apply; one phone call and one application required; no application fee.</t>
  </si>
  <si>
    <t>Our Lady of Fatima II Senior Community is Catholic Charities’ senior housing in Baltimore, offering 68 rent-assisted, one-bedroom apartments for adults 62 and over in East Baltimore. The property provides housing and related amenities (wellness services, gardens, laundry, elevator access, wifi, and parking) to support daily living for older adults.</t>
  </si>
  <si>
    <t>https://cc-md.org/programs/our-lady-of-fatima-2/</t>
  </si>
  <si>
    <t>Reviews for this listing point to a generally positive community atmosphere, with a detailed past note about residents being friendly and a pleasant environment. The most recent detailed feedback in the sample continues to reflect a positive impression, while some older entries provide neutral or limited feedback. Overall, Reviews suggest a favorable impression of the housing environment, with limited recent feedback to gauge current conditions.</t>
  </si>
  <si>
    <t>accepted google identity: 14.2/15; review volume: 19.8/30; review consistency: 4.5/7; review freshness: 3.1/8; verified website: 14.2/15; confirmed irs record: 0.0/20; source corroboration: 3.3/5; Synthesis metadata: medium (not part of numeric confidence)</t>
  </si>
  <si>
    <t>4314 Fullerton Ave, Baltimore, MD 21236</t>
  </si>
  <si>
    <t>(410) 887-5220</t>
  </si>
  <si>
    <t>Overlea-Fullerton Senior Center</t>
  </si>
  <si>
    <t>Overlea-Fullerton Senior Center provides a small, active community space for seniors with a range of in-person programs and events, including line dancing, sewing, crocheting, arts and crafts, card games, a large library, and a Red Hat Society, plus a travel program and luncheons.</t>
  </si>
  <si>
    <t>https://www.baltimorecountymd.gov/departments/aging/centers/overlea-fullerton</t>
  </si>
  <si>
    <t>Reviews describe Overlea-Fullerton Senior Center as a small, friendly hub with a range of activities and a travel program. Reviewers frequently mention welcoming staff and engaging programs, though a few note issues such as parking, noise, or management in some interactions. The most recent feedback includes a strongly negative appraisal of the director, while many other reviews continue to highlight a positive community atmosphere.</t>
  </si>
  <si>
    <t>accepted google identity: 14.2/15; review volume: 30.0/30; review consistency: 2.0/7; review freshness: 6.1/8; verified website: 14.2/15; confirmed irs record: 20.0/20; source corroboration: 5.0/5; Synthesis metadata: high (not part of numeric confidence)</t>
  </si>
  <si>
    <t>9773 Groffs Mill Dr, Owings Mills, MD 21117</t>
  </si>
  <si>
    <t>(667) 600-3180</t>
  </si>
  <si>
    <t>Owings Mills New Town, a Catholic Charities Senior Community</t>
  </si>
  <si>
    <t>Eligibility: adults 62 and older seeking affordable housing; housing type: rent-assisted senior apartments. The program is part of Catholic Charities Senior Communities.</t>
  </si>
  <si>
    <t>Owings Mills New Town, a Catholic Charities Senior Community, offers rent-assisted, one-bedroom apartments for seniors in Owings Mills as part of Catholic Charities’ broader senior-housing program in the Baltimore area.</t>
  </si>
  <si>
    <t>Google Maps lists the Owings Mills New Town Senior Community as an active listing and the Catholic Charities MD website corroborates its senior-housing focus. The retrieved Reviews include no readable text, so there are no recurring themes to report. Overall, the listing appears active and consistent across sources, but the lack of review content makes it hard to gauge resident experiences.</t>
  </si>
  <si>
    <t>accepted google identity: 14.8/15; review volume: 14.5/30; review consistency: 7.0/7; review freshness: 7.7/8; verified website: 14.8/15; confirmed irs record: 0.0/20; source corroboration: 3.3/5; Synthesis metadata: high (not part of numeric confidence)</t>
  </si>
  <si>
    <t>3820 W Cold Spring Ln, Baltimore, MD 21215</t>
  </si>
  <si>
    <t>(410) 542-8511</t>
  </si>
  <si>
    <t>Palmer Home Care Facility</t>
  </si>
  <si>
    <t>Wheelchair accessible entrance and parking; location at 3820 W Cold Spring Ln, Baltimore, MD 21215; phone: (410) 542-8511. No documented intake, eligibility, or referral requirements were evidenced.</t>
  </si>
  <si>
    <t>Palmer Home Care Facility, Inc appears to be a physical, residential care facility in Baltimore described by Google Maps as an assisted living facility.</t>
  </si>
  <si>
    <t>There is one public Review for this listing with a positive rating, but no review text is available to summarize themes or trends. The listing is shown as operational, and the available evidence does not provide enough detail to identify recurring experiences.</t>
  </si>
  <si>
    <t>accepted google identity: 14.5/15; review volume: 3.8/30; review consistency: 0.0/7; review freshness: 0.0/8; verified website: 0.0/15; confirmed irs record: 0.0/20; source corroboration: 1.7/5; Synthesis metadata: medium (not part of numeric confidence)</t>
  </si>
  <si>
    <t>5617 Belair Rd, Baltimore, MD 21206</t>
  </si>
  <si>
    <t>(410) 483-4444</t>
  </si>
  <si>
    <t>Paradise Adult Medical Daycare</t>
  </si>
  <si>
    <t>Eligibility appears to include adults with chronic medical conditions or severe persistent mental illness; intake and admissions are handled by the care-management team; admissions inquiries via the website contact form or phone; the program emphasizes respite for caregivers.</t>
  </si>
  <si>
    <t>Monday: 7 AM to 2:30 PM; Tuesday: 7 AM to 2:30 PM; Wednesday: 7 AM to 2:30 PM; Thursday: 7 AM to 2:30 PM; Friday: 7 AM to 2:30 PM; Saturday: 7 AM to 1:30 PM; Sunday: 7 AM to 1:30 PM</t>
  </si>
  <si>
    <t>Paradise Adult Medical Daycare offers a structured day program for adults that combines medical day services, psychiatric rehabilitation, vocational coaching, and case management in a supervised, therapeutic setting.</t>
  </si>
  <si>
    <t>http://www.pamdc.com/</t>
  </si>
  <si>
    <t>Reviews for Paradise Adult Medical Daycare are sparse but generally positive, with recurring themes of caring staff and engaging activities that make the environment supportive for participants. The newest public review notes that staff are caring and that participants are kept busy, and overall sentiment appears to stay favorable despite the small sample size. Because the review sample is small, extractable trends are limited.</t>
  </si>
  <si>
    <t>accepted google identity: 14.2/15; review volume: 10.1/30; review consistency: 7.0/7; review freshness: 2.0/8; verified website: 14.2/15; confirmed irs record: 0.0/20; source corroboration: 3.3/5; Synthesis metadata: medium (not part of numeric confidence)</t>
  </si>
  <si>
    <t>6348 Frederick Rd, Catonsville, MD 21228</t>
  </si>
  <si>
    <t>(410) 744-8433</t>
  </si>
  <si>
    <t>Paradise Assisted Living &amp; Memory Care</t>
  </si>
  <si>
    <t>Paradise Assisted Living is a senior housing facility in Catonsville, MD that provides assisted living care for residents.</t>
  </si>
  <si>
    <t>http://paradiseassistedliving.com/</t>
  </si>
  <si>
    <t>Public Reviews for Paradise Assisted Living show limited detail in this dataset. There is at least one strongly negative comment alleging neglect or abuse, and the newest available review is several years old, making it difficult to assess current performance. Overall, the small sample prevents drawing a definitive conclusion about ongoing quality.</t>
  </si>
  <si>
    <t>accepted google identity: 14.3/15; review volume: 12.7/30; review consistency: 7.0/7; review freshness: 1.3/8; verified website: 14.3/15; confirmed irs record: 0.0/20; source corroboration: 3.3/5; Synthesis metadata: medium (not part of numeric confidence)</t>
  </si>
  <si>
    <t>600 Sudbrook Rd, Pikesville, MD 21208</t>
  </si>
  <si>
    <t>(410) 504-8182</t>
  </si>
  <si>
    <t>Paradise Place at Sudbrook</t>
  </si>
  <si>
    <t>Paradise Place at Sudbrook is an assisted living facility offering personalized care plans, memory care, medication management, and on-site therapies in a home-like setting.</t>
  </si>
  <si>
    <t>https://www.theparadiseplace.org/</t>
  </si>
  <si>
    <t>Reviews for Paradise Place at Sudbrook are consistently positive, with families noting attentive staff, a hands-on owner, and a warm, home-like environment. Reviewers commonly describe residents as well-cared-for and families as being kept informed about loved ones’ progress. The most recent reviews align with these themes, indicating continued satisfaction with the care and communication.</t>
  </si>
  <si>
    <t>accepted google identity: 14.8/15; review volume: 21.7/30; review consistency: 7.0/7; review freshness: 4.9/8; verified website: 14.8/15; confirmed irs record: 0.0/20; source corroboration: 3.3/5; Synthesis metadata: high (not part of numeric confidence)</t>
  </si>
  <si>
    <t>5430 Park Heights Ave, Baltimore, MD 21215</t>
  </si>
  <si>
    <t>(240) 635-9761</t>
  </si>
  <si>
    <t>Park Heights Place</t>
  </si>
  <si>
    <t>Eligibility: adults aged 62 and older; leasing is currently open.</t>
  </si>
  <si>
    <t>Park Heights Place is a 62+ senior apartment community in Baltimore offering one- and two-bedroom homes with on-site amenities and resident services, including a social program, a courtyard, a shuttle to local shops, and 24-hour maintenance.</t>
  </si>
  <si>
    <t>http://parkheightsplace.enterpriseresidential.org/</t>
  </si>
  <si>
    <t>Reviews show a mix of positive experiences related to community feel and staff responsiveness, alongside recurring concerns about the rental process and documentation handling. The newest reviews appear positive, suggesting some improvement, but the overall tone remains tempered with administrative frustrations.</t>
  </si>
  <si>
    <t>accepted google identity: 14.7/15; review volume: 18.7/30; review consistency: 1.8/7; review freshness: 8.0/8; verified website: 14.7/15; confirmed irs record: 0.0/20; source corroboration: 3.3/5; Synthesis metadata: medium (not part of numeric confidence)</t>
  </si>
  <si>
    <t>1705 E Eager St, Baltimore, MD 21205</t>
  </si>
  <si>
    <t>(667) 382-8279</t>
  </si>
  <si>
    <t>Park View At Ashland Terrace</t>
  </si>
  <si>
    <t>Eligibility: 62+ age; Independent living capable; On-site management and maintenance available.</t>
  </si>
  <si>
    <t>Park View at Ashland Terrace is a senior apartment community for ages 62 and older, offering one- and two-bedroom homes with on-site management and maintenance. The property lists on-site amenities such as a fitness center, library, media room, computer center, and laundry facilities, and is located in East Baltimore with access to public transportation and nearby services.</t>
  </si>
  <si>
    <t>http://ashlandterrace.enterpriseresidential.org/</t>
  </si>
  <si>
    <t>Reviews show a mix of positive notes about the building’s condition and amenities, but also concerns about noise and package theft reported by at least one recent reviewer. The newest reviewer’s comments are several months old, and there are no owner responses documented. Overall, the listing appears functional and verifiably active, but the limited review sample means caution is warranted when drawing conclusions about quality.</t>
  </si>
  <si>
    <t>accepted google identity: 14.6/15; review volume: 11.1/30; review consistency: 7.0/7; review freshness: 6.2/8; verified website: 14.6/15; confirmed irs record: 0.0/20; source corroboration: 3.3/5; Synthesis metadata: medium (not part of numeric confidence)</t>
  </si>
  <si>
    <t>303 Maiden Choice Ln, Catonsville, MD 21228</t>
  </si>
  <si>
    <t>(667) 282-1272</t>
  </si>
  <si>
    <t>Park View at Catonsville</t>
  </si>
  <si>
    <t>Age 62+ required; independent living community; on-site staff and maintenance; contact the property for availability and leasing details.</t>
  </si>
  <si>
    <t>Park View at Catonsville is an independent senior living apartment community for adults 62 and older in Catonsville, MD, offering one-bedroom homes with on-site amenities such as a fitness center, library, salon, wellness suite, and resident activities, plus on-site maintenance and scheduled tours.</t>
  </si>
  <si>
    <t>http://catonsville.enterpriseresidential.org/</t>
  </si>
  <si>
    <t>Google Maps reliability input shows limited qualitative feedback. The available sample includes a single 4-star review with no text, and the listing owner has responded to reviews, indicating some engagement. Because there is not enough review text to identify recurring themes or concerns, it's difficult to gauge typical resident experiences from this data alone.</t>
  </si>
  <si>
    <t>accepted google identity: 14.8/15; review volume: 11.1/30; review consistency: 7.0/7; review freshness: 7.6/8; verified website: 14.8/15; confirmed irs record: 0.0/20; source corroboration: 3.3/5; Synthesis metadata: medium (not part of numeric confidence)</t>
  </si>
  <si>
    <t>4803 Tamarind Rd Apt 100, Baltimore, MD 21209</t>
  </si>
  <si>
    <t>(410) 542-4400</t>
  </si>
  <si>
    <t>Park View at Coldspring</t>
  </si>
  <si>
    <t>Eligibility appears to be adults 62+; income qualifications may apply; pet-friendly; contact for availability and to schedule a tour.</t>
  </si>
  <si>
    <t>Park View at Coldspring is a garden-style senior apartment community in Baltimore offering renovated one- and two-bedroom homes for adults 62+ with on-site amenities and services such as a fitness center, community rooms, wellness activities, and door-to-door transportation. The property is pet-friendly and provides resident support and secured parking; it operates as a physical housing service with accessible facilities.</t>
  </si>
  <si>
    <t>http://coldspring.enterpriseresidential.org/</t>
  </si>
  <si>
    <t>Google Maps confirms Park View at Coldspring is an active senior-housing property, and the official website corroborates its features and senior focus. The textual review content is not provided here, so I cannot summarize recurring themes or current feedback; core operational details and amenities are supported by the listed sources.</t>
  </si>
  <si>
    <t>accepted google identity: 14.8/15; review volume: 8.9/30; review consistency: 0.0/7; review freshness: 0.0/8; verified website: 14.8/15; confirmed irs record: 0.0/20; source corroboration: 3.3/5; Synthesis metadata: high (not part of numeric confidence)</t>
  </si>
  <si>
    <t>103 Center Pl, Dundalk, MD 21222</t>
  </si>
  <si>
    <t>(667) 843-9655</t>
  </si>
  <si>
    <t>Park View At Dundalk</t>
  </si>
  <si>
    <t>55+ age requirement; pet-friendly; on-site management; resident activities and transportation/outings; health and education seminars.</t>
  </si>
  <si>
    <t>Park View at Dundalk is a 55+ senior apartment community in Dundalk offering pet-friendly one-bedroom homes with accessible features, on-site management, and resident programs. The community highlights amenities such as a landscaped courtyard, on-site maintenance, and resident activities, including transportation for outings and health/education seminars.</t>
  </si>
  <si>
    <t>http://dundalk.enterpriseresidential.org/</t>
  </si>
  <si>
    <t>Reviews show a mix of positive feedback about the welcoming atmosphere, staff, and community activities, with at least one negative report about maintenance and pest concerns. The most recent reviews skew positive, and management responses indicate ongoing engagement. Data from the official site and Maps listing corroborate the housing-type service and on-site features.</t>
  </si>
  <si>
    <t>accepted google identity: 14.7/15; review volume: 19.8/30; review consistency: 0.9/7; review freshness: 7.0/8; verified website: 14.7/15; confirmed irs record: 0.0/20; source corroboration: 3.3/5; Synthesis metadata: medium (not part of numeric confidence)</t>
  </si>
  <si>
    <t>4300 Cardwell Ave #114, Baltimore, MD 21236</t>
  </si>
  <si>
    <t>(240) 219-2933</t>
  </si>
  <si>
    <t>Park View At Fullerton</t>
  </si>
  <si>
    <t>Eligibility: 62+ adults; non-smoking community; pets allowed. Intake/referral: contact leasing office to learn more, check availability, or schedule a tour.</t>
  </si>
  <si>
    <t>Park View at Fullerton is a senior apartment community in Baltimore for adults 62 and older, offering affordable one-bedroom homes with amenities such as a fitness center, on-site laundry facilities, a community room, a salon, and 24-hour maintenance. The property is described as pet-friendly, smoke-free, and located near shopping, healthcare services, and local senior centers.</t>
  </si>
  <si>
    <t>http://fullerton.enterpriseresidential.org/</t>
  </si>
  <si>
    <t>Reviews for Park View at Fullerton are sparse and do not include accessible text, making it difficult to summarize resident experiences. The listing is marked operational with set hours and website verification, but the lack of review content means we cannot reliably characterize service quality or satisfaction at this time.</t>
  </si>
  <si>
    <t>accepted google identity: 14.1/15; review volume: 7.7/30; review consistency: 0.0/7; review freshness: 0.0/8; verified website: 14.1/15; confirmed irs record: 0.0/20; source corroboration: 3.3/5; Synthesis metadata: insufficient_evidence (not part of numeric confidence)</t>
  </si>
  <si>
    <t>705 Compass Rd E, Middle River, MD 21220</t>
  </si>
  <si>
    <t>(667) 220-7533</t>
  </si>
  <si>
    <t>Park View at Miramar Landing</t>
  </si>
  <si>
    <t>Eligibility: adults 62+. Application handled through on-site management. No additional intake or eligibility details were evidenced.</t>
  </si>
  <si>
    <t>Park View at Miramar Landing is a senior apartment community in Middle River, MD for adults 62 and older. It offers one- and two-bedroom homes, is pet-friendly and smoke-free, and provides amenities such as a fitness center, resident activities, and on-site management with 24-hour emergency maintenance.</t>
  </si>
  <si>
    <t>http://miramarlanding.enterpriseresidential.org/</t>
  </si>
  <si>
    <t>Google Maps provides the primary reliability input, but the available review content is very limited: the newest review has no text and only a single review is represented in the sample. Because of the paucity of detailed feedback, it isn’t possible to identify recurring themes or trends about experiences at this property.</t>
  </si>
  <si>
    <t>accepted google identity: 14.8/15; review volume: 11.1/30; review consistency: 7.0/7; review freshness: 7.5/8; verified website: 14.8/15; confirmed irs record: 0.0/20; source corroboration: 3.3/5; Synthesis metadata: medium (not part of numeric confidence)</t>
  </si>
  <si>
    <t>3530 Resource Dr #1, Randallstown, MD 21133</t>
  </si>
  <si>
    <t>(240) 650-5348</t>
  </si>
  <si>
    <t>Park View At Randallstown</t>
  </si>
  <si>
    <t>Eligibility: 62+ seniors; income and program requirements may apply. Leasing information indicates immediate move-ins are available; contact the leasing team for availability. On-site transportation program is available to residents.</t>
  </si>
  <si>
    <t>Park View at Randallstown is a 62+ senior apartment community in Randallstown, MD offering affordable one-bedroom homes with on-site amenities such as a community room, hair salon, lending library, and resident activities; a transportation program provides regularly scheduled trips for residents.</t>
  </si>
  <si>
    <t>http://randallstown.enterpriseresidential.org/</t>
  </si>
  <si>
    <t>Review content from Google Maps is not accessible in detail in this dataset, so usable user-feedback themes cannot be summarized. The listing provides basic operational details and hours, but there is insufficient textual review content to gauge resident experience or satisfaction.</t>
  </si>
  <si>
    <t>accepted google identity: 14.7/15; review volume: 6.1/30; review consistency: 0.0/7; review freshness: 0.0/8; verified website: 14.7/15; confirmed irs record: 0.0/20; source corroboration: 3.3/5; Synthesis metadata: medium (not part of numeric confidence)</t>
  </si>
  <si>
    <t>1315 Chesaco Ave #320, Rosedale, MD 21237</t>
  </si>
  <si>
    <t>(667) 222-0374</t>
  </si>
  <si>
    <t>Park View At Rosedale</t>
  </si>
  <si>
    <t>Age 62+ senior living. Inquiries: contact the leasing office to learn more, check availability, or schedule a tour.</t>
  </si>
  <si>
    <t>Monday: 9 AM to 5 PM; Tuesday: 9 AM to 5 PM; Wednesday: 11 AM to 5 PM; Thursday: 9 AM to 5 PM; Friday: 9 AM to 5 PM; Saturday: Closed; Sunday: Closed</t>
  </si>
  <si>
    <t>Park View at Rosedale is a senior apartment community for adults 62 and older in Rosedale, MD. It offers one- and two-bedroom rental homes with on-site amenities including a fitness center, community room, computer center, media room, salon services, laundry facilities, and resident services; the property is owned by Enterprise Community Development and managed by Enterprise Residential, located near shopping and healthcare.</t>
  </si>
  <si>
    <t>http://rosedale.enterpriseresidential.org/</t>
  </si>
  <si>
    <t>Reviews show a mix of experiences. Some residents praise the property’s amenities and management responsiveness, while others report ongoing maintenance and safety concerns (mold in a unit, heat issues, alarm system problems, and rent increases). The latest detailed feedback indicates ongoing dissatisfaction, though there are mentions of management engaging with residents. Overall, the sentiment is mixed, with meaningful positive aspects alongside recurring concerns.</t>
  </si>
  <si>
    <t>accepted google identity: 14.7/15; review volume: 19.2/30; review consistency: 1.8/7; review freshness: 6.3/8; verified website: 14.7/15; confirmed irs record: 0.0/20; source corroboration: 3.3/5; Synthesis metadata: medium (not part of numeric confidence)</t>
  </si>
  <si>
    <t>4102 Taylor Ave, Baltimore, MD 21236</t>
  </si>
  <si>
    <t>(667) 230-5828</t>
  </si>
  <si>
    <t>Park View At Taylor</t>
  </si>
  <si>
    <t>Eligibility: 62+ age; Lease by application; contact leasing office to learn more or schedule a tour.</t>
  </si>
  <si>
    <t>Park View at Taylor is a senior apartment community in Baltimore offering 1- and 2-bedroom homes, with pet-friendly and smoke-free policies, on-site management, and amenities designed for comfortable senior living.</t>
  </si>
  <si>
    <t>http://taylor.enterpriseresidential.org/</t>
  </si>
  <si>
    <t>Reviews show generally positive experiences, with praise for staff and maintenance, and some mention of insect issues in an older building that management addressed. The newest feedback remains favorable, and the overall listing suggests a well-maintained senior housing community. The limited sample corroborates the housing-focused nature and responsive on-site team.</t>
  </si>
  <si>
    <t>accepted google identity: 14.7/15; review volume: 13.2/30; review consistency: 7.0/7; review freshness: 4.3/8; verified website: 14.7/15; confirmed irs record: 0.0/20; source corroboration: 3.3/5; Synthesis metadata: high (not part of numeric confidence)</t>
  </si>
  <si>
    <t>20 Dunvale Rd, Towson, MD 21204</t>
  </si>
  <si>
    <t>(240) 569-8046</t>
  </si>
  <si>
    <t>Park View at Towson</t>
  </si>
  <si>
    <t>55+ age-restricted community.</t>
  </si>
  <si>
    <t>Park View at Towson is a 55+ active-adult apartment community in Towson, MD offering studio and 1- to 2-bedroom homes with on-site maintenance and resident programs. The property features amenities such as an elevator building, pet-friendly policies, on-site parking, and social activities (fitness classes, bingo, social events) with convenient access to Towson Town Center, medical facilities, and public transportation.</t>
  </si>
  <si>
    <t>http://towson.enterpriseresidential.org/</t>
  </si>
  <si>
    <t>Reviews show mixed experiences: some residents praise the location, amenities, and resident programs, while several reviews cite slow responses to maintenance issues, communication gaps, and concerns about rents or staff conduct. The most recent reviews suggest ongoing issues with management responsiveness in some cases, indicating that experiences may vary by unit or staff. Overall, public feedback is limited and impressions are not uniformly positive or negative.</t>
  </si>
  <si>
    <t>accepted google identity: 14.7/15; review volume: 16.8/30; review consistency: 4.1/7; review freshness: 6.9/8; verified website: 14.7/15; confirmed irs record: 0.0/20; source corroboration: 3.3/5; Synthesis metadata: medium (not part of numeric confidence)</t>
  </si>
  <si>
    <t>2020 Featherbed Ln, Baltimore, MD 21207</t>
  </si>
  <si>
    <t>(240) 569-8245</t>
  </si>
  <si>
    <t>Park View At Woodlawn</t>
  </si>
  <si>
    <t>Eligibility: adults 62+; intake via on-site management; tours are available to prospective residents.</t>
  </si>
  <si>
    <t>Park View at Woodlawn is a senior apartment community in Woodlawn, Maryland, offering one-bedroom homes for adults aged 62 and up. It provides on-site management, a community room and library, elevator access, and 24-hour emergency maintenance, along with resident services designed to connect residents with local resources.</t>
  </si>
  <si>
    <t>http://woodlawn.enterpriseresidential.org/</t>
  </si>
  <si>
    <t>Reviews for Park View at Woodlawn indicate a small, positive sample: recent notes describe the building as clean and staff as friendly, and callers identify the property as a nice senior apartment community. The newest reviews (May 2026) continue this positive tone, suggesting residents feel satisfied with living there. With two recent reviews in the sample and no contrasting feedback in the provided text, the current impression remains favorable.</t>
  </si>
  <si>
    <t>accepted google identity: 14.2/15; review volume: 14.5/30; review consistency: 5.2/7; review freshness: 6.5/8; verified website: 14.2/15; confirmed irs record: 0.0/20; source corroboration: 3.3/5; Synthesis metadata: high (not part of numeric confidence)</t>
  </si>
  <si>
    <t>8601 Harford Rd, Baltimore, MD 21234</t>
  </si>
  <si>
    <t>(410) 887-5338</t>
  </si>
  <si>
    <t>Parkville Senior Center</t>
  </si>
  <si>
    <t>Wheelchair accessible entrance.</t>
  </si>
  <si>
    <t>Parkville Senior Center serves as a community hub for seniors, offering spaces for classes, activities, social events, and outings. Reviewers repeatedly note friendly staff and volunteers, a broad range of activities, and even exercise equipment, making it a social and recreational resource for older adults.</t>
  </si>
  <si>
    <t>https://www.baltimorecountymd.gov/departments/aging/centers/parkville</t>
  </si>
  <si>
    <t>Reviews for Parkville Senior Center are largely positive, with frequent notes of friendly staff, helpful volunteers, and a variety of classes and activities that keep seniors engaged. A few newer reviews mention the building’s age and elevator issues, but overall feedback indicates the staff and programs are well-regarded and align with prior positive impressions.</t>
  </si>
  <si>
    <t>accepted google identity: 14.7/15; review volume: 30.0/30; review consistency: 4.9/7; review freshness: 5.6/8; verified website: 14.7/15; confirmed irs record: 20.0/20; source corroboration: 5.0/5; Synthesis metadata: high (not part of numeric confidence)</t>
  </si>
  <si>
    <t>9109 Liberty Rd, Randallstown, MD 21133</t>
  </si>
  <si>
    <t>(410) 655-7373</t>
  </si>
  <si>
    <t>Patapsco Healthcare</t>
  </si>
  <si>
    <t>Patapsco Healthcare is a nursing home facility in Randallstown, Maryland. Google Maps describes it as a long-term care setting with 24-hour operation.</t>
  </si>
  <si>
    <t>http://www.patapscohcr.com/</t>
  </si>
  <si>
    <t>Reviews for Patapsco Healthcare show a mix of positive comments about cleanliness and friendly staff and occasional serious concerns about neglect and access to records. The most recent substantive feedback includes praise for courteous staff and a clean facility, but a late-May review alleges neglect and difficulty obtaining records, suggesting some ongoing issues for a portion of residents' families. Overall, recent sentiment appears mixed, with the latest commentary not uniformly aligned with earlier compliments.</t>
  </si>
  <si>
    <t>accepted google identity: 14.8/15; review volume: 30.0/30; review consistency: 3.0/7; review freshness: 7.8/8; verified website: 14.8/15; confirmed irs record: 0.0/20; source corroboration: 3.3/5; Synthesis metadata: medium (not part of numeric confidence)</t>
  </si>
  <si>
    <t>158 N Linwood Ave, Baltimore, MD 21224</t>
  </si>
  <si>
    <t>(410) 396-0983</t>
  </si>
  <si>
    <t>Enoch Pratt Free Library - Patterson Park Branch</t>
  </si>
  <si>
    <t>Patterson Park Branch of the Enoch Pratt Free Library is a public library branch offering a broad range of library services to the public, including free Wi‑Fi, public computers, printing, ESL classes, children's and teen areas, job and career assistance, and community programs and events.</t>
  </si>
  <si>
    <t>https://www.prattlibrary.org/locations/patterson-park</t>
  </si>
  <si>
    <t>Reviews depict Patterson Park Branch as a quiet, clean, and welcoming space with friendly staff and helpful service; reviewers repeatedly note a well-kept environment and a variety of programs for all ages. A small number of extracts mention limited initiative in some interactions, but the newest reviews continue to reflect positives about the space and staff, suggesting the overall sentiment remains favorable.</t>
  </si>
  <si>
    <t>accepted google identity: 14.7/15; review volume: 30.0/30; review consistency: 3.9/7; review freshness: 7.9/8; verified website: 14.7/15; confirmed irs record: 0.0/20; source corroboration: 3.3/5; Synthesis metadata: high (not part of numeric confidence)</t>
  </si>
  <si>
    <t>6535 Charles St, Towson, MD 21204</t>
  </si>
  <si>
    <t>Dr. Jani GBMC Physician's Pavilion North</t>
  </si>
  <si>
    <t>Appointments recommended; wheelchair accessible entrance; wheelchair accessible restroom; paid parking available (garage) per on-site accessibility and parking info.</t>
  </si>
  <si>
    <t>GBMC Pavilion North is a physician office location affiliated with Greater Baltimore Medical Center, serving as a GBMC doctor’s pavilion in the Towson area.</t>
  </si>
  <si>
    <t>http://www.gbmc.org/</t>
  </si>
  <si>
    <t>Reviews show a mix of experiences. Many reviewers note clean facilities and competent doctors, but there are recurring frustrations with front-desk or administrative staff and referral handling. A number of newer reviews fall around the mid-range, with occasional negative experiences, indicating mixed sentiment rather than a clear trend toward steady improvement. The overall reliability signal is tempered by some data conflicts noted in field corrections.</t>
  </si>
  <si>
    <t>accepted google identity: 14.1/15; review volume: 28.3/30; review consistency: 1.6/7; review freshness: 6.1/8; verified website: 14.1/15; confirmed irs record: 0.0/20; source corroboration: 3.3/5; Synthesis metadata: medium (not part of numeric confidence)</t>
  </si>
  <si>
    <t>5741 Edmondson Ave, Catonsville, MD 21228</t>
  </si>
  <si>
    <t>(410) 744-4977</t>
  </si>
  <si>
    <t>Ridgeway Village Assisted Living</t>
  </si>
  <si>
    <t>Ridgeway Village Assisted Living provides personalized assisted living with 24/7 nursing care, memory care, and therapy programs for seniors in Catonsville, MD.</t>
  </si>
  <si>
    <t>https://www.ridgewayrc.com/assisted-living/</t>
  </si>
  <si>
    <t>Google Maps shows a mix of reviews for the listing, including at least one 5-star and one 1-star review. The 1-star review alleges unprofessional behavior and missing glasses, while the newer 5-star review provides limited textual detail. The listing appears accessible via the associated website, which corroborates core services, but an address discrepancy is noted in field corrections that should be resolved before an in-person visit.</t>
  </si>
  <si>
    <t>accepted google identity: 14.2/15; review volume: 15.6/30; review consistency: 0.0/7; review freshness: 3.5/8; verified website: 14.2/15; confirmed irs record: 0.0/20; source corroboration: 3.3/5; Synthesis metadata: medium (not part of numeric confidence)</t>
  </si>
  <si>
    <t>1520 W North Ave, Baltimore, MD 21217</t>
  </si>
  <si>
    <t>(410) 383-8595</t>
  </si>
  <si>
    <t>Penn North Plaza</t>
  </si>
  <si>
    <t>Penn North Plaza is a senior apartment community in Baltimore offering ADA‑compliant studio and one‑bedroom rental units with an active resident community and on‑site social activities, including communal meals and spaces to connect with neighbors.</t>
  </si>
  <si>
    <t>Google Maps shows a listing for Penn North Plaza with a review, but the review text is unavailable, so sentiment cannot be determined. The listing appears operational and provides set hours. There are no additional platform reviews in the data. Overall, the available review information is too thin to draw conclusions about user experience.</t>
  </si>
  <si>
    <t>accepted google identity: 14.7/15; review volume: 5.0/30; review consistency: 7.0/7; review freshness: 6.1/8; verified website: 0.0/15; confirmed irs record: 20.0/20; source corroboration: 3.3/5; Synthesis metadata: high (not part of numeric confidence)</t>
  </si>
  <si>
    <t>1531 W North Ave, Baltimore, MD 21217</t>
  </si>
  <si>
    <t>(410) 396-0399</t>
  </si>
  <si>
    <t>Enoch Pratt Free Library - Pennsylvania Avenue Branch</t>
  </si>
  <si>
    <t>Not ADA Accessible</t>
  </si>
  <si>
    <t>The Pennsylvania Avenue Branch is a public library location offering free internet access and public computers, printing services, spaces for children and teens, career resources, and a variety of programs for all ages.</t>
  </si>
  <si>
    <t>https://www.prattlibrary.org/locations/pennsylvania-ave</t>
  </si>
  <si>
    <t>Reviews consistently describe helpful staff, a good selection of materials, and usable spaces, with patrons noting programs and services for all ages. A few reviewers mention safety concerns about the surrounding area. The most recent reviews retain a generally positive tone, suggesting satisfaction with staff and services remains steady.</t>
  </si>
  <si>
    <t>accepted google identity: 14.2/15; review volume: 30.0/30; review consistency: 2.2/7; review freshness: 7.7/8; verified website: 14.2/15; confirmed irs record: 20.0/20; source corroboration: 5.0/5; Synthesis metadata: high (not part of numeric confidence)</t>
  </si>
  <si>
    <t>361 Boiler House Rd, Perry Point, MD 21902</t>
  </si>
  <si>
    <t>(410) 642-2411</t>
  </si>
  <si>
    <t>Perry Point VA Medical Center - VA Maryland Health Care System</t>
  </si>
  <si>
    <t>Appointments recommended.</t>
  </si>
  <si>
    <t>Perry Point VA Medical Center is a Department of Veterans Affairs medical facility providing hospital and clinic-based health care for veterans.</t>
  </si>
  <si>
    <t>http://www.va.gov/directory/guide/facility.asp?id=185</t>
  </si>
  <si>
    <t>Reviewers consistently note caring medical staff and generally good care, with several mentions of helpful veteran support services. A common concern is longer wait times for appointments and variability by provider. The most recent reviews show mixed experiences—some positive experiences with staff and care, but ongoing scheduling delays that may affect newer visits.</t>
  </si>
  <si>
    <t>accepted google identity: 14.8/15; review volume: 30.0/30; review consistency: 1.7/7; review freshness: 7.9/8; verified website: 14.8/15; confirmed irs record: 0.0/20; source corroboration: 3.3/5; Synthesis metadata: high (not part of numeric confidence)</t>
  </si>
  <si>
    <t>615 Chestnut Ave, Baltimore, MD 21204</t>
  </si>
  <si>
    <t>(410) 825-7423</t>
  </si>
  <si>
    <t>Pickersgill Retirement Community</t>
  </si>
  <si>
    <t>Pickersgill Retirement Community offers multiple levels of senior living, including independent living, assisted living, and skilled nursing, with an on-site rehab center providing in-house physical therapy, occupational therapy, and speech therapy.</t>
  </si>
  <si>
    <t>http://pickersgillretirement.org/</t>
  </si>
  <si>
    <t>Google Maps listings describe a retirement community offering multiple care levels and an on-site rehab center. Recent reviews are mixed, with some residents praising staff and the community, while others report cleanliness concerns and perceived disrespect from staff. The newest reviews include a 1-star post about poor conditions, but prior reviews contain positive remarks such as “Great spirits work here.” There are no owner responses to reviews in the snippet, and the website corroborates the core services offered. Overall, the reliability of the basic service information appears supported by the listing and the site, though user experiences vary.</t>
  </si>
  <si>
    <t>accepted google identity: 14.2/15; review volume: 30.0/30; review consistency: 0.5/7; review freshness: 7.9/8; verified website: 14.2/15; confirmed irs record: 0.0/20; source corroboration: 3.3/5; Synthesis metadata: high (not part of numeric confidence)</t>
  </si>
  <si>
    <t>1301 Reisterstown Rd, Pikesville, MD 21208</t>
  </si>
  <si>
    <t>(410) 887-1245</t>
  </si>
  <si>
    <t>Pikesville Senior Center</t>
  </si>
  <si>
    <t>Pikesville Senior Center is a community facility for older adults that hosts social activities, meals, and group outings.</t>
  </si>
  <si>
    <t>Reviews consistently describe a friendly, clean environment with a range of activities and opportunities to socialize, including meals. Some older comments note past safety concerns, but recent feedback remains positively oriented toward helpful staff and engaging programs; the newest reviews continue to reflect a welcoming atmosphere and ongoing activities.</t>
  </si>
  <si>
    <t>accepted google identity: 14.2/15; review volume: 30.0/30; review consistency: 4.0/7; review freshness: 7.7/8; verified website: 14.2/15; confirmed irs record: 20.0/20; source corroboration: 5.0/5; Synthesis metadata: high (not part of numeric confidence)</t>
  </si>
  <si>
    <t>5426 Clover Rd, Baltimore, MD 21215</t>
  </si>
  <si>
    <t>(410) 300-4443</t>
  </si>
  <si>
    <t>Pleasant Gardens</t>
  </si>
  <si>
    <t>Pleasant Gardens operates licensed assisted-living homes that provide daily living support for seniors across multiple locations.</t>
  </si>
  <si>
    <t>https://pleasantgarden.org/</t>
  </si>
  <si>
    <t>No Reviews are available for this listing, so user feedback cannot be summarized. The associated website describes licensed assisted-living facilities with three levels of care and a caregiver-focused mission, which provides some context for the services offered. Because review data is thin and there are field-correction notes about contact details, the reliability of the listing's practical details is moderate.</t>
  </si>
  <si>
    <t>accepted google identity: 13.3/15; review volume: 0.0/30; review consistency: 0.0/7; review freshness: 0.0/8; verified website: 13.3/15; confirmed irs record: 0.0/20; source corroboration: 3.3/5; Synthesis metadata: medium (not part of numeric confidence)</t>
  </si>
  <si>
    <t>3711 Pinewood Ave, Baltimore, MD 21206</t>
  </si>
  <si>
    <t>(410) 868-7568</t>
  </si>
  <si>
    <t>Pleasant Gardens operates assisted living communities housed in single-family homes in Baltimore, providing daily living assistance and aging-in-place options at each location, and is licensed to provide all three levels of care.</t>
  </si>
  <si>
    <t>http://pleasantgarden.org/</t>
  </si>
  <si>
    <t>Google Maps shows the listing as an operational assisted living facility with very limited public feedback (one 5-star review). The available review text highlights friendly staff and a clean, family-like environment, but with only a single data point there isn’t a clear pattern of experiences. Overall, the feedback is positive but too sparse to draw strong conclusions about current performance.</t>
  </si>
  <si>
    <t>accepted google identity: 14.2/15; review volume: 3.8/30; review consistency: 0.0/7; review freshness: 0.0/8; verified website: 14.2/15; confirmed irs record: 0.0/20; source corroboration: 3.3/5; Synthesis metadata: high (not part of numeric confidence)</t>
  </si>
  <si>
    <t>5009 Frankford Ave, Baltimore, MD 21206</t>
  </si>
  <si>
    <t>(410) 325-4000</t>
  </si>
  <si>
    <t>Autumn Lake Healthcare Post Acute Care Center</t>
  </si>
  <si>
    <t>Autumn Lake Healthcare Post Acute Care Center is a Baltimore-area nursing and post-acute care facility offering long- and short-term skilled nursing, 24/7 care, a ventilator unit, on-site dialysis, and rehabilitation therapy with individualized recovery plans.</t>
  </si>
  <si>
    <t>https://autumnlakepostacute.com/</t>
  </si>
  <si>
    <t>Reviews are largely positive in the most recent posts, with several 5-star ratings praising staff and the quality of care. A small number of older reviews report concerns about care quality and communication, including a few specific issues raised by families. The listing shows frequent owner responses to reviews, indicating active engagement with families.</t>
  </si>
  <si>
    <t>accepted google identity: 14.7/15; review volume: 30.0/30; review consistency: 1.9/7; review freshness: 7.9/8; verified website: 14.7/15; confirmed irs record: 0.0/20; source corroboration: 3.3/5; Synthesis metadata: high (not part of numeric confidence)</t>
  </si>
  <si>
    <t>6009 Marluth Ave, Baltimore, MD 21206</t>
  </si>
  <si>
    <t>(443) 750-3633</t>
  </si>
  <si>
    <t>ProCare Home Health &amp; Assisted Living</t>
  </si>
  <si>
    <t>ProCare Home Health &amp; Assisted Living offers assisted living housing with ongoing care, including housekeeping, laundry, three daily meals with snacks, medication management, social activities, and in-home wellness visits by a primary physician and licensed nurse.</t>
  </si>
  <si>
    <t>Reviews show generally positive experiences, with residents and families praising attentive staff, cleanliness, and a home-like atmosphere, alongside good communication. A small number of reviews note safety or service concerns, but the owners regularly respond to feedback and address issues. The most recent reviews remain favorable, suggesting current quality aligns with earlier impressions.</t>
  </si>
  <si>
    <t>accepted google identity: 14.7/15; review volume: 27.0/30; review consistency: 0.9/7; review freshness: 7.5/8; verified website: 0.0/15; confirmed irs record: 0.0/20; source corroboration: 1.7/5; Synthesis metadata: medium (not part of numeric confidence)</t>
  </si>
  <si>
    <t>11431 Cronhill Dr # C, Owings Mills, MD 21117</t>
  </si>
  <si>
    <t>(410) 363-8550</t>
  </si>
  <si>
    <t>Progress Unlimited Inc</t>
  </si>
  <si>
    <t>Progress Unlimited, Inc. provides supports for adults with developmental disabilities, including residential/community living, day habilitation, employment services, personal supports, and respite care.</t>
  </si>
  <si>
    <t>http://www.progressunlimited.org/</t>
  </si>
  <si>
    <t>Google Maps shows a small sample of reviews for Progress Unlimited with an overall rating of 3.4 from 8 public reviews. The most recent publicly visible review (2023) is positive, noting staff do their best to bring out the best in adults with special needs. Because reviews are sparse and not recent, it is hard to assess current performance, but there is no explicit negative trend in the visible text.</t>
  </si>
  <si>
    <t>accepted google identity: 14.7/15; review volume: 13.3/30; review consistency: 7.0/7; review freshness: 1.1/8; verified website: 14.7/15; confirmed irs record: 20.0/20; source corroboration: 5.0/5; Synthesis metadata: medium (not part of numeric confidence)</t>
  </si>
  <si>
    <t>3 Milford Mill Rd, Pikesville, MD 21208</t>
  </si>
  <si>
    <t>(410) 653-6190</t>
  </si>
  <si>
    <t>Prologue Inc</t>
  </si>
  <si>
    <t>Intake by appointment; appointments recommended. Accessibility features include wheelchair‑accessible entrance, parking, and restroom.</t>
  </si>
  <si>
    <t>Monday: 8 AM to 5 AM; Tuesday: 8 AM to 5 PM; Wednesday: 8 AM to 5 PM; Thursday: 8 AM to 5 PM; Friday: 8 AM to 5 PM; Saturday: Closed; Sunday: Closed</t>
  </si>
  <si>
    <t>Prologue Inc. provides recovery‑oriented behavioral health services, wellness support, and outreach with case management for people experiencing homelessness.</t>
  </si>
  <si>
    <t>http://www.prologueinc.org/</t>
  </si>
  <si>
    <t>Reviews show a mix of experiences. Some reviewers highlight staff who provided housing assistance and support, while others report difficulty reaching staff, missed appointments, and perceived mismanagement. The newest review is positive about staff involvement, but several recent reviews describe ongoing accessibility and responsiveness concerns, so the overall sentiment in the fetched sample remains mixed.</t>
  </si>
  <si>
    <t>accepted google identity: 14.8/15; review volume: 18.7/30; review consistency: 1.9/7; review freshness: 5.1/8; verified website: 14.8/15; confirmed irs record: 20.0/20; source corroboration: 5.0/5; Synthesis metadata: insufficient_evidence (not part of numeric confidence)</t>
  </si>
  <si>
    <t>A physical-location listing associated with Buckingham Manor exists; the listing's title references assisted living, but there is no detailed service description confirmed in the sources.</t>
  </si>
  <si>
    <t>Review feedback was unavailable or too thin to summarize from the available text. The Google Maps listing provides limited information beyond the existence of a listing; there are no accessible user reviews quoted here to identify common praises or concerns. As a result, there is insufficient published feedback to draw conclusions about quality or reliability.</t>
  </si>
  <si>
    <t>accepted google identity: 14.1/15; review volume: 8.9/30; review consistency: 0.0/7; review freshness: 0.0/8; verified website: 0.0/15; confirmed irs record: 0.0/20; source corroboration: 1.7/5; Synthesis metadata: insufficient_evidence (not part of numeric confidence)</t>
  </si>
  <si>
    <t>1300 E Lanvale St, Baltimore, MD 21213</t>
  </si>
  <si>
    <t>(410) 685-4600</t>
  </si>
  <si>
    <t>Queen Esther Apartments</t>
  </si>
  <si>
    <t>Wheelchair accessible entrance; Wheelchair accessible parking.</t>
  </si>
  <si>
    <t>Queen Esther Apartments is a Baltimore apartment community offering rental housing (apartments and townhomes) in the Oliver neighborhood.</t>
  </si>
  <si>
    <t>https://radiantprop.com/case-studies/</t>
  </si>
  <si>
    <t>Reviews for Queen Esther Apartments depict ongoing maintenance and management challenges. Recent posts describe poor living conditions and slow response to maintenance requests, with the newest reviews expressing frustration. Older reviews include neutral or more positive notes, but the latest feedback strongly leans negative, suggesting residents feel dissatisfaction with upkeep and management overall.</t>
  </si>
  <si>
    <t>accepted google identity: 14.7/15; review volume: 24.0/30; review consistency: 1.4/7; review freshness: 2.3/8; verified website: 14.7/15; confirmed irs record: 0.0/20; source corroboration: 3.3/5; Synthesis metadata: medium (not part of numeric confidence)</t>
  </si>
  <si>
    <t>1631 Montpelier St, Baltimore, MD 21218</t>
  </si>
  <si>
    <t>(410) 832-6668</t>
  </si>
  <si>
    <t>R and H Assisted Living</t>
  </si>
  <si>
    <t>R and H Assisted Living is a Baltimore-based facility offering residential care in a home-like setting.</t>
  </si>
  <si>
    <t>Reviews for R and H Assisted Living show a consistent 5-star experience, with reviewers praising attentive, personalized care, a clean and homelike environment, and staff professionalism. The newest reviews (July 2024) highlight transparency in the intake process, responsiveness to residents’ needs, and a sense of family-friendly communication. Overall, feedback remains very positive and aligns with earlier favorable impressions.</t>
  </si>
  <si>
    <t>accepted google identity: 14.7/15; review volume: 25.7/30; review consistency: 7.0/7; review freshness: 1.8/8; verified website: 0.0/15; confirmed irs record: 0.0/20; source corroboration: 1.7/5; Synthesis metadata: high (not part of numeric confidence)</t>
  </si>
  <si>
    <t>11403 Cronhill Dr, Owings Mills, MD 21117</t>
  </si>
  <si>
    <t>(410) 363-7275</t>
  </si>
  <si>
    <t>Rainbow Adult Day Health</t>
  </si>
  <si>
    <t>Rainbow Park Center (Rainbow Adult Day Health) is an adult day health program in Owings Mills that provides medical and daily-living supports for older adults and people with chronic illnesses. The site describes services such as individualized care plans, nursing care, case management, meals, transportation, rehabilitation, exercise classes, recreational activities, and bilingual staff.</t>
  </si>
  <si>
    <t>https://mentoradh.com/state-location/rainbow-park-adult-day-health-center/</t>
  </si>
  <si>
    <t>Reviews for Rainbow Park Center show generally positive feedback, with a visibly positive comment from 2024 noting professional staff, healthy meals, and a friendly atmosphere. More recent reviews are present but lack textual content, making current sentiment harder to read, though the listing maintains a favorable overall impression. The organization’s own website confirms a broad set of care and support services, which strengthens reliability despite thin recent review text.</t>
  </si>
  <si>
    <t>accepted google identity: 14.2/15; review volume: 17.3/30; review consistency: 5.4/7; review freshness: 4.6/8; verified website: 14.2/15; confirmed irs record: 0.0/20; source corroboration: 3.3/5; Synthesis metadata: high (not part of numeric confidence)</t>
  </si>
  <si>
    <t>6310 Reisterstown Rd, Baltimore, MD 21215</t>
  </si>
  <si>
    <t>(410) 396-0948</t>
  </si>
  <si>
    <t>Enoch Pratt Free Library - Reisterstown Road Branch</t>
  </si>
  <si>
    <t>ADA accessible; wheelchair-accessible entrance; free street parking; bus service to the location includes routes 28, 83, 85, 26, 51, 53; free Wi‑Fi and public computers available.</t>
  </si>
  <si>
    <t>Closed for facility improvements; anticipated reopening in Fall 2026 per Pratt Library renovations notice (branch closed as of March 28, 2026).</t>
  </si>
  <si>
    <t>Reisterstown Road Branch of the Enoch Pratt Free Library system provides public library services and community resources, including accessible facilities, free Wi‑Fi and public computers, printing, children/teen spaces, and job/career assistance with events and programs for all ages.</t>
  </si>
  <si>
    <t>https://www.prattlibrary.org/locations/reisterstown-road</t>
  </si>
  <si>
    <t>Reviews show generally positive feedback about staff and the library experience when open, with a 4.4 rating across many reviews and recurring comments about helpful staff and quiet spaces. The most recent reviews note the location is temporarily closed, which aligns with Pratt Library’s renovation notice. Overall, reviewers describe helpful staff and useful programs when open, but the latest feedback centers on the temporary closure context.</t>
  </si>
  <si>
    <t>accepted google identity: 14.8/15; review volume: 30.0/30; review consistency: 2.8/7; review freshness: 6.0/8; verified website: 14.8/15; confirmed irs record: 0.0/20; source corroboration: 3.3/5; Synthesis metadata: high (not part of numeric confidence)</t>
  </si>
  <si>
    <t>12035 Reisterstown Rd, Reisterstown, MD 21136</t>
  </si>
  <si>
    <t>(410) 887-1143</t>
  </si>
  <si>
    <t>Reisterstown Senior Center</t>
  </si>
  <si>
    <t>Monday: Closed; Tuesday: 8:30 AM to 4 PM; Wednesday: 8:30 AM to 4 PM; Thursday: 8:30 AM to 4 PM; Friday: 8:30 AM to 4 PM; Saturday: Closed; Sunday: Closed</t>
  </si>
  <si>
    <t>A community center for seniors that runs programs and activities to help older adults stay social and engaged.</t>
  </si>
  <si>
    <t>https://www.baltimorecountymd.gov/departments/aging/centers/reisterstown/</t>
  </si>
  <si>
    <t>Reviews portray a welcoming senior center with regular social activities and helpful staff. Reviewers consistently note a clean, respectful atmosphere and well-organized programs that foster socialization and community. The newest reviews continue to praise the ongoing programs and staff, with mentions of weekly gatherings and positive experiences; there are no significant negative trends evident in the current sample.</t>
  </si>
  <si>
    <t>accepted google identity: 14.7/15; review volume: 24.0/30; review consistency: 7.0/7; review freshness: 6.5/8; verified website: 14.7/15; confirmed irs record: 0.0/20; source corroboration: 3.3/5; Synthesis metadata: high (not part of numeric confidence)</t>
  </si>
  <si>
    <t>304 Cantata Ct, Reisterstown, MD 21136</t>
  </si>
  <si>
    <t>(667) 600-2190</t>
  </si>
  <si>
    <t>Reister's View, a Catholic Charities Senior Community</t>
  </si>
  <si>
    <t>Catholic Charities Senior Communities provides affordable senior housing across multiple campuses in the Baltimore region, with a continuum of services including adult day programs and assisted living.</t>
  </si>
  <si>
    <t>Reviews for this listing are currently minimal or unavailable text content, so there is no user feedback to summarize. The reliability signal relies on non-review factors such as the listed hours and the website's program descriptions. With no accessible review text, it's difficult to gauge day-to-day experiences or satisfaction among visitors or residents.</t>
  </si>
  <si>
    <t>1017 Reisterstown Rd, Pikesville, MD 21208</t>
  </si>
  <si>
    <t>(410) 580-9301</t>
  </si>
  <si>
    <t>Renaissance Adult Day Health Center</t>
  </si>
  <si>
    <t>Medicaid MD Medical Assistance and VA coverage with authorization; private pay also available.</t>
  </si>
  <si>
    <t>Renaissance Adult Medical Center runs an adult day health center for seniors. The program provides nursing care, transportation to appointments, and structured activities to keep members socially engaged and safe during the day. The team includes registered nurses and caregivers, and services are available with private pay or through Medicaid/MD Medical Assistance and VA authorization.</t>
  </si>
  <si>
    <t>https://www.renaissanceamc.com/</t>
  </si>
  <si>
    <t>There are no Reviews available for this listing, so there is limited user feedback to gauge performance. The listing is marked OPERATIONAL, and the website is reachable with HTTP 200, with identity verification showing credible alignment with the business. Because there are no public reviews, reliability cannot be fully assessed from user experiences.</t>
  </si>
  <si>
    <t>accepted google identity: 13.6/15; review volume: 0.0/30; review consistency: 0.0/7; review freshness: 0.0/8; verified website: 13.6/15; confirmed irs record: 0.0/20; source corroboration: 3.3/5; Synthesis metadata: high (not part of numeric confidence)</t>
  </si>
  <si>
    <t>6825 Campfield Rd, Baltimore, MD 21207</t>
  </si>
  <si>
    <t>(410) 486-4573</t>
  </si>
  <si>
    <t>Resorts of Augsburg</t>
  </si>
  <si>
    <t>Resorts of Augsburg is a continuing care retirement community in Baltimore offering independent living and multiple levels of care, including assisted living, skilled nursing, long-term care, and short-term rehabilitation, with on-site therapies and social activities.</t>
  </si>
  <si>
    <t>https://augsburgseniorliving.org/</t>
  </si>
  <si>
    <t>Reviews show a mix of experiences. Many reviewers praise the staff, safety, activities, and on-site healthcare, while a minority recount serious care concerns from past years. The most recent reviews trend positive and the management is responsive to feedback.</t>
  </si>
  <si>
    <t>accepted google identity: 14.2/15; review volume: 30.0/30; review consistency: 1.4/7; review freshness: 7.2/8; verified website: 14.2/15; confirmed irs record: 0.0/20; source corroboration: 3.3/5; Synthesis metadata: high (not part of numeric confidence)</t>
  </si>
  <si>
    <t>1900 Grove Manor Dr, Essex, MD 21221</t>
  </si>
  <si>
    <t>(410) 780-2881</t>
  </si>
  <si>
    <t>River Point Apartments</t>
  </si>
  <si>
    <t>Ages 62+; income-restricted; specific eligibility details are not provided in the available sources.</t>
  </si>
  <si>
    <t>River Point Apartments appears to be a senior-focused housing community offering one- and two-bedroom units with income restrictions and a smoke-free environment, emphasizing independence and wellness in Essex, MD.</t>
  </si>
  <si>
    <t>https://www.riverpointapts.com/?utm_source=GBP&amp;utm_medium=organic</t>
  </si>
  <si>
    <t>Reviews for River Point Apartments show overwhelmingly positive sentiment, with residents praising friendly staff, quick responses, and strong amenities and grounds. The newest reviews continue to reflect high satisfaction and a sense of community, suggesting a stable, positive experience for residents. There are no clear, persistent negative patterns evident in the accessible review texts.</t>
  </si>
  <si>
    <t>accepted google identity: 14.7/15; review volume: 25.9/30; review consistency: 7.0/7; review freshness: 7.8/8; verified website: 14.7/15; confirmed irs record: 0.0/20; source corroboration: 3.3/5; Synthesis metadata: high (not part of numeric confidence)</t>
  </si>
  <si>
    <t>1 Eastern Blvd, Essex, MD 21221</t>
  </si>
  <si>
    <t>(410) 574-1400</t>
  </si>
  <si>
    <t>Autumn Lake Healthcare at Riverview</t>
  </si>
  <si>
    <t>Autumn Lake Healthcare at Riverview is a nursing home in Essex, MD that provides round‑the‑clock skilled nursing care, long‑term care, and sub‑acute rehabilitation, with rehabilitation therapy available seven days a week.</t>
  </si>
  <si>
    <t>https://autumnlakeriverview.com/</t>
  </si>
  <si>
    <t>Reviews for Autumn Lake Healthcare at Riverview are generally positive, with many reviewers praising compassionate nursing staff, cleanliness, and effective rehabilitation. A few recent reviews mention daily issues such as cleanliness on some days or concerns about medication handling, but the newest feedback largely supports the overall impression of good care and responsive staff. Overall, reviewers report a caring environment and solid therapy services, with occasional criticisms that echo across a small portion of recent entries.</t>
  </si>
  <si>
    <t>accepted google identity: 14.6/15; review volume: 30.0/30; review consistency: 3.7/7; review freshness: 8.0/8; verified website: 14.6/15; confirmed irs record: 0.0/20; source corroboration: 3.3/5; Synthesis metadata: high (not part of numeric confidence)</t>
  </si>
  <si>
    <t>1420 Maryland Ave, Baltimore, MD 21201</t>
  </si>
  <si>
    <t>(410) 837-4260</t>
  </si>
  <si>
    <t>RLB Library</t>
  </si>
  <si>
    <t>Monday: 9 AM to 8:30 PM; Tuesday: 9 AM to 8:30 PM; Wednesday: 9 AM to 8:30 PM; Thursday: 9 AM to 8:30 PM; Friday: 9 AM to 6 PM; Saturday: 12 to 6 PM; Sunday: Closed</t>
  </si>
  <si>
    <t>The Robert L. Bogomolny Library is the University of Baltimore library offering research databases and tutoring resources for students and researchers.</t>
  </si>
  <si>
    <t>http://library.ubalt.edu/</t>
  </si>
  <si>
    <t>Reviews consistently highlight knowledgeable librarians, helpful tutoring support, and strong study resources. The most recent feedback continues to praise staff and the library's offerings, with no negative themes evident in the sampled reviews.</t>
  </si>
  <si>
    <t>accepted google identity: 14.2/15; review volume: 19.8/30; review consistency: 7.0/7; review freshness: 7.8/8; verified website: 14.2/15; confirmed irs record: 0.0/20; source corroboration: 3.3/5; Synthesis metadata: high (not part of numeric confidence)</t>
  </si>
  <si>
    <t>5108 Roland Ave, Baltimore, MD 21210</t>
  </si>
  <si>
    <t>(410) 396-6099</t>
  </si>
  <si>
    <t>Enoch Pratt Free Library - Roland Park Branch</t>
  </si>
  <si>
    <t>Roland Park Branch of the Enoch Pratt Free Library is a public library location in Baltimore offering access to free Wi‑Fi, public computers, printing and self-checkout, and a calendar of events for all ages, including programs for children and teens and job and career assistance.</t>
  </si>
  <si>
    <t>https://www.prattlibrary.org/locations/roland-park</t>
  </si>
  <si>
    <t>Reviews for the Roland Park Branch consistently describe a welcoming, quiet library with helpful staff and a good selection, and reviewers frequently mention positive experiences with librarians and programs for families. A small number of reviews note occasional front-desk unfriendliness and crowds after school, but the most recent reviews remain positive and describe the branch as a pleasant place to visit. Overall, the latest feedback points in a positive direction.</t>
  </si>
  <si>
    <t>accepted google identity: 14.7/15; review volume: 30.0/30; review consistency: 3.2/7; review freshness: 7.9/8; verified website: 14.7/15; confirmed irs record: 0.0/20; source corroboration: 3.3/5; Synthesis metadata: high (not part of numeric confidence)</t>
  </si>
  <si>
    <t>830 W 40th St, Baltimore, MD 21211</t>
  </si>
  <si>
    <t>(410) 243-5800</t>
  </si>
  <si>
    <t>Roland Park Place</t>
  </si>
  <si>
    <t>Roland Park Place is a Baltimore senior living campus that describes itself as a LifePlan Community, offering housing for older adults with a range of on-site amenities and care-related options. The PAL (Personal Assistance Program) provides extra services to residents on an a la carte basis, including transportation, laundry, medication assistance, and support with daily tasks, along with dining and other resident services.</t>
  </si>
  <si>
    <t>https://rolandparkplace.org/</t>
  </si>
  <si>
    <t>Reviews describe Roland Park Place as a friendly, well-maintained community with good dining and responsive staff, though a few past reviews mention concerns about staff attitude. The most recent reviews are positive and management actively responds to feedback, suggesting ongoing attentiveness to residents’ experiences.</t>
  </si>
  <si>
    <t>accepted google identity: 14.4/15; review volume: 30.0/30; review consistency: 3.0/7; review freshness: 7.8/8; verified website: 14.4/15; confirmed irs record: 20.0/20; source corroboration: 5.0/5; Synthesis metadata: high (not part of numeric confidence)</t>
  </si>
  <si>
    <t>4669 Falls Rd, Baltimore, MD 21209</t>
  </si>
  <si>
    <t>(410) 662-8606</t>
  </si>
  <si>
    <t>Roland Park Rehabilitation and Healthcare Center</t>
  </si>
  <si>
    <t>Roland Park Rehabilitation and Healthcare Center is a skilled nursing facility in Baltimore that provides nursing care, rehabilitation therapies, and long-term health services.</t>
  </si>
  <si>
    <t>https://www.rolandparkhc.com/</t>
  </si>
  <si>
    <t>Reviews broadly praise Roland Park Rehabilitation and Healthcare Center for compassionate staff, clean facilities, and effective rehabilitation services. Some reviewers express concerns about responsiveness, consistency in daily operations, and issues with medication timing or dietary adherence. The newest reviews are predominantly positive and echo the favorable sentiments, while a small number of older reviews note ongoing requests for improved responsiveness.</t>
  </si>
  <si>
    <t>accepted google identity: 14.7/15; review volume: 30.0/30; review consistency: 2.5/7; review freshness: 7.9/8; verified website: 14.7/15; confirmed irs record: 0.0/20; source corroboration: 3.3/5; Synthesis metadata: high (not part of numeric confidence)</t>
  </si>
  <si>
    <t>3939 Roland Ave, Baltimore, MD 21211</t>
  </si>
  <si>
    <t>(410) 889-8255</t>
  </si>
  <si>
    <t>St Mary's Roland View Towers Inc. - Owned and Managed</t>
  </si>
  <si>
    <t>Eligibility: senior housing for residents 55 and older; contact on-site management for applications. For intake or inquiries, use the on-site phone listed (410-889-8255).</t>
  </si>
  <si>
    <t>St. Mary’s Roland View Towers is a senior-housing complex in Baltimore comprising two high‑rise buildings on Roland Avenue. It provides independent living for residents 55 and older, with rents that include utilities and on‑site maintenance and security (24/7 maintenance; video security).</t>
  </si>
  <si>
    <t>http://www.rolandviewtowers.com/</t>
  </si>
  <si>
    <t>Reviews portray a generally positive impression, with recurring themes of friendly staff, cleanliness, and a welcoming atmosphere. The newest feedback reinforces these positives, and there isn’t a clear pattern of ongoing issues in the available snippets.</t>
  </si>
  <si>
    <t>accepted google identity: 14.2/15; review volume: 16.3/30; review consistency: 1.1/7; review freshness: 7.5/8; verified website: 14.2/15; confirmed irs record: 0.0/20; source corroboration: 3.3/5; Synthesis metadata: high (not part of numeric confidence)</t>
  </si>
  <si>
    <t>303 N Rolling Rd, Catonsville, MD 21228</t>
  </si>
  <si>
    <t>(940) 232-0823</t>
  </si>
  <si>
    <t>Rolling Meadows Assisted Living</t>
  </si>
  <si>
    <t>Monday – Friday 9am – 5pm; Saturday – By Appointment Only; Sunday – By Appointment Only</t>
  </si>
  <si>
    <t>Rolling Meadows Assisted Living provides housing with personal care for seniors, including home-like living, three meals daily, medication management, transportation arrangements, housekeeping, and daily activities. It operates as a privately owned assisted living facility in Catonsville, MD.</t>
  </si>
  <si>
    <t>https://www.rollingmeadowsassistedliving.com/</t>
  </si>
  <si>
    <t>Reviews describe a caring, attentive staff and a safe, comfortable environment. Review excerpts note staff responsiveness, kindness, and reliable assistance with daily needs, with one mention of a past maintenance issue that was addressed promptly. The newest publicly visible reviews are from 2023–2024, and the sample is small, so it is hard to infer current performance beyond these positive reports.</t>
  </si>
  <si>
    <t>accepted google identity: 14.8/15; review volume: 15.1/30; review consistency: 7.0/7; review freshness: 1.3/8; verified website: 14.8/15; confirmed irs record: 0.0/20; source corroboration: 3.3/5; Synthesis metadata: high (not part of numeric confidence)</t>
  </si>
  <si>
    <t>3913 Loch Raven Blvd, Baltimore, MD 21218</t>
  </si>
  <si>
    <t>(443) 610-1426</t>
  </si>
  <si>
    <t>Ronnie's Place LLC</t>
  </si>
  <si>
    <t>Limited available listing indicates Ronnie's Place LLC is an organization located in Baltimore; no specific services or programs are described in the available evidence.</t>
  </si>
  <si>
    <t>Google Maps shows no public reviews for Ronnie's Place LLC, so there are no recurring themes to report. The available listing provides minimal identifying details and does not describe services or hours. With no user feedback and only sparse listing data, reliability is limited and should be treated as such.</t>
  </si>
  <si>
    <t>6600 Ridge Rd, Baltimore, MD 21237</t>
  </si>
  <si>
    <t>(410) 574-4950</t>
  </si>
  <si>
    <t>Rossville Rehabilitation and Healthcare Center</t>
  </si>
  <si>
    <t>Rossville Rehabilitation and Healthcare Center provides skilled nursing care and rehabilitation services, including physical, speech, and occupational therapy, with round-the-clock medical support and long-term care options.</t>
  </si>
  <si>
    <t>https://rossvillehc.com/</t>
  </si>
  <si>
    <t>Reviews show a generally positive reception for Rossville Rehabilitation and Healthcare Center, with themes of attentive staff, cleanliness, and professional care. A small number of reviews raise concerns about responsiveness and safety, including perceived delays and staff attitudes; these negative voices are present but less frequent than the positive feedback. The newest reviews continue to reflect favorable experiences, including praise for follow-up care and courteous staff. Publicly available data show 175 total Reviews, with a 25-review sample among recent feedback.</t>
  </si>
  <si>
    <t>accepted google identity: 14.7/15; review volume: 30.0/30; review consistency: 2.5/7; review freshness: 7.8/8; verified website: 14.7/15; confirmed irs record: 0.0/20; source corroboration: 3.3/5; Synthesis metadata: high (not part of numeric confidence)</t>
  </si>
  <si>
    <t>3604 White Ave, Baltimore, MD 21206</t>
  </si>
  <si>
    <t>443-642-9933</t>
  </si>
  <si>
    <t>Royal Heart Assisted Living</t>
  </si>
  <si>
    <t>A physical-location facility in Baltimore listed as an assisted living facility.</t>
  </si>
  <si>
    <t>Google Maps provides a listing for this facility, but the dataset does not include usable public review text to summarize reviewer impressions. The listing appearance indicates the operation status, and the address/category align with an assisted living facility, but there is limited corroborating information from other sources within the provided data. As a result, a detailed reliability narrative cannot be drawn from reviews, and the overall reliability rests on the primary listing only.</t>
  </si>
  <si>
    <t>accepted google identity: 14.7/15; review volume: 6.1/30; review consistency: 0.0/7; review freshness: 0.0/8; verified website: 0.0/15; confirmed irs record: 0.0/20; source corroboration: 1.7/5; Synthesis metadata: medium (not part of numeric confidence)</t>
  </si>
  <si>
    <t>4800 Yellowwood Ave, Baltimore, MD 21209</t>
  </si>
  <si>
    <t>(410) 664-4800</t>
  </si>
  <si>
    <t>Ruscombe Gardens</t>
  </si>
  <si>
    <t>Eligibility is limited to seniors (62+) and/or individuals with a qualifying disability; eligibility may require verification via a third-party source, and details are provided by management.</t>
  </si>
  <si>
    <t>Monday: 9 AM to 4:30 PM; Tuesday: 9 AM to 4:30 PM; Wednesday: Closed; Thursday: Closed; Friday: 9 AM to 4:30 PM; Saturday: Closed; Sunday: Closed</t>
  </si>
  <si>
    <t>Ruscombe Gardens Apartments is an apartment community with one-bedroom homes designed for residents 62+ and/or with disabilities, featuring elevator access, on-site management and maintenance, and resident amenities such as a community center, solarium, on-site laundry, and parking.</t>
  </si>
  <si>
    <t>https://www.preservationmanagement.com/property/ruscombe-gardens-apartments/</t>
  </si>
  <si>
    <t>Reviews are mixed but largely positive about management responsiveness and resident amenities, with multiple residents praising a helpful manager and the community features. Some reviews mention maintenance delays, elevator reliability, and cleanliness concerns, indicating ongoing challenges for a subset of residents. The most recent feedback continues to show management responses, and there is no clear shift in sentiment across the latest reviews.</t>
  </si>
  <si>
    <t>accepted google identity: 14.7/15; review volume: 27.0/30; review consistency: 2.2/7; review freshness: 7.7/8; verified website: 14.7/15; confirmed irs record: 0.0/20; source corroboration: 3.3/5; Synthesis metadata: high (not part of numeric confidence)</t>
  </si>
  <si>
    <t>300 Salony Dr, Reisterstown, MD 21136</t>
  </si>
  <si>
    <t>(410) 833-0077</t>
  </si>
  <si>
    <t>Salony House Senior Apartments</t>
  </si>
  <si>
    <t>Senior housing apartment building serving older adults.</t>
  </si>
  <si>
    <t>Google Maps shows Salony House Senior Apartments as an operational housing facility, but the data provided here lacks usable reviewer text to summarize experiences. The listing indicates an apartment-building category and an address, with three public reviews noted in the data, yet no readable review content is available in this feed. Attribution to other sources is limited (no verified website, no structured hours), so overall reliability is constrained by sparse corroboration.</t>
  </si>
  <si>
    <t>accepted google identity: 14.2/15; review volume: 7.7/30; review consistency: 0.0/7; review freshness: 0.0/8; verified website: 0.0/15; confirmed irs record: 0.0/20; source corroboration: 1.7/5; Synthesis metadata: medium (not part of numeric confidence)</t>
  </si>
  <si>
    <t>1601 Baker St, Baltimore, MD 21217</t>
  </si>
  <si>
    <t>(410) 396-7724</t>
  </si>
  <si>
    <t>Sandtown Winchester Senior Center</t>
  </si>
  <si>
    <t>Sandtown Winchester Senior Center is a physical community hub in Baltimore that serves older adults by offering activities and programs typical of a senior center in the Sandtown-Winchester area.</t>
  </si>
  <si>
    <t>http://www.baltimorecity.gov/</t>
  </si>
  <si>
    <t>Reviews for Sandtown Winchester Senior Center are largely positive. Reviewers repeatedly note a welcoming atmosphere, helpful staff, and a variety of activities for older adults. The newest reviews are favorable, and there is no consistent negative trend in the latest sample; overall sentiment aligns with a positive community hub, though one older review from 2024 notes a negative experience.</t>
  </si>
  <si>
    <t>accepted google identity: 14.6/15; review volume: 25.2/30; review consistency: 1.8/7; review freshness: 7.0/8; verified website: 14.6/15; confirmed irs record: 0.0/20; source corroboration: 3.3/5; Synthesis metadata: high (not part of numeric confidence)</t>
  </si>
  <si>
    <t>8611 Church Ln, Randallstown, MD 21133</t>
  </si>
  <si>
    <t>(443) 622-8466</t>
  </si>
  <si>
    <t>Sarez Assisted Living</t>
  </si>
  <si>
    <t>A senior housing facility in Randallstown, MD, listed as an assisted living facility and offering 24/7 on-site housing.</t>
  </si>
  <si>
    <t>Google Maps shows one public review with a 5-star rating, but the listing provides no additional review text to identify themes or patterns in user experiences. With only minimal feedback and limited corroborating sources, the qualitative reliability of the listing remains very limited.</t>
  </si>
  <si>
    <t>accepted google identity: 14.8/15; review volume: 3.8/30; review consistency: 0.0/7; review freshness: 0.0/8; verified website: 0.0/15; confirmed irs record: 0.0/20; source corroboration: 1.7/5; Synthesis metadata: insufficient_evidence (not part of numeric confidence)</t>
  </si>
  <si>
    <t>7925 York Rd, Towson, MD 21204</t>
  </si>
  <si>
    <t>(410) 296-8900</t>
  </si>
  <si>
    <t>Seaton Towson</t>
  </si>
  <si>
    <t>Seaton Towson is an assisted living community in Towson, MD that offers personalized daily-living support for seniors, including chef-prepared meals, housekeeping, and scheduled transportation, along with a calendar of engaging activities in a home-like setting that emphasizes independence alongside care.</t>
  </si>
  <si>
    <t>https://seatontowson.seniorlivingnearme.com/</t>
  </si>
  <si>
    <t>Reviews for Seaton Towson show a mix of positive experiences about staff kindness and a welcoming atmosphere, alongside a few recent negative reports regarding care and communication. The newest feedback is varied, with some recent entries favorable and others raising concerns, and management responses are visible addressing issues. Overall, the sentiment is mixed, with some residents and families reporting satisfaction and others noting serious concerns.</t>
  </si>
  <si>
    <t>accepted google identity: 14.7/15; review volume: 29.1/30; review consistency: 2.3/7; review freshness: 7.7/8; verified website: 14.7/15; confirmed irs record: 0.0/20; source corroboration: 3.3/5; Synthesis metadata: medium (not part of numeric confidence)</t>
  </si>
  <si>
    <t>6007 Sefton Ave, Baltimore, MD 21214</t>
  </si>
  <si>
    <t>(410) 426-4869</t>
  </si>
  <si>
    <t>Sefton Home Care Inc</t>
  </si>
  <si>
    <t>Google Maps lists Sefton Home Care Inc as a physical-location facility categorized as an assisted living facility.</t>
  </si>
  <si>
    <t>Two Reviews exist for Sefton Home Care Inc, but the dataset provides no review text or themes to summarize. Because there is no accessible review content, reliability of user experiences cannot be described; the listing is marked as operational, but that status alone does not convey user feedback.</t>
  </si>
  <si>
    <t>accepted google identity: 14.7/15; review volume: 6.1/30; review consistency: 0.0/7; review freshness: 0.0/8; verified website: 0.0/15; confirmed irs record: 0.0/20; source corroboration: 1.7/5; Synthesis metadata: insufficient_evidence (not part of numeric confidence)</t>
  </si>
  <si>
    <t>1801 Glen Keith Blvd #106, Parkville, MD 21234</t>
  </si>
  <si>
    <t>(410) 887-5319</t>
  </si>
  <si>
    <t>Senior Craft Gallery</t>
  </si>
  <si>
    <t>Monday: 10 AM to 2 PM; Tuesday: 10 AM to 2 PM; Wednesday: 10 AM to 2 PM; Thursday: 10 AM to 2 PM; Friday: 10 AM to 2 PM; Saturday: 9 AM to 12 PM; Sunday: Closed</t>
  </si>
  <si>
    <t>Senior Craft Gallery operates a small gallery/shop featuring handmade crafts for sale in Parkville, MD, housed in an older building.</t>
  </si>
  <si>
    <t>https://www.baltimorecountymd.gov/Agencies/aging/programsandservices/crftgall.html</t>
  </si>
  <si>
    <t>Google Maps provides the primary reliability input for this listing. A small sample of three reviews is consistently positive, with reviewers praising handmade crafts, a welcoming atmosphere, and affordable pricing. The newest review (2026-06-16) reinforces the positive impression. However, the total review count is small and website access is blocked by a 403 error, so the reliability should be read as modest and subject to change with new feedback.</t>
  </si>
  <si>
    <t>accepted google identity: 14.7/15; review volume: 11.3/30; review consistency: 7.0/7; review freshness: 6.8/8; verified website: 14.7/15; confirmed irs record: 0.0/20; source corroboration: 3.3/5; Synthesis metadata: medium (not part of numeric confidence)</t>
  </si>
  <si>
    <t>5828 York Rd, Baltimore, MD 21212</t>
  </si>
  <si>
    <t>(410) 323-7131</t>
  </si>
  <si>
    <t>Senior Network-North Baltimore</t>
  </si>
  <si>
    <t>Walk-ins and appointments are accepted for Information &amp; Assistance; I&amp;A staff assist with benefits and programs (tax credits, MEAP, Medicare/Medicaid, nutrition assistance); center operates within Govans Presbyterian Church.</t>
  </si>
  <si>
    <t>8:30 am–4:30 pm, Monday through Friday</t>
  </si>
  <si>
    <t>Senior Network of North Baltimore operates a senior center program housed in Govans Presbyterian Church, offering activities for older adults and Information &amp; Assistance to help with benefits and services. Activities include classes, clubs, and travel opportunities, with on-site staff assisting clients in navigating programs such as tax credits, MEAP, Medicare/Medicaid, and nutrition assistance.</t>
  </si>
  <si>
    <t>https://www.govanspres.org/what-we-do/senior-center/</t>
  </si>
  <si>
    <t>Reviews for the listing show consistently positive feedback, with the newest review noting a strong sense of personal connection and a wide range of day and overnight trips. The available sample of reviews overall reflects favorable experiences and stability in sentiment, with older reviews providing limited text.</t>
  </si>
  <si>
    <t>accepted google identity: 14.7/15; review volume: 18.6/30; review consistency: 7.0/7; review freshness: 6.5/8; verified website: 14.7/15; confirmed irs record: 0.0/20; source corroboration: 3.3/5; Synthesis metadata: high (not part of numeric confidence)</t>
  </si>
  <si>
    <t>3605 Hillsdale Rd, Gwynn Oak, MD 21207</t>
  </si>
  <si>
    <t>(443) 674-3081</t>
  </si>
  <si>
    <t>Seniority Living</t>
  </si>
  <si>
    <t>Seniority Living LLC is described as a residential facility that provides assistance with activities of daily living for seniors and people with disabilities, identified by the listing as an assisted living facility with a homelike atmosphere.</t>
  </si>
  <si>
    <t>There are no public Reviews for this listing, so there is no user feedback to summarize. The listing indicates the business is operational and offers ADL support in an assisted living setting, but there is no review text to reflect on quality or satisfaction.</t>
  </si>
  <si>
    <t>2311 Roslyn Ave, Baltimore, MD 21216</t>
  </si>
  <si>
    <t>(410) 456-7153</t>
  </si>
  <si>
    <t>Serenity Garden Manor</t>
  </si>
  <si>
    <t>Monday: 9 AM to 6 PM; Tuesday: 9 AM to 6 PM; Wednesday: 9 AM to 6 PM; Thursday: 9 AM to 6 PM; Friday: 9 AM to 6 PM; Saturday: 10 PM to 12 AM; Sunday: 10 AM to 6 PM</t>
  </si>
  <si>
    <t>A physical assisted living facility providing housing and support services for residents.</t>
  </si>
  <si>
    <t>https://www.serenitygardenmanor.com/</t>
  </si>
  <si>
    <t>Google Maps lists Serenity Garden Manor with a single public review, and no review text is available in the provided data. The listing is marked operational with an official website and published hours, suggesting it is actively offering housing/assisted living services. Because there is insufficient descriptive review content, we cannot summarize typical experiences or trends from feedback at this time.</t>
  </si>
  <si>
    <t>accepted google identity: 14.7/15; review volume: 3.8/30; review consistency: 0.0/7; review freshness: 0.0/8; verified website: 14.7/15; confirmed irs record: 0.0/20; source corroboration: 3.3/5; Synthesis metadata: high (not part of numeric confidence)</t>
  </si>
  <si>
    <t>6025 Alta Ave, Baltimore, MD 21206</t>
  </si>
  <si>
    <t>660-349-7921</t>
  </si>
  <si>
    <t>Serenity Grace Assisted Living Llc</t>
  </si>
  <si>
    <t>An operational residential care facility in Baltimore providing housing with care services for seniors.</t>
  </si>
  <si>
    <t>Google Maps shows Serenity Grace Assisted Living LLC has a small number of reviews (three) with mixed ratings: one 1-star review and two 5-star reviews. The data available does not include review text or recency details, so it is difficult to identify common strengths or concerns or to confirm current guest experiences.</t>
  </si>
  <si>
    <t>1802 Eutaw Pl, Baltimore, MD 21217</t>
  </si>
  <si>
    <t>(410) 728-3737</t>
  </si>
  <si>
    <t>Serenity Manor</t>
  </si>
  <si>
    <t>Serenity Manor offers assisted living and medical adult day services for seniors, providing licensed, home-like care with meals, daily activities, on-site nursing, and staff support.</t>
  </si>
  <si>
    <t>https://serenitymanorliving.com/</t>
  </si>
  <si>
    <t>Reviews depict Serenity Manor as generally welcoming with caring staff and a home-like environment, and reviewers often note good meals and activities. A few more recent posts raise concerns about pests and cleanliness, including a very recent negative review, suggesting mixed current experiences. Overall, historical feedback leans positive regarding care and staff, but the latest comments indicate possible quality concerns that readers should consider.</t>
  </si>
  <si>
    <t>accepted google identity: 14.7/15; review volume: 28.6/30; review consistency: 2.7/7; review freshness: 4.8/8; verified website: 14.7/15; confirmed irs record: 0.0/20; source corroboration: 3.3/5; Synthesis metadata: medium (not part of numeric confidence)</t>
  </si>
  <si>
    <t>9210 Seven Courts Dr, Nottingham, MD 21236</t>
  </si>
  <si>
    <t>(410) 887-5192</t>
  </si>
  <si>
    <t>Seven Oaks Senior Center</t>
  </si>
  <si>
    <t>Seven Oaks Senior Center is a community facility that provides programs and activities for seniors.</t>
  </si>
  <si>
    <t>http://www.sevenoaksseniors.org/</t>
  </si>
  <si>
    <t>Reviews are largely positive, highlighting dedicated staff and engaging programs, with recurring themes of a welcoming atmosphere. A minority of reviews mention a less-welcoming reception and suggest more diversity training; the newest feedback generally supports the positive impression, with the noted exception.</t>
  </si>
  <si>
    <t>accepted google identity: 14.2/15; review volume: 30.0/30; review consistency: 4.8/7; review freshness: 6.4/8; verified website: 14.2/15; confirmed irs record: 20.0/20; source corroboration: 5.0/5; Synthesis metadata: high (not part of numeric confidence)</t>
  </si>
  <si>
    <t>2306 Echodale Ave, Baltimore, MD 21214</t>
  </si>
  <si>
    <t>(667) 320-4136</t>
  </si>
  <si>
    <t>Shades Place Assisted Living</t>
  </si>
  <si>
    <t>Shade's Place Assisted Living provides 24/7 personal care and supervision for older adults in a home-like facility, including medication assistance, meals, laundry, round-the-clock staff access, transportation, and wellness/exercise programs.</t>
  </si>
  <si>
    <t>https://shadesplaceassistedliving.com/</t>
  </si>
  <si>
    <t>Reviews consistently describe compassionate staff, a warm, home-like setting, and reliable care. The newest comments continue to echo these themes, with reviewers noting attentiveness and good communication. The listing shows a strong positive pattern across 25 reviews and active owner responses, supporting a stable, favorable reputation.</t>
  </si>
  <si>
    <t>accepted google identity: 14.4/15; review volume: 30.0/30; review consistency: 5.9/7; review freshness: 7.3/8; verified website: 14.4/15; confirmed irs record: 0.0/20; source corroboration: 3.3/5; Synthesis metadata: high (not part of numeric confidence)</t>
  </si>
  <si>
    <t>911 Leadenhall St, Baltimore, MD 21230</t>
  </si>
  <si>
    <t>(410) 727-2677</t>
  </si>
  <si>
    <t>Sharp Leadenhall Apartments</t>
  </si>
  <si>
    <t>Income qualifications apply; tax-credit housing; contact leasing office for application and required documents.</t>
  </si>
  <si>
    <t>Monday: 8 AM to 5 PM; Tuesday: 8 AM to 5 PM; Wednesday: 8 AM to 5 PM; Thursday: 8 AM to 5 PM; Friday: 8 AM to 5 PM; Saturday: 10 AM to 3 PM; Sunday: Closed</t>
  </si>
  <si>
    <t>Sharp Leadenhall Court is a residential rental property at 911 Leadenhall Street in Baltimore, offering one-, two-, and three-bedroom apartment homes in a central location.</t>
  </si>
  <si>
    <t>https://www.sharpleadenhall.com/?utm_knock=gmb</t>
  </si>
  <si>
    <t>Reviews show a mix of experiences, with recurring concerns about cleanliness, pests, and maintenance delays, alongside a few positive comments. Several recent posts describe ongoing issues and slow responses from management, while a small number highlight favorable aspects like affordability or location. Overall, the newest feedback appears to trend toward continued dissatisfaction rather than clear improvement.</t>
  </si>
  <si>
    <t>accepted google identity: 14.2/15; review volume: 28.3/30; review consistency: 1.1/7; review freshness: 7.1/8; verified website: 14.2/15; confirmed irs record: 0.0/20; source corroboration: 3.3/5; Synthesis metadata: low (not part of numeric confidence)</t>
  </si>
  <si>
    <t>407 Central Ave Ct, Reisterstown, MD 21136</t>
  </si>
  <si>
    <t>(410) 517-5400</t>
  </si>
  <si>
    <t>Sheppard Pratt School at Glyndon</t>
  </si>
  <si>
    <t>Eligibility: students aged 4–21 with disabilities (e.g., emotional disabilities, autism spectrum disorder, intellectual disability, multiple disabilities). Intake/inquiries: SPGlyndonSchool@sheppardpratt.org.</t>
  </si>
  <si>
    <t>Sheppard Pratt School at Glyndon is a nonpublic special education day school in Reisterstown that provides year‑round academic, behavioral, clinical, vocational, daily living, and transition services to youth with disabilities.</t>
  </si>
  <si>
    <t>https://www.sheppardpratt.org/locations-directions/details/sheppard-pratt-school-in-glyndon-glyndon-campus/</t>
  </si>
  <si>
    <t>Google Maps shows no public reviews for this listing, so reliability hinges on the official site and the listed hours. The listing identifies the program as operational with standard weekday hours and links to the official site, which describes year‑round academic, behavioral, clinical, vocational, and transition services for youth with disabilities.</t>
  </si>
  <si>
    <t>accepted google identity: 14.7/15; review volume: 0.0/30; review consistency: 0.0/7; review freshness: 0.0/8; verified website: 14.7/15; confirmed irs record: 0.0/20; source corroboration: 3.3/5; Synthesis metadata: insufficient_evidence (not part of numeric confidence)</t>
  </si>
  <si>
    <t>11201 Pepper Rd, Hunt Valley, MD 21031</t>
  </si>
  <si>
    <t>(410) 527-9505</t>
  </si>
  <si>
    <t>Sheppard Pratt School in Hunt Valley</t>
  </si>
  <si>
    <t>Eligibility: students aged 5–21 with multiple disabilities; setting: nonpublic special education day school in Hunt Valley; intake contact via email SPHuntValleySchool@sheppardpratt.org.</t>
  </si>
  <si>
    <t>Sheppard Pratt School in Hunt Valley is a private, nonpublic special education day school that provides year-round educational, vocational, and daily living services to students aged five to 21 with multiple disabilities (including autism spectrum disorder and intellectual, emotional, and behavioral disorders).</t>
  </si>
  <si>
    <t>https://www.sheppardpratt.org/locations-directions/details/sheppard-pratt-school-in-hunt-valley/</t>
  </si>
  <si>
    <t>There are no Google Maps user reviews available for this listing, so there is no recurring feedback to summarize. The listing and official site indicate the program operates with published weekday hours and a reachable contact, which supports the listing’s credibility, though user-review sentiment cannot be assessed.</t>
  </si>
  <si>
    <t>accepted google identity: 14.4/15; review volume: 0.0/30; review consistency: 0.0/7; review freshness: 0.0/8; verified website: 14.4/15; confirmed irs record: 0.0/20; source corroboration: 3.3/5; Synthesis metadata: medium (not part of numeric confidence)</t>
  </si>
  <si>
    <t>410-938-3800</t>
  </si>
  <si>
    <t>Sheppard Pratt Health Systems</t>
  </si>
  <si>
    <t>Emergency/crisis access is available. Admissions can be voluntary or involuntary; patients must be medically stable and evaluated by a mental health clinician within 24 hours of proposed admission. Contact options include the organization’s main line for inquiries and admissions; medical records can be requested via Medical Records Release forms.</t>
  </si>
  <si>
    <t>Sheppard Pratt Health Systems operates as a major Maryland mental health system offering inpatient psychiatric care and related supports, including crisis admission services, across two hospital campuses.</t>
  </si>
  <si>
    <t>https://www.sheppardpratt.org/</t>
  </si>
  <si>
    <t>Reviews are unavailable for this listing, so there is no recurring user feedback to summarize. The data show an operational organization with an official website and IRS filing corroborating the entity, but there are no consumer reviews to gauge satisfaction or concerns. Because review content is too thin, the reliability assessment relies on these non-review signals rather than user opinions.</t>
  </si>
  <si>
    <t>accepted google identity: 14.7/15; review volume: 0.0/30; review consistency: 0.0/7; review freshness: 0.0/8; verified website: 14.7/15; confirmed irs record: 20.0/20; source corroboration: 5.0/5; Synthesis metadata: high (not part of numeric confidence)</t>
  </si>
  <si>
    <t>7220 Discovery Dr, Elkridge, MD 21075</t>
  </si>
  <si>
    <t>(240) 915-5500</t>
  </si>
  <si>
    <t>Sheppard Pratt - Baltimore/Washington Campus</t>
  </si>
  <si>
    <t>Admissions can be voluntary; crisis admission processes are described on the campus website. For emergencies, contact emergency services (911) as needed. General inquiries and intake information are available via the campus website; specific intake steps and referrals are described on the Crisis Admission and Care Services pages (official site).</t>
  </si>
  <si>
    <t>Monday: 10 AM to 9 PM; Tuesday: 10 AM to 9 PM; Wednesday: 10 AM to 9 PM; Thursday: 10 AM to 9 PM; Friday: 10 AM to 9 PM; Saturday: 10 AM to 9 PM; Sunday: 10 AM to 9 PM</t>
  </si>
  <si>
    <t>Sheppard Pratt – Baltimore/Washington Campus is a psychiatric hospital campus offering urgent psychiatric care, inpatient units, day programs, and related mental-health services for children through older adults.</t>
  </si>
  <si>
    <t>https://www.sheppardpratt.org/locations-directions/details/sheppard-pratt-baltimore-washington-campus/</t>
  </si>
  <si>
    <t>Reviews show a mix of experiences: many reviewers commend individual staff members and compassionate care, while others report concerns about safety, wait times, and staff interactions. The most recent reviews indicate ongoing variation, with some patients praising care from specific staff and others recounting negative encounters. Overall, the listing reflects both positive, person-centered experiences and persistent criticisms, suggesting a mixture of outcomes for recent patients.</t>
  </si>
  <si>
    <t>accepted google identity: 14.7/15; review volume: 30.0/30; review consistency: 0.4/7; review freshness: 7.8/8; verified website: 14.7/15; confirmed irs record: 0.0/20; source corroboration: 3.3/5; Synthesis metadata: medium (not part of numeric confidence)</t>
  </si>
  <si>
    <t>1310 Dulaney Valley Rd, Towson, MD 21286</t>
  </si>
  <si>
    <t>(410) 337-0525</t>
  </si>
  <si>
    <t>Shining Moon's Elder Care Housing</t>
  </si>
  <si>
    <t>On-site assisted living facility offering elder care housing in Towson, Maryland.</t>
  </si>
  <si>
    <t>Google Maps lists the organization as operational, but the available listing content provides no usable user feedback to gauge quality. The entry is categorized as an assisted living facility and includes a Towson address, yet there are no substantive reviews or corroborating sources accessible to assess performance. Overall, the evidence is too thin to form a confident assessment of reliability.</t>
  </si>
  <si>
    <t>accepted google identity: 14.2/15; review volume: 5.0/30; review consistency: 7.0/7; review freshness: 5.5/8; verified website: 0.0/15; confirmed irs record: 0.0/20; source corroboration: 1.7/5; Synthesis metadata: insufficient_evidence (not part of numeric confidence)</t>
  </si>
  <si>
    <t>200 Wise Ave, Dundalk, MD 21222</t>
  </si>
  <si>
    <t>(240) 268-0796</t>
  </si>
  <si>
    <t>Shirleys Caring Heart Adult Medical Daycare</t>
  </si>
  <si>
    <t>Shirley’s Caring Heart Adult Medical Daycare provides daytime social and medical care for adults, with on-site medical services, medications management, daily activities, and therapeutic supports in a wheelchair-accessible facility.</t>
  </si>
  <si>
    <t>http://www.shirleycares.org/</t>
  </si>
  <si>
    <t>Reviews describe the center as clean, safe, and staffed by professional, caring workers. Review themes highlight friendly, attentive staff (notably Ms. Lillian), accessibility, and on-site medical services. The newest 2025 review aligns with earlier positive feedback, suggesting consistent quality over time.</t>
  </si>
  <si>
    <t>accepted google identity: 14.2/15; review volume: 15.9/30; review consistency: 7.0/7; review freshness: 3.2/8; verified website: 14.2/15; confirmed irs record: 0.0/20; source corroboration: 3.3/5; Synthesis metadata: high (not part of numeric confidence)</t>
  </si>
  <si>
    <t>2401 W Belvedere Ave, Baltimore, MD 21215</t>
  </si>
  <si>
    <t>(410) 601-9000</t>
  </si>
  <si>
    <t>Sinai Hospital</t>
  </si>
  <si>
    <t>Sinai Hospital is a general hospital in Baltimore with an emergency department, providing general medical care.</t>
  </si>
  <si>
    <t>https://www.lifebridgehealth.org/locations/sinai-hospital</t>
  </si>
  <si>
    <t>Reviews show a mix of experiences. Many reviewers praise the doctors and nurses and describe Sinai Hospital as professional and attentive. Some recent posts criticize the psychiatric unit and interactions with staff, and there are occasional mentions of long wait times. Overall, the newest reviews reflect both positive and negative experiences, indicating ongoing variability in patient experiences.</t>
  </si>
  <si>
    <t>accepted google identity: 14.7/15; review volume: 30.0/30; review consistency: 1.0/7; review freshness: 8.0/8; verified website: 14.7/15; confirmed irs record: 20.0/20; source corroboration: 5.0/5; Synthesis metadata: high (not part of numeric confidence)</t>
  </si>
  <si>
    <t>323 Sollers Point Rd, Dundalk, MD 21222</t>
  </si>
  <si>
    <t>410-887-2485</t>
  </si>
  <si>
    <t>323 Sollers Point Rd</t>
  </si>
  <si>
    <t>A physical-location listing at 323 Sollers Point Rd, Dundalk, MD 21222. The available evidence does not describe any specific services offered at this location.</t>
  </si>
  <si>
    <t>There are no Google Maps user reviews available for this listing in the provided data, so there is no feedback to summarize. The listing shows an operational business status, but without reviews it's not possible to gauge consistency of experiences or service quality from user input.</t>
  </si>
  <si>
    <t>201 Warren Ave, Baltimore, MD 21230</t>
  </si>
  <si>
    <t>(410) 528-1195</t>
  </si>
  <si>
    <t>Southern High Apartments</t>
  </si>
  <si>
    <t>A residential apartment building in Baltimore offering rental housing.</t>
  </si>
  <si>
    <t>Review feedback on Google Maps is unavailable because the listing has no written review text. The listing is marked operational, but there is no published hours or verified website information to corroborate services. Registry information shows no IRS match and the verdict is unknown; overall, the available evidence is too thin to draw solid conclusions about reliability.</t>
  </si>
  <si>
    <t>accepted google identity: 14.7/15; review volume: 5.0/30; review consistency: 7.0/7; review freshness: 7.0/8; verified website: 0.0/15; confirmed irs record: 0.0/20; source corroboration: 1.7/5; Synthesis metadata: insufficient_evidence (not part of numeric confidence)</t>
  </si>
  <si>
    <t>55 Wade Avenue, Catonsville, MD 21228</t>
  </si>
  <si>
    <t>410-402-6000</t>
  </si>
  <si>
    <t>Sullivan - Spring Grove Hospital Center</t>
  </si>
  <si>
    <t>Visitation is by appointment. The visiting hours are as follows: Monday 12:30 pm - 2:30 pm and 6:00 pm - 8:00 pm; Tuesday 1:00 pm - 8:30 pm; Wednesday 1:00 pm - 8:30 pm; Thursday 1:00 pm - 8:30 pm; Friday 12:30 pm - 2:30 pm and 6:00 pm - 8:00 pm; Saturday 1:00 pm - 8:30 pm; Sunday 12:30 pm - 2:30 pm and 4:00 pm - 8:00 pm. Visitation may be limited to two visitors per patient at a time and up to 60 minutes. All visitors and any items brought on the unit will be searched prior to entering the patient care unit. Please wear a mask inside hospital buildings. Please arrive 30 minutes prior to your appointment.</t>
  </si>
  <si>
    <t>Visiting hours (per the MDH Spring Grove Visiting Hours page): Monday: 12:30 pm - 2:30 pm &amp; 6:00 pm - 8:00 pm; Tuesday: 1:00 pm - 8:30 pm; Wednesday: 1:00 pm - 8:30 pm; Thursday: 1:00 pm - 8:30 pm; Friday: 12:30 pm - 2:30 pm &amp; 6:00 pm - 8:00 pm; Saturday: 1:00 pm - 8:30 pm; Sunday: 12:30 pm - 2:30 pm &amp; 4:00 pm - 8:00 pm.</t>
  </si>
  <si>
    <t>Spring Grove Hospital Center is a government-operated hospital facility in Catonsville, Maryland, affiliated with the Maryland Department of Health.</t>
  </si>
  <si>
    <t>https://health.maryland.gov/springgrove/Pages/home.aspx</t>
  </si>
  <si>
    <t>There are no public Reviews for this listing, so there is no user feedback to summarize. The listing and the official website both indicate the facility is operational and reachable; the site also provides visiting hours and contact information.</t>
  </si>
  <si>
    <t>accepted google identity: 15.0/15; review volume: 0.0/30; review consistency: 0.0/7; review freshness: 0.0/8; verified website: 15.0/15; confirmed irs record: 0.0/20; source corroboration: 3.3/5; Synthesis metadata: high (not part of numeric confidence)</t>
  </si>
  <si>
    <t>2211 W Rogers Ave, Baltimore, MD 21209</t>
  </si>
  <si>
    <t>(410) 664-4006</t>
  </si>
  <si>
    <t>Springwell Senior Living Community</t>
  </si>
  <si>
    <t>Springwell Senior Living is a Baltimore senior-living community that provides on-site housing options for older adults, including independent living, assisted living, and memory care, with campus-style facilities and ongoing activities and amenities.</t>
  </si>
  <si>
    <t>http://www.springwellseniorliving.com/</t>
  </si>
  <si>
    <t>Reviews show a mix of experiences. Many reviewers praise friendly staff and a welcoming, active community, while others raise concerns about medical responsiveness and the quality of care in urgent situations. The newest reviews continue to reflect both positive atmosphere and ongoing criticisms, suggesting experiences can vary by resident and circumstance. Overall, the listing is active with corroborated hours and services, but readers should verify details like care expectations with the facility.</t>
  </si>
  <si>
    <t>accepted google identity: 14.7/15; review volume: 28.8/30; review consistency: 1.0/7; review freshness: 5.9/8; verified website: 14.7/15; confirmed irs record: 0.0/20; source corroboration: 3.3/5; Synthesis metadata: medium (not part of numeric confidence)</t>
  </si>
  <si>
    <t>3308 Benson Ave, Halethorpe, MD 21227</t>
  </si>
  <si>
    <t>(667) 600-2680</t>
  </si>
  <si>
    <t>St. Ann Adult Day Services</t>
  </si>
  <si>
    <t>Eligibility appears to be older adults; intake/referral details are not described in the available sources.</t>
  </si>
  <si>
    <t>Monday: 7 AM to 5 PM; Tuesday: 7 AM to 5 PM; Wednesday: 7 AM to 5 PM; Thursday: 7 AM to 5 PM; Friday: 7 AM to 5 PM; Saturday: Closed; Sunday: Closed</t>
  </si>
  <si>
    <t>St. Ann Adult Day Services operates a daytime program for older adults that provides social activities and medical supervision to support aging in place.</t>
  </si>
  <si>
    <t>https://www.catholiccharities-md.org/services/st-ann-adult-day-services/</t>
  </si>
  <si>
    <t>Reviews are sparse but show one clearly positive comment about kind staff, a clean and pleasant atmosphere, and engaging activities. The total public review count is small and the newest review is several years old, so current performance is not well established. Overall, the available feedback suggests a positive experience but evidence is thin and may not reflect present conditions.</t>
  </si>
  <si>
    <t>accepted google identity: 14.4/15; review volume: 8.9/30; review consistency: 7.0/7; review freshness: 1.4/8; verified website: 14.4/15; confirmed irs record: 0.0/20; source corroboration: 3.3/5; Synthesis metadata: medium (not part of numeric confidence)</t>
  </si>
  <si>
    <t>11 Church Ln, Pikesville, MD 21208</t>
  </si>
  <si>
    <t>(667) 600-3185</t>
  </si>
  <si>
    <t>St. Charles House, a Catholic Charities Senior Community</t>
  </si>
  <si>
    <t>Eligibility appears to be seniors and disabled adults; apartments are rent‑assisted. No intake steps, documents, or referral requirements are described in the available materials.</t>
  </si>
  <si>
    <t>St. Charles House is a Catholic Charities Senior Community in Pikesville that provides rent‑assisted housing for seniors and disabled adults, including efficiency and one‑bedroom apartment units.</t>
  </si>
  <si>
    <t>Google Maps has a single public review describing staff as responsive and helpful, with no visible negative feedback in the dataset. The official Catholic Charities MD site corroborates that St. Charles House is part of a network of senior housing communities and describes multiple senior housing programs. Because the review data are extremely limited and not recent, reliability should be interpreted with caution.</t>
  </si>
  <si>
    <t>accepted google identity: 14.7/15; review volume: 5.0/30; review consistency: 7.0/7; review freshness: 1.3/8; verified website: 14.7/15; confirmed irs record: 0.0/20; source corroboration: 3.3/5; Synthesis metadata: insufficient_evidence (not part of numeric confidence)</t>
  </si>
  <si>
    <t>2300 Dulaney Valley Rd, Timonium, MD 21093</t>
  </si>
  <si>
    <t>(410) 252-4500</t>
  </si>
  <si>
    <t>St. Elizabeth Hall</t>
  </si>
  <si>
    <t>An independent senior living apartment complex on the Stella Maris campus offering apartment‑style living for seniors with on‑site access to campus services and medical/social programs.</t>
  </si>
  <si>
    <t>https://stellamaris.org/senior-living/independent-living/</t>
  </si>
  <si>
    <t>Reviews highlight positive experiences with staff and on‑site maintenance, with the most recent public comment praising a maintenance worker for prompt service. The small number of reviews means the sentiment isn’t fully representative, but recurring themes point to attentive staff and accessible on‑site services. Overall, the newest review continues the positive tone, though the limited sample size makes it hard to draw firm conclusions about consistency across all visits.</t>
  </si>
  <si>
    <t>accepted google identity: 14.8/15; review volume: 12.0/30; review consistency: 7.0/7; review freshness: 3.5/8; verified website: 14.8/15; confirmed irs record: 20.0/20; source corroboration: 5.0/5; Synthesis metadata: high (not part of numeric confidence)</t>
  </si>
  <si>
    <t>3320 Benson Ave, Baltimore, MD 21227</t>
  </si>
  <si>
    <t>(667) 600-2600</t>
  </si>
  <si>
    <t>St Elizabeth Rehabilitation and Nursing Center</t>
  </si>
  <si>
    <t>Medicare and Medicaid are accepted; many private insurance plans are also accepted. Admissions can often be arranged quickly, including directly from hospital stays; admissions team will verify benefits and coordinate with healthcare providers to ensure a smooth transition.</t>
  </si>
  <si>
    <t>St. Elizabeth Rehabilitation and Nursing Center provides rehabilitation and skilled nursing care at a 162‑bed Baltimore facility, offering short‑term rehab, long‑term nursing, and on‑site therapies including memory care in a faith‑based environment.</t>
  </si>
  <si>
    <t>https://stelizabethnursing.com/</t>
  </si>
  <si>
    <t>Reviews consistently highlight attentive staff, compassionate nurses, and effective rehab care, with many families expressing gratitude for the care provided. A few reviewers mention signage or wayfinding improvements, but the most recent feedback remains positive and indicates continued satisfaction. The listing shows active owner responsiveness to reviews.</t>
  </si>
  <si>
    <t>accepted google identity: 14.7/15; review volume: 30.0/30; review consistency: 5.5/7; review freshness: 8.0/8; verified website: 14.7/15; confirmed irs record: 0.0/20; source corroboration: 3.3/5; Synthesis metadata: high (not part of numeric confidence)</t>
  </si>
  <si>
    <t>827 N Arlington Ave, Baltimore, MD 21217</t>
  </si>
  <si>
    <t>(410) 669-0862</t>
  </si>
  <si>
    <t>St James Terrace Apartments|Corvus Property Intelligence</t>
  </si>
  <si>
    <t>Residential apartment complex offering rental housing in Baltimore.</t>
  </si>
  <si>
    <t>https://www.capreit.com/properties#/stores?city=null&amp;neighborhood=null&amp;page=1&amp;state=MD</t>
  </si>
  <si>
    <t>Reviews (the primary reliability source) show recurring concerns about management and upkeep. A recent July 11, 2026 review complains that there is no air conditioning for the elderly and that it will be hot, highlighting ongoing discomfort. A May 27, 2026 review mentions unprofessional staff and misplacing rent checks, and notes that claimed amenities like a fitness center or pool were not present. While a few newer reviews are positive, they contain little to no written feedback, so the overall sentiment leans negative with ongoing complaints about responsiveness and upkeep. The newest feedback continues in the same direction.</t>
  </si>
  <si>
    <t>accepted google identity: 14.7/15; review volume: 24.0/30; review consistency: 0.0/7; review freshness: 7.2/8; verified website: 14.7/15; confirmed irs record: 20.0/20; source corroboration: 5.0/5; Synthesis metadata: medium (not part of numeric confidence)</t>
  </si>
  <si>
    <t>3310 Benson Ave, Baltimore, MD 21227</t>
  </si>
  <si>
    <t>(667) 600-2685</t>
  </si>
  <si>
    <t>St. Joachim House, a Catholic Charities Senior Community</t>
  </si>
  <si>
    <t>Eligibility: Adults 62 and older seeking affordable housing; rent-assisted apartments.</t>
  </si>
  <si>
    <t>St. Joachim House is a Catholic Charities Senior Community in Baltimore that provides 90 rent-assisted one-bedroom apartments for seniors within the Jenkins Senior Living Community near Caton Avenue (adjacent to St. Agnes Hospital). The Google Maps listing notes the surrounding area includes shopping, places of worship, a library, a senior center, and recreational activities, reflecting housing for older adults within a supported community setting.</t>
  </si>
  <si>
    <t>Reviews for St. Joachim House show a small sample of ratings, but the listing provides no review text, so there are no discernible recurring themes or concerns to report. The available feedback is limited to a few ratings from a short window, and the most recent entry lacks descriptive comments.</t>
  </si>
  <si>
    <t>accepted google identity: 14.7/15; review volume: 11.3/30; review consistency: 0.4/7; review freshness: 4.8/8; verified website: 14.7/15; confirmed irs record: 0.0/20; source corroboration: 3.3/5; Synthesis metadata: insufficient_evidence (not part of numeric confidence)</t>
  </si>
  <si>
    <t>10947 Golden W Dr A, Hunt Valley, MD 21031</t>
  </si>
  <si>
    <t>(410) 329-1444</t>
  </si>
  <si>
    <t>St John the Baptist Adult Med</t>
  </si>
  <si>
    <t>No verifiable description of the organization's services is available in the provided sources.</t>
  </si>
  <si>
    <t>Google Maps shows no reviews for this listing and provides no descriptive text about services. The available data do not specify programs, eligibility, or intake details. Because review data are unavailable, there is no basis to draw conclusions about reliability or quality from user feedback.</t>
  </si>
  <si>
    <t>1222 Tugwell Dr, Catonsville, MD 21228</t>
  </si>
  <si>
    <t>(410) 747-0026</t>
  </si>
  <si>
    <t>St. Joseph's Nursing Home, Inc.</t>
  </si>
  <si>
    <t>St. Joseph's Nursing Home, Inc. is a non-profit long-term care nursing home in Catonsville, MD, operated by the Sisters Servants of Mary Immaculate.</t>
  </si>
  <si>
    <t>http://www.stjosephs.net/</t>
  </si>
  <si>
    <t>Reviews largely describe a clean, well-run facility with caring staff and generally positive experiences. The most recent review is negative, noting an unfriendly atmosphere and staffing concerns; earlier posts frequently praise staff and the facility. The newest feedback points in a different direction from the earlier positive themes, though the overall sample remains more positive than negative.</t>
  </si>
  <si>
    <t>accepted google identity: 14.7/15; review volume: 30.0/30; review consistency: 2.2/7; review freshness: 5.7/8; verified website: 14.7/15; confirmed irs record: 20.0/20; source corroboration: 5.0/5; Synthesis metadata: high (not part of numeric confidence)</t>
  </si>
  <si>
    <t>2825 Lodge Farm Rd APT 321, Edgemere, MD 21219</t>
  </si>
  <si>
    <t>(667) 600-3661</t>
  </si>
  <si>
    <t>St. Luke's Place, a Catholic Charities Senior Community</t>
  </si>
  <si>
    <t>Adults 62+ seeking affordable housing; rent-assisted apartments.</t>
  </si>
  <si>
    <t>St. Luke's Place, a Catholic Charities senior housing community in Edgemere, offers 125 one-bedroom, rent-assisted apartments for seniors.</t>
  </si>
  <si>
    <t>Reviews show a generally positive experience. Review texts note the community is clean, quiet, and staffed by helpful people, with all available recent feedback rated highly. The newest publicly visible review lacks text, but the overall impression remains favorable in the sample.</t>
  </si>
  <si>
    <t>accepted google identity: 14.2/15; review volume: 13.5/30; review consistency: 7.0/7; review freshness: 5.8/8; verified website: 14.2/15; confirmed irs record: 0.0/20; source corroboration: 3.3/5; Synthesis metadata: high (not part of numeric confidence)</t>
  </si>
  <si>
    <t>19 Winters Ln, Catonsville, MD 21228</t>
  </si>
  <si>
    <t>(667) 600-3675</t>
  </si>
  <si>
    <t>St. Mark's Apts., a Catholic Charities Senior Community</t>
  </si>
  <si>
    <t>Eligibility observed: adults 62 and older; senior housing with affordable rents.</t>
  </si>
  <si>
    <t>St. Mark’s Apartments is a Catholic Charities senior housing community offering 20 one-bedroom apartments for seniors in Catonsville, with rents described as affordable for seniors of moderate means.</t>
  </si>
  <si>
    <t>Google Maps shows two reviews for this listing, with the newest review posted about 22 days ago. One review is positive about location and management; the other review contains no text. The tiny sample makes it hard to draw a clear conclusion about current service experiences.</t>
  </si>
  <si>
    <t>accepted google identity: 14.2/15; review volume: 8.5/30; review consistency: 0.0/7; review freshness: 7.7/8; verified website: 14.2/15; confirmed irs record: 0.0/20; source corroboration: 3.3/5; Synthesis metadata: medium (not part of numeric confidence)</t>
  </si>
  <si>
    <t>2128 St Paul St, Baltimore, MD 21218</t>
  </si>
  <si>
    <t>(410) 244-5792</t>
  </si>
  <si>
    <t>Saint Paul’s Assisted Living Facility</t>
  </si>
  <si>
    <t>Monday: 9 AM to 8 PM; Tuesday: 9 AM to 8 PM; Wednesday: 9 AM to 8 PM; Thursday: 9 AM to 8 PM; Friday: 9 AM to 8 PM; Saturday: 9 AM to 8 PM; Sunday: 9 AM to 8 PM</t>
  </si>
  <si>
    <t>Saint Paul’s Assisted Living Facility appears to be a physical-location senior care facility offering personalized assisted living services in a home-like setting, including medication management, daily living assistance, nutritious meals, and engaging activities.</t>
  </si>
  <si>
    <t>https://www.ssmaps.com/how-to-start-an-assisted-living-facility/</t>
  </si>
  <si>
    <t>Google Maps shows a single 5-star review with no text, so there are no recurring themes to report. The listing is operational with defined hours and a verified website attribution, but the review footprint is too thin to gauge typical experiences.</t>
  </si>
  <si>
    <t>accepted google identity: 14.1/15; review volume: 5.0/30; review consistency: 7.0/7; review freshness: 2.6/8; verified website: 14.1/15; confirmed irs record: 0.0/20; source corroboration: 3.3/5; Synthesis metadata: medium (not part of numeric confidence)</t>
  </si>
  <si>
    <t>1605 N Hilton St, Baltimore, MD 21216</t>
  </si>
  <si>
    <t>(443) 449-5586</t>
  </si>
  <si>
    <t>Stephs Safe Haven</t>
  </si>
  <si>
    <t>Steph's Safe Haven is described as a residential facility that provides housing for residents, with amenities and a nursing team to support residents.</t>
  </si>
  <si>
    <t>http://stephsafehaven.com/index.php/about-us/</t>
  </si>
  <si>
    <t>There are no Reviews available, so there is no user feedback to summarize. The available evidence from Google Maps and the official website describes the organization as a residential facility with amenities and nursing support, but the lack of reviews and limited external corroboration means the reliability of the metadata is constrained.</t>
  </si>
  <si>
    <t>accepted google identity: 14.1/15; review volume: 0.0/30; review consistency: 0.0/7; review freshness: 0.0/8; verified website: 14.1/15; confirmed irs record: 0.0/20; source corroboration: 3.3/5; Synthesis metadata: insufficient_evidence (not part of numeric confidence)</t>
  </si>
  <si>
    <t>(410) 318-8999</t>
  </si>
  <si>
    <t>Sterling Care Assisted Living</t>
  </si>
  <si>
    <t>Intake via listed channels; long-term care insurance accepted; in-home consultation available.</t>
  </si>
  <si>
    <t>Sterling Care Assisted Living is a kosher, Jewish-oriented assisted living facility in the Baltimore area that provides housing with on-site care and medical support for residents.</t>
  </si>
  <si>
    <t>http://www.sterlingassistedliving.com/</t>
  </si>
  <si>
    <t>Reviews consistently describe Sterling Care Assisted Living as warm and caring, with a strong Jewish environment and attentive staff. The newest available reviews (from 2024) continue to praise professionalism and personal attention, aligning with earlier positive feedback. The available patient feedback suggests a cohesive, favorable experience among the small sample.</t>
  </si>
  <si>
    <t>accepted google identity: 14.2/15; review volume: 19.5/30; review consistency: 7.0/7; review freshness: 2.1/8; verified website: 14.2/15; confirmed irs record: 0.0/20; source corroboration: 3.3/5; Synthesis metadata: high (not part of numeric confidence)</t>
  </si>
  <si>
    <t>2027 Woodbourne Ave, Baltimore, MD 21239</t>
  </si>
  <si>
    <t>(443) 414-0641</t>
  </si>
  <si>
    <t>Stewart Manor</t>
  </si>
  <si>
    <t>Eligible residents may qualify for Maryland CO Waiver or private pay; admissions require a delegating nurse assessment and coordination by supports planners; tours are available (often within 24 hours); CO Waiver and private-pay admission options are stated on the website.</t>
  </si>
  <si>
    <t>Stewart Manor LLC operates a licensed, small-capacity assisted living home in Baltimore that provides daily living assistance, supervision, meals, personal hygiene support, medication management under RN oversight, and 24/7 live-in caregiving in a home-like setting.</t>
  </si>
  <si>
    <t>http://stewart-manor.com/</t>
  </si>
  <si>
    <t>Reviews describe caring, attentive staff and reliable communication with families. The most recent comments echo these strengths, and owner responses show ongoing engagement with families and residents.</t>
  </si>
  <si>
    <t>accepted google identity: 14.7/15; review volume: 8.5/30; review consistency: 7.0/7; review freshness: 5.9/8; verified website: 14.7/15; confirmed irs record: 0.0/20; source corroboration: 3.3/5; Synthesis metadata: high (not part of numeric confidence)</t>
  </si>
  <si>
    <t>1502 Frederick Rd, Catonsville, MD 21228</t>
  </si>
  <si>
    <t>(410) 747-3287</t>
  </si>
  <si>
    <t>Autumn Lake Healthcare at Summit Park</t>
  </si>
  <si>
    <t>Autumn Lake Healthcare at Summit Park is a skilled nursing and rehabilitation center offering round‑the‑clock medical care, long‑term care, and on‑site rehabilitation therapies aimed at recovery and ongoing wellness.</t>
  </si>
  <si>
    <t>https://autumnlakesummitpark.com/</t>
  </si>
  <si>
    <t>Reviews show generally positive experiences with attentive staff, clean facilities, and engaged therapy teams. Recurring positive themes include friendly interactions with nurses and front‑desk staff, good communication about resident progress, and a welcoming atmosphere. However, there are recurring concerns about responsiveness and facility conditions, and the newest reviews emphasize cleanliness issues and delays, suggesting a shift toward a more negative tone in recent feedback.</t>
  </si>
  <si>
    <t>accepted google identity: 14.8/15; review volume: 30.0/30; review consistency: 2.3/7; review freshness: 8.0/8; verified website: 14.8/15; confirmed irs record: 0.0/20; source corroboration: 3.3/5; Synthesis metadata: high (not part of numeric confidence)</t>
  </si>
  <si>
    <t>2409 Roslyn Ave, Baltimore, MD 21216</t>
  </si>
  <si>
    <t>(443) 438-5044</t>
  </si>
  <si>
    <t>SUMMIT VIEW ASSISTED LIVING</t>
  </si>
  <si>
    <t>Monday: 9 AM to 5 PM; Tuesday: 9 AM to 5 PM; Wednesday: 9 AM to 5 PM; Thursday: 9 AM to 5 PM; Friday: 9 AM to 5 PM; Saturday: 10 AM to 5 PM; Sunday: Closed</t>
  </si>
  <si>
    <t>Summit View Assisted Living is a senior living community that provides residential care and around-the-clock support in Baltimore, offering a home-like setting for older adults in need of assisted living.</t>
  </si>
  <si>
    <t>http://svaliving.com/?utm_source=gmb&amp;utm_medium=referral</t>
  </si>
  <si>
    <t>Google Maps shows two five-star reviews for Summit View Assisted Living, highlighting a clean, welcoming environment, attentive staff, and good meals, with around-the-clock care emphasized by reviewers. The most recent review (March 2024) reiterates these positives, suggesting consistent satisfaction among families. Because public feedback is limited and there are accessibility issues noted for the website and address data, verify current details directly when possible.</t>
  </si>
  <si>
    <t>accepted google identity: 14.7/15; review volume: 8.5/30; review consistency: 7.0/7; review freshness: 1.5/8; verified website: 14.7/15; confirmed irs record: 0.0/20; source corroboration: 3.3/5; Synthesis metadata: high (not part of numeric confidence)</t>
  </si>
  <si>
    <t>3800 Old Court Rd, Pikesville, MD 21208</t>
  </si>
  <si>
    <t>(410) 602-0033</t>
  </si>
  <si>
    <t>Sunrise of Pikesville</t>
  </si>
  <si>
    <t>Sunrise of Pikesville is a senior living community offering assisted living and memory care. It provides 24-hour personalized care, chef‑prepared meals, housekeeping, social and wellness activities, transportation, and a Reminiscence memory‑care program across its assisted living and memory care options.</t>
  </si>
  <si>
    <t>https://www.sunriseseniorliving.com/communities/md/sunrise-of-pikesville?utm_source=directory_listings&amp;utm_medium=clicks&amp;utm_campaign=google</t>
  </si>
  <si>
    <t>Reviews for Sunrise of Pikesville show a pattern of positive experiences, with reviewers highlighting friendly, caring staff and a welcoming atmosphere. There are a few older reviews noting concerns about staffing or pricing, but the most recent feedback continues to express satisfaction with care and environment. Owner responses appear consistently by Sunrise staff, indicating active engagement with residents and families.</t>
  </si>
  <si>
    <t>accepted google identity: 14.8/15; review volume: 30.0/30; review consistency: 1.4/7; review freshness: 7.9/8; verified website: 14.8/15; confirmed irs record: 0.0/20; source corroboration: 3.3/5; Synthesis metadata: high (not part of numeric confidence)</t>
  </si>
  <si>
    <t>4134 W Forest Park Ave, Baltimore, MD 21207</t>
  </si>
  <si>
    <t>(443) 468-2101</t>
  </si>
  <si>
    <t>Superior Assisted Living</t>
  </si>
  <si>
    <t>Nursing home facility in Baltimore, Maryland.</t>
  </si>
  <si>
    <t>Google Maps data includes a listing for this facility and notes a nursing home category, but there is no accessible review text in the provided data to summarize reviewer experiences. The listing is indicated as OPERATIONAL in the metadata, suggesting it is currently active, but the available review content is too thin to draw conclusions about service quality or reliability.</t>
  </si>
  <si>
    <t>accepted google identity: 14.2/15; review volume: 6.1/30; review consistency: 0.0/7; review freshness: 0.0/8; verified website: 0.0/15; confirmed irs record: 0.0/20; source corroboration: 1.7/5; Synthesis metadata: insufficient_evidence (not part of numeric confidence)</t>
  </si>
  <si>
    <t>4301 Roland Ave, Baltimore, MD 21210</t>
  </si>
  <si>
    <t>(443) 499-9738</t>
  </si>
  <si>
    <t>Symphony Manor</t>
  </si>
  <si>
    <t>Symphony Manor Premier Assisted Living and Memory Care is a Baltimore senior living community offering assisted living and memory care with chef-prepared dining, engaging activities, private dining options, on-site transportation, and a well-maintained environment near Roland Park.</t>
  </si>
  <si>
    <t>https://www.sonidaseniorliving.com/community/symphony-manor/</t>
  </si>
  <si>
    <t>Reviews consistently highlight a warm, well-maintained community with caring staff, clean facilities, and good communication with families. A few older reviews note staffing attentiveness concerns, but the most recent feedback continues to emphasize positive experiences and strong resident support.</t>
  </si>
  <si>
    <t>accepted google identity: 14.7/15; review volume: 30.0/30; review consistency: 5.6/7; review freshness: 7.7/8; verified website: 14.7/15; confirmed irs record: 0.0/20; source corroboration: 3.3/5; Synthesis metadata: high (not part of numeric confidence)</t>
  </si>
  <si>
    <t>305 E Joppa Rd, Towson, MD 21286</t>
  </si>
  <si>
    <t>(410) 821-9220</t>
  </si>
  <si>
    <t>Tabco Towers</t>
  </si>
  <si>
    <t>Tabco Towers is a 62+ senior apartment community in Towson offering studio and one-bedroom residences with on-site management, amenities, and a calendar of resident events.</t>
  </si>
  <si>
    <t>https://www.tabcotowersapts.com/?rcstdid=Mg%3D%3D-YRjTEizZPgM%3D&amp;utm_source=GBP&amp;utm_medium=organic</t>
  </si>
  <si>
    <t>Reviews show generally positive experiences with a well-maintained, safe living environment, responsive management, and a strong sense of community. A small number of older reviews mention pests and concerns about staff honesty. The newest review has no text, but management responses are present for multiple reviews, suggesting ongoing engagement and a generally consistent experience among recent feedback.</t>
  </si>
  <si>
    <t>accepted google identity: 14.7/15; review volume: 19.0/30; review consistency: 1.3/7; review freshness: 7.4/8; verified website: 14.7/15; confirmed irs record: 0.0/20; source corroboration: 3.3/5; Synthesis metadata: high (not part of numeric confidence)</t>
  </si>
  <si>
    <t>3813 W Cold Spring Ln, Baltimore, MD 21215</t>
  </si>
  <si>
    <t>(443) 768-3696</t>
  </si>
  <si>
    <t>Taylor Gardens Senior Living</t>
  </si>
  <si>
    <t>Taylor Gardens Senior Living is an assisted living facility in Baltimore that provides housing for older adults.</t>
  </si>
  <si>
    <t>Review feedback was unavailable or too thin to summarize from the Google listing data. The listing indicates the organization is an assisted living facility and is operational, but it provides no published hours or readable user reviews in this dataset.</t>
  </si>
  <si>
    <t>accepted google identity: 14.5/15; review volume: 3.8/30; review consistency: 0.0/7; review freshness: 0.0/8; verified website: 0.0/15; confirmed irs record: 0.0/20; source corroboration: 1.7/5; Synthesis metadata: insufficient_evidence (not part of numeric confidence)</t>
  </si>
  <si>
    <t>751 W Saratoga St, Baltimore, MD 21201</t>
  </si>
  <si>
    <t>(410) 230-9399</t>
  </si>
  <si>
    <t>Terrace Garden Co-op Apartments</t>
  </si>
  <si>
    <t>Eligibility generally targeted to seniors 62+; subsidies noted for many units; on‑site services available; wheelchair‑accessible entrance and parking; on‑site parking; elevator; maintenance; pets allowed (dogs allowed).</t>
  </si>
  <si>
    <t>Terrace Garden Co-op Apartments is a four‑story, 88‑unit housing community described as affordable for independent senior citizens aged 62 and older, with many units subsidized. The site notes its central Baltimore location at 751 W Saratoga St (21201) and mentions on‑site services and accessibility features (elevator, wheelchair‑accessible entrance and parking, on‑site maintenance; pets welcome).</t>
  </si>
  <si>
    <t>https://www.csi.coop/housing/md/baltimore/terrace-garden/default</t>
  </si>
  <si>
    <t>Google Maps shows limited, older feedback for Terrace Garden Co-op; the newest public review is from 2024 and notes vacancy concerns with a waitlist, and the listing owner responded offering to place the caller on the waitlist. With only a small, dated sample, it’s hard to gauge current experiences, and overall sentiment is not clearly positive or consistent.</t>
  </si>
  <si>
    <t>accepted google identity: 14.7/15; review volume: 13.9/30; review consistency: 7.0/7; review freshness: 2.1/8; verified website: 14.7/15; confirmed irs record: 0.0/20; source corroboration: 3.3/5; Synthesis metadata: medium (not part of numeric confidence)</t>
  </si>
  <si>
    <t>7 N Bernice Ave, Baltimore, MD 21229</t>
  </si>
  <si>
    <t>(443) 438-8919</t>
  </si>
  <si>
    <t>The Angel Network of Baltimore Assisted Living facility</t>
  </si>
  <si>
    <t>An assisted living facility in Baltimore offering housing with personal care and medical oversight, including dementia care, medications management, meals, housekeeping, transportation, and related health and social services for residents.</t>
  </si>
  <si>
    <t>http://angelnetworkassistedliving.com/</t>
  </si>
  <si>
    <t>Reviews consistently describe compassionate, attentive staff, clean facilities, and good communication. The newest review continues the positive sentiment, praising care and staff, with no expressed concerns in the available samples.</t>
  </si>
  <si>
    <t>accepted google identity: 14.3/15; review volume: 15.9/30; review consistency: 7.0/7; review freshness: 3.6/8; verified website: 14.3/15; confirmed irs record: 0.0/20; source corroboration: 3.3/5; Synthesis metadata: high (not part of numeric confidence)</t>
  </si>
  <si>
    <t>4810 Seton Dr, Baltimore, MD 21215</t>
  </si>
  <si>
    <t>410-358-8270</t>
  </si>
  <si>
    <t>School of the Chimes</t>
  </si>
  <si>
    <t>Eligibility: students ages 5–21 with autism and/or intellectual/developmental disabilities; admissions inquiries/referrals welcomed; IEP developed by the school’s treatment team; licensed by the Maryland State Department of Education.</t>
  </si>
  <si>
    <t>The Chimes School provides an 11‑month educational program for youth ages 5–21 with autism and other developmental disabilities, featuring diploma and certificate tracks, a multi-sensory approach, and emphasis on functional academics, social skills, independence, and work readiness in Baltimore.</t>
  </si>
  <si>
    <t>https://chimes.org/about/chimes-family/the-chimes-school/</t>
  </si>
  <si>
    <t>No Reviews are available for this listing, so there is no user feedback to summarize. The available sources describe the school, confirm operational status in Baltimore, and provide program and licensing details, but there is no consumer-review data to reflect experiences.</t>
  </si>
  <si>
    <t>9900 Walther Blvd, Parkville, MD 21234</t>
  </si>
  <si>
    <t>(410) 883-9871</t>
  </si>
  <si>
    <t>Cottages of Perry Hall</t>
  </si>
  <si>
    <t>The Cottages of Perry Hall is a senior living community in Parkville, MD that provides Assisted Living and Memory Care in a small, homelike setting.</t>
  </si>
  <si>
    <t>https://www.cottagesofperryhall.com/?utm_source=local_listing&amp;utm_medium=organic&amp;utm_id=GBP</t>
  </si>
  <si>
    <t>Reviews for The Cottages of Perry Hall portray a consistently positive experience, with reviewers praising attentive, compassionate staff, a warm, homelike atmosphere, and good communication with families. Recurring themes include staff dedication, cleanliness, and engaging activities, with a few comments about menu preferences. The most recent reviews continue to reflect satisfaction and show active owner responses, suggesting ongoing quality and responsiveness.</t>
  </si>
  <si>
    <t>accepted google identity: 13.9/15; review volume: 30.0/30; review consistency: 4.3/7; review freshness: 7.7/8; verified website: 13.9/15; confirmed irs record: 0.0/20; source corroboration: 3.3/5; Synthesis metadata: high (not part of numeric confidence)</t>
  </si>
  <si>
    <t>2412 W Lanvale St, Baltimore, MD 21216</t>
  </si>
  <si>
    <t>(443) 835-3321</t>
  </si>
  <si>
    <t>The Eden Place, LLC</t>
  </si>
  <si>
    <t>Residential assisted living facility providing housing and daily living assistance for seniors in a homelike setting.</t>
  </si>
  <si>
    <t>http://www.theedenplace.live/</t>
  </si>
  <si>
    <t>Reviews for The Eden Place, LLC reflect a consistently positive sentiment, with reviewers praising attentive staff and the care provided for seniors. The most recent comment highlights excellent care by Ms. Minor and her team; given the small sample, broader confirmation from additional sources is limited.</t>
  </si>
  <si>
    <t>accepted google identity: 14.7/15; review volume: 8.5/30; review consistency: 7.0/7; review freshness: 5.6/8; verified website: 14.7/15; confirmed irs record: 0.0/20; source corroboration: 3.3/5; Synthesis metadata: high (not part of numeric confidence)</t>
  </si>
  <si>
    <t>4120 Oak Rd, Halethorpe, MD 21227</t>
  </si>
  <si>
    <t>(667) 230-5952</t>
  </si>
  <si>
    <t>The Greens at English Consul</t>
  </si>
  <si>
    <t>62+ age-restricted housing; no documented intake or referral requirements in the supplied sources.</t>
  </si>
  <si>
    <t>Greens at English Consul is a 62+ senior apartment community in Halethorpe offering one- and two-bedroom units with on-site amenities including a fitness center, community room, and 24-hour maintenance; residents have access to on-site staff and public transportation.</t>
  </si>
  <si>
    <t>http://greensatenglishconsul.enterpriseresidential.org/</t>
  </si>
  <si>
    <t>Reviews show generally positive feedback on management responsiveness and maintenance. The newest review (May 2026) praises quick appliance replacement and attentive staff, while an older review has no text, indicating limited review detail overall. The listing also shows active owner responses to reviews, and includes on-site maintenance and resident services.</t>
  </si>
  <si>
    <t>accepted google identity: 14.4/15; review volume: 13.9/30; review consistency: 1.8/7; review freshness: 6.6/8; verified website: 14.4/15; confirmed irs record: 0.0/20; source corroboration: 3.3/5; Synthesis metadata: high (not part of numeric confidence)</t>
  </si>
  <si>
    <t>9707 Liberty Rd, Randallstown, MD 21133</t>
  </si>
  <si>
    <t>(667) 249-7920</t>
  </si>
  <si>
    <t>The Greens at Liberty Road</t>
  </si>
  <si>
    <t>Senior housing for adults 62+ with on-site management and 24-hour emergency maintenance; community spaces and easy access to transit.</t>
  </si>
  <si>
    <t>Monday: 9 AM to 12 PM, 1 to 4 PM; Tuesday: 9 AM to 12 PM, 1 to 4 PM; Wednesday: 9 AM to 12 PM, 1 to 4 PM; Thursday: 9 AM to 12 PM, 1 to 4 PM; Friday: 9 AM to 12 PM, 1 to 4 PM; Saturday: Closed; Sunday: Closed</t>
  </si>
  <si>
    <t>Greens at Liberty Road is a mid-rise senior apartment community in Randallstown, MD offering one- and two-bedroom homes with on-site maintenance, resident amenities, and access to public transportation.</t>
  </si>
  <si>
    <t>http://greensatlibertyroad.enterpriseresidential.org/</t>
  </si>
  <si>
    <t>Reviews for Greens at Liberty Road show mixed experiences. Some residents praise the on-site management and helpful staff, including a reviewer who highlighted a helpful property manager named Tashana. Other comments note slow maintenance and unprofessional phone etiquette. The newest publicly posted feedback is varied, with no clear trend indicating either steady improvement or decline.</t>
  </si>
  <si>
    <t>accepted google identity: 14.8/15; review volume: 18.7/30; review consistency: 0.7/7; review freshness: 6.2/8; verified website: 14.8/15; confirmed irs record: 0.0/20; source corroboration: 3.3/5; Synthesis metadata: medium (not part of numeric confidence)</t>
  </si>
  <si>
    <t>3455 Dundalk Ave, Dundalk, MD 21222</t>
  </si>
  <si>
    <t>(667) 226-9566</t>
  </si>
  <si>
    <t>The Greens at Logan Field - 62+</t>
  </si>
  <si>
    <t>62+ age-restricted senior community.</t>
  </si>
  <si>
    <t>Greens at Logan Field is a 62+ senior apartment community in Dundalk offering one- and two-bedroom units with on-site amenities such as a fitness center, library, cyber cafe, arts and crafts room, and billiards room. The property is managed on-site with accessible features like an elevator and a maintenance team.</t>
  </si>
  <si>
    <t>http://greensatloganfield.enterpriseresidential.org/</t>
  </si>
  <si>
    <t>Reviews for Greens at Logan Field show a pattern of negative experiences in the most recent samples, with reviewers citing ongoing maintenance and safety concerns and unresponsive management. The latest review describes dangerous conditions and elevator problems, while a prior review also complains about upkeep and safety. Management has responded to reviews, indicating efforts to address concerns, but the newest feedback suggests continued dissatisfaction.</t>
  </si>
  <si>
    <t>accepted google identity: 14.6/15; review volume: 16.6/30; review consistency: 7.0/7; review freshness: 6.9/8; verified website: 14.6/15; confirmed irs record: 0.0/20; source corroboration: 3.3/5; Synthesis metadata: medium (not part of numeric confidence)</t>
  </si>
  <si>
    <t>1505 N Rolling Rd, Catonsville, MD 21228</t>
  </si>
  <si>
    <t>(667) 446-1571</t>
  </si>
  <si>
    <t>The Greens At Rolling Road</t>
  </si>
  <si>
    <t>Eligibility: age 62+; senior community.</t>
  </si>
  <si>
    <t>Greens at Rolling Road is a senior apartment community in Catonsville offering 1- and 2-bedroom units with on-site management and a range of resident amenities (fitness center, lending library, wellness room, craft room, media lounge, on-site laundry, and off-street parking). The property appears as a 62+ senior living community with on-site maintenance and community-oriented services.</t>
  </si>
  <si>
    <t>http://greensatrollingroad.enterpriseresidential.org/</t>
  </si>
  <si>
    <t>Reviews describe a quiet, friendly senior community with ample parking and on-site amenities. Review comments note positive neighborly atmosphere and accessible facilities, but some reviews mention issues such as heating in units, stove type, spotty internet, and a cumbersome rent-pay system. The most recent feedback shows these themes persist, though overall sentiment remains mixed but leaning positive.</t>
  </si>
  <si>
    <t>accepted google identity: 14.8/15; review volume: 18.7/30; review consistency: 4.4/7; review freshness: 6.1/8; verified website: 14.8/15; confirmed irs record: 0.0/20; source corroboration: 3.3/5; Synthesis metadata: high (not part of numeric confidence)</t>
  </si>
  <si>
    <t>11251 Dolfield Blvd, Owings Mills, MD 21117</t>
  </si>
  <si>
    <t>(443) 394-3760</t>
  </si>
  <si>
    <t>Harbour School Innovative</t>
  </si>
  <si>
    <t>The Harbour School provides individualized education programs with therapies as recommended by each student’s IEP, plus small-group social-skills instruction, arts electives, and integrated technology resources.</t>
  </si>
  <si>
    <t>http://harbourschool.org/</t>
  </si>
  <si>
    <t>There are no Reviews available to summarize, so feedback from public reviewers is unavailable. The listing shows operational hours and is corroborated by the official website, and registry status confirms the organization is active, which supports trust in its ongoing operation.</t>
  </si>
  <si>
    <t>accepted google identity: 14.2/15; review volume: 0.0/30; review consistency: 0.0/7; review freshness: 0.0/8; verified website: 14.2/15; confirmed irs record: 20.0/20; source corroboration: 5.0/5; Synthesis metadata: high (not part of numeric confidence)</t>
  </si>
  <si>
    <t>5502 Arabia Avenue Baltimore 21214</t>
  </si>
  <si>
    <t>(410) 736-9362</t>
  </si>
  <si>
    <t>The JF Care, LLC</t>
  </si>
  <si>
    <t>Monday: 10 AM to 6 PM; Tuesday: 10 AM to 6 PM; Wednesday: 10 AM to 6 PM; Thursday: 10 AM to 6 PM; Friday: 10 AM to 12 PM; Saturday: 3 AM to 6 PM; Sunday: 10 AM to 6 PM</t>
  </si>
  <si>
    <t>The JF Care, LLC is described as an assisted living facility that provides housing and daily living assistance for adults who need help with activities of daily living, with a focus on independence and dignity for each resident.</t>
  </si>
  <si>
    <t>http://thejfcare.info/</t>
  </si>
  <si>
    <t>Reviews describe a clean, peaceful environment with staff who are caring, helpful, and dependable. The newest review from August 2025 highlights the resident feeling at peace and praises a staff member named Nikki for responsiveness. Earlier 2024 reviews also commend kindness, respect, and available activities. Overall, the available feedback suggests a positive experience, with no clear negative trends in this sample.</t>
  </si>
  <si>
    <t>accepted google identity: 14.2/15; review volume: 11.3/30; review consistency: 7.0/7; review freshness: 3.8/8; verified website: 14.2/15; confirmed irs record: 0.0/20; source corroboration: 3.3/5; Synthesis metadata: medium (not part of numeric confidence)</t>
  </si>
  <si>
    <t>1111 E Cold Spring Ln, Baltimore, MD 21239</t>
  </si>
  <si>
    <t>(410) 323-0500</t>
  </si>
  <si>
    <t>The League for People with Disabilities</t>
  </si>
  <si>
    <t>Monday: Closed; Tuesday: 8 AM to 8 PM; Wednesday: 8 AM to 8 PM; Thursday: 8 AM to 8 PM; Friday: 8 AM to 6 PM; Saturday: 8 AM to 12 PM; Sunday: Closed</t>
  </si>
  <si>
    <t>The League for People with Disabilities provides a range of programs and services for people with disabilities, including a Wellness Center and various disability-focused programs. It also offers supports for independence, family involvement, and advocacy to improve quality of life for participants and their families.</t>
  </si>
  <si>
    <t>http://www.leagueforpeople.org/</t>
  </si>
  <si>
    <t>Reviews show a pattern of positive experiences, with frequent notes about friendly staff, a welcoming environment, and accessibility of facilities. Recent comments reflect satisfaction with staff responsiveness and family-friendly programs, and the newest reviews continue in the same positive direction, suggesting consistent quality of service.</t>
  </si>
  <si>
    <t>accepted google identity: 14.8/15; review volume: 30.0/30; review consistency: 3.0/7; review freshness: 7.4/8; verified website: 14.8/15; confirmed irs record: 20.0/20; source corroboration: 5.0/5; Synthesis metadata: high (not part of numeric confidence)</t>
  </si>
  <si>
    <t>300 Cantata Ct, Reisterstown, MD 21136</t>
  </si>
  <si>
    <t>(410) 526-3380</t>
  </si>
  <si>
    <t>The Meadows of Reisterstown I &amp; II (Seniors 62+)</t>
  </si>
  <si>
    <t>Eligibility: seniors 62+.</t>
  </si>
  <si>
    <t>The Meadows of Reisterstown I &amp; II is a senior living community that offers 1- and 2-bedroom apartments for adults 62+, with on-site amenities such as a wellness center, hair salon, and arts and crafts room and media center.</t>
  </si>
  <si>
    <t>https://www.habitatamerica.com/meadows-of-reisterstown-ii/default</t>
  </si>
  <si>
    <t>Reviews show mixed experiences: some residents report friendly staff and helpful package information, while others describe poor communication and long wait times. The newest reviews indicate ongoing outreach issues, though there are occasional positive notes and management responses. Overall, the feedback is inconsistent, with recent comments suggesting ongoing challenges with contact.</t>
  </si>
  <si>
    <t>accepted google identity: 14.7/15; review volume: 19.0/30; review consistency: 3.5/7; review freshness: 4.3/8; verified website: 14.7/15; confirmed irs record: 0.0/20; source corroboration: 3.3/5; Synthesis metadata: medium (not part of numeric confidence)</t>
  </si>
  <si>
    <t>1419 Kitmore Rd, Baltimore, MD 21239</t>
  </si>
  <si>
    <t>(443) 760-7378</t>
  </si>
  <si>
    <t>Millennium Care</t>
  </si>
  <si>
    <t>A physical-location provider delivering in-person behavioral support and safety-focused services for individuals, with emphasis on crisis-management for people with developmental disabilities.</t>
  </si>
  <si>
    <t>https://millenniumcare.org/</t>
  </si>
  <si>
    <t>The Google Maps listing shows the organization as operational with defined hours and one public review, but the review text is not provided, limiting insight into user experiences. The website appears inaccessible due to an internal error, and field-correction notes indicate missing basic contact details, which further reduces verifiable coverage. Overall, reliability is limited by thin review data and incomplete external references.</t>
  </si>
  <si>
    <t>accepted google identity: 13.4/15; review volume: 5.0/30; review consistency: 7.0/7; review freshness: 3.1/8; verified website: 13.4/15; confirmed irs record: 0.0/20; source corroboration: 3.3/5; Synthesis metadata: medium (not part of numeric confidence)</t>
  </si>
  <si>
    <t>1010 E 33rd St, Baltimore, MD 21218</t>
  </si>
  <si>
    <t>(410) 554-9890</t>
  </si>
  <si>
    <t>The Nursing and Rehab Center at Stadium Place</t>
  </si>
  <si>
    <t>Admissions Department contact for assistance; no explicit eligibility criteria or intake documents documented.</t>
  </si>
  <si>
    <t>Stadium Place Nursing and Rehab Center provides skilled nursing care, short-term rehabilitation, long-term care, and related therapies (physical, occupational, and speech therapy) in Baltimore. It supports post-hospital recovery and ongoing resident care within a nursing-and-rehab setting.</t>
  </si>
  <si>
    <t>http://stadiumhc.com/</t>
  </si>
  <si>
    <t>Reviews provide the primary reliability input and show a mix of positive feedback about staff and care with some recurring concerns about communication and staffing. The newest reviews are varied, with both praise and criticism, and management often responds to comments, indicating ongoing engagement with residents and families.</t>
  </si>
  <si>
    <t>accepted google identity: 14.6/15; review volume: 30.0/30; review consistency: 1.4/7; review freshness: 8.0/8; verified website: 14.6/15; confirmed irs record: 0.0/20; source corroboration: 3.3/5; Synthesis metadata: high (not part of numeric confidence)</t>
  </si>
  <si>
    <t>3257 Bridle Ridge Ln, Timonium, MD 21093</t>
  </si>
  <si>
    <t>(410) 580-5551</t>
  </si>
  <si>
    <t>The Odyssey School</t>
  </si>
  <si>
    <t>Wheelchair accessible entrance and wheelchair-accessible parking.</t>
  </si>
  <si>
    <t>Independent private school serving students with dyslexia and related language-learning differences, offering a K–8 program with explicit reading and writing instruction, self-advocacy development, and a range of enrichment activities.</t>
  </si>
  <si>
    <t>http://www.theodysseyschool.org/</t>
  </si>
  <si>
    <t>Reviews are not present for this listing, so there is no user feedback to summarize. The listing shows the organization as operational with a verified address and a linked official website, and it publishes consistent hours and accessibility details, which supports reliable basic information.</t>
  </si>
  <si>
    <t>11500 Cronridge Dr #130, Owings Mills, MD 21117</t>
  </si>
  <si>
    <t>(410) 517-1113</t>
  </si>
  <si>
    <t>The Shafer Center</t>
  </si>
  <si>
    <t>The Shafer Center for Early Intervention operates a non-public school focused on autism, providing education for children from nursery through elementary grades and offering services to families and public school systems through school-, home-, and community-based programs.</t>
  </si>
  <si>
    <t>http://theshafercenter.com/</t>
  </si>
  <si>
    <t>Google Maps shows The Shafer Center as a special education school with autism-focused services and posted hours. There are no Reviews to summarize, so reviewer feedback is unavailable. The listing links to a website with program and enrollment content, supporting that the center is active and offering education-related services.</t>
  </si>
  <si>
    <t>305 Rolling Rd., Catonsville, MD 21228</t>
  </si>
  <si>
    <t>(410) 744-1404</t>
  </si>
  <si>
    <t>Waterfalls of Catonsville, Memory Care Home</t>
  </si>
  <si>
    <t>A memory-care focused assisted living facility offering housing and daily living support for seniors.</t>
  </si>
  <si>
    <t>http://waterfallsofcatonsville.com/</t>
  </si>
  <si>
    <t>Google Maps lists Waterfalls of Catonsville as a Memory Care Home with two public reviews (both positive) but provides no usable review text to summarize themes. The official website corroborates memory-care services and related dining/nutrition offerings. A field-correction flag notes the address could not be found, though the name and phone appear verified. Overall, the listing seems credible but with limited review content and some address-data uncertainty.</t>
  </si>
  <si>
    <t>accepted google identity: 13.8/15; review volume: 6.1/30; review consistency: 0.0/7; review freshness: 0.0/8; verified website: 13.8/15; confirmed irs record: 0.0/20; source corroboration: 3.3/5; Synthesis metadata: high (not part of numeric confidence)</t>
  </si>
  <si>
    <t>3039 Hamilton Ave, Baltimore, MD 21214</t>
  </si>
  <si>
    <t>(410) 319-9009</t>
  </si>
  <si>
    <t>Today's Care &amp; Family Inc</t>
  </si>
  <si>
    <t>Monday: 9 AM to 3:30 PM; Tuesday: 9 AM to 9:30 PM; Wednesday: 9 AM to 9:30 PM; Thursday: 9 AM to 9:30 PM; Friday: 9 AM to 9:30 PM; Saturday: Closed; Sunday: Closed</t>
  </si>
  <si>
    <t>A daytime program for adults offering supervised care and activities in Baltimore.</t>
  </si>
  <si>
    <t>Google Maps has two public reviews with no text, so there are no identifiable themes to report. The newest feedback is several months old and does not provide detailed experiences to gauge typical quality or responsiveness. Overall, review content available is too thin to draw conclusions about reliability or user satisfaction.</t>
  </si>
  <si>
    <t>accepted google identity: 14.2/15; review volume: 11.3/30; review consistency: 1.8/7; review freshness: 4.7/8; verified website: 0.0/15; confirmed irs record: 0.0/20; source corroboration: 1.7/5; Synthesis metadata: insufficient_evidence (not part of numeric confidence)</t>
  </si>
  <si>
    <t>9708 Belair Rd, Baltimore, MD 21236</t>
  </si>
  <si>
    <t>(410) 431-3854</t>
  </si>
  <si>
    <t>Town Square Perry Hall - Adult Day Care</t>
  </si>
  <si>
    <t>Monday: Closed; Tuesday: 8:30 AM to 4:30 PM; Wednesday: 8:30 AM to 4:30 PM; Thursday: 8:30 AM to 4:30 PM; Friday: 8:30 AM to 4:30 PM; Saturday: 8:30 AM to 4:30 PM; Sunday: Closed</t>
  </si>
  <si>
    <t>Town Square Perry Hall is a medical and social adult day care program in Perry Hall, MD, offering daytime supervision, engaging activities, and care for seniors, including individuals living with memory loss. The program emphasizes reminiscence therapy to support quality of life and provides a safe, welcoming environment with staff who know members by name.</t>
  </si>
  <si>
    <t>https://www.townsquare.net/adult-day-care/maryland/perryhall/?utm_campaign=gmb-listing&amp;utm_medium=organic&amp;utm_source=local</t>
  </si>
  <si>
    <t>Reviews consistently highlight friendly, knowledgeable staff, a welcoming atmosphere, and safe, engaging activities for members. The newest reviews continue to reflect positive experiences, though some past feedback notes price considerations and attendance rules. Overall, the listing shows strong, durable positive sentiment with responsive management.</t>
  </si>
  <si>
    <t>accepted google identity: 14.1/15; review volume: 30.0/30; review consistency: 5.3/7; review freshness: 6.4/8; verified website: 14.1/15; confirmed irs record: 0.0/20; source corroboration: 3.3/5; Synthesis metadata: high (not part of numeric confidence)</t>
  </si>
  <si>
    <t>509 E Joppa Rd, Towson, MD 21286</t>
  </si>
  <si>
    <t>(410) 828-9494</t>
  </si>
  <si>
    <t>Towson Rehabilitation and Healthcare Center</t>
  </si>
  <si>
    <t>Towson Rehabilitation and Healthcare Center operates as a skilled nursing and rehabilitation facility in Towson, providing 24/7 medical support, short‑term rehabilitation, and long‑term care with a multidisciplinary team that includes physical, speech, and occupational therapy. The center lists specialties in cardiac, diabetic, oncology, pulmonary, stroke, and wound care as part of its care offerings.</t>
  </si>
  <si>
    <t>https://towsonhc.com/</t>
  </si>
  <si>
    <t>Reviews show a mix of experiences. Many reviewers describe friendly, professional staff and a clean, well‑maintained environment, while some recent posts describe concerns about consistency of care and perceived discrimination. The newest feedback includes both positive and negative experiences, suggesting user experiences vary and that the listing’s sentiment is not uniformly positive.</t>
  </si>
  <si>
    <t>accepted google identity: 14.7/15; review volume: 30.0/30; review consistency: 1.9/7; review freshness: 8.0/8; verified website: 14.7/15; confirmed irs record: 0.0/20; source corroboration: 3.3/5; Synthesis metadata: medium (not part of numeric confidence)</t>
  </si>
  <si>
    <t>(410) 332-9287</t>
  </si>
  <si>
    <t>Transitional Care</t>
  </si>
  <si>
    <t>Mercy Medical Center’s Transitional Care Unit in Baltimore provides hospital-based transitional care for patients as they move from acute care to ongoing recovery.</t>
  </si>
  <si>
    <t>http://mdmercy.com/</t>
  </si>
  <si>
    <t>Reviews for this listing are minimal and do not provide user-level feedback, with at least one public review but no accessible text to summarize. Because review content is too thin to extract themes, overall reliability cannot be confidently assessed from user feedback. Website and IRS records corroborate the facility's existence and hours, but user feedback remains sparse.</t>
  </si>
  <si>
    <t>accepted google identity: 14.6/15; review volume: 3.8/30; review consistency: 0.0/7; review freshness: 0.0/8; verified website: 14.6/15; confirmed irs record: 20.0/20; source corroboration: 5.0/5; Synthesis metadata: insufficient_evidence (not part of numeric confidence)</t>
  </si>
  <si>
    <t>14601 York Rd Suite A, Sparks, MD 21152</t>
  </si>
  <si>
    <t>(443) 330-7900</t>
  </si>
  <si>
    <t>The Trellis School</t>
  </si>
  <si>
    <t>Nonpublic school setting; MSDE-approved; MANSEF-affiliated; enrollment capacity 64 students; outreach contact indicated for enrollment (the site invites families to reach out for guidance).</t>
  </si>
  <si>
    <t>A private, nonpublic school for children with autism offering an adapted education program and therapeutic interventions for students ages 5–21.</t>
  </si>
  <si>
    <t>https://www.trellisschool.com/?utm_source=gmb&amp;utm_medium=local&amp;utm_campaign=trellis-school</t>
  </si>
  <si>
    <t>Google Maps shows two 5-star reviews but provides little descriptive content in the reviews themselves; the newest review is about 98 days old and both reviews are positive, with courteous owner responses. Because the textual feedback is thin, it's hard to gauge specific experiences beyond the high ratings, and there are no evident negative patterns in the available text.</t>
  </si>
  <si>
    <t>accepted google identity: 14.2/15; review volume: 8.5/30; review consistency: 7.0/7; review freshness: 6.6/8; verified website: 14.2/15; confirmed irs record: 0.0/20; source corroboration: 3.3/5; Synthesis metadata: high (not part of numeric confidence)</t>
  </si>
  <si>
    <t>1004 Beaumont Ave, Baltimore, MD 21212</t>
  </si>
  <si>
    <t>(443) 317-7688</t>
  </si>
  <si>
    <t>Trinity Home Care &amp; Assisted Living LLC</t>
  </si>
  <si>
    <t>Monday: 8 AM to 6 PM; Tuesday: 8 AM to 6 PM; Wednesday: 8 AM to 6 PM; Thursday: 8 AM to 6 PM; Friday: 8 AM to 6 PM; Saturday: 8 AM to 12 PM; Sunday: Closed</t>
  </si>
  <si>
    <t>Trinity Home Care &amp; Assisted Living LLC provides a small residential home health care and assisted-living setting in Baltimore, offering around-the-clock care, home-cooked meals, transportation to appointments, and social activities in a home-like environment.</t>
  </si>
  <si>
    <t>https://thcal.my.canva.site/</t>
  </si>
  <si>
    <t>Available Google Maps feedback highlights a beautiful facility, attentive staff, and residents who appear happy. With only one review, there are no discernible concerns or negative experiences to summarize, and the newest entry is from 2024, leaving limited evidence of ongoing performance. Overall, the listing's sentiment in this tiny sample leans positive, but the data is too thin to draw strong conclusions.</t>
  </si>
  <si>
    <t>409 Virginia Ave, Towson, MD 21286</t>
  </si>
  <si>
    <t>(667) 600-3733</t>
  </si>
  <si>
    <t>Trinity House, a Catholic Charities Senior Community</t>
  </si>
  <si>
    <t>Eligibility: adults 62+ seeking affordable housing; rent-assisted apartments.</t>
  </si>
  <si>
    <t>Trinity House is a Catholic Charities Senior Community in Towson that provides affordable senior housing with rent-assisted units, including 82 one-bedroom apartments for seniors. The listing identifies Trinity House as a senior housing community under Catholic Charities and notes the rent-assisted, one-bedroom arrangement for older adults.</t>
  </si>
  <si>
    <t>Google Maps is the primary reliability source. There are only two public reviews, with the newest entry posted about a month ago but containing no text, making it hard to extract consistent user experiences. There are no additional platform reviews to corroborate sentiment, so overall reliability is limited and conclusions about service quality are constrained.</t>
  </si>
  <si>
    <t>accepted google identity: 14.7/15; review volume: 7.3/30; review consistency: 7.0/7; review freshness: 7.6/8; verified website: 14.7/15; confirmed irs record: 0.0/20; source corroboration: 3.3/5; Synthesis metadata: insufficient_evidence (not part of numeric confidence)</t>
  </si>
  <si>
    <t>3200 Echodale Ave, Baltimore, MD 21214</t>
  </si>
  <si>
    <t>(202) 870-2916</t>
  </si>
  <si>
    <t>Unconditional Care Assisted Living</t>
  </si>
  <si>
    <t>Private-pay arrangement; no government funding or intake requirements evidenced.</t>
  </si>
  <si>
    <t>Unconditional Care Assisted Living provides a home-like residential setting for seniors with around-the-clock staff support, daily living assistance (bathing, dressing), medication management, and a range of care options including long-term, short-term, respite, and hospice care, along with home-cooked meals.</t>
  </si>
  <si>
    <t>http://www.unconditionalcare3200.com/</t>
  </si>
  <si>
    <t>Reviews for the listing are consistently positive, highlighting a warm, home-like environment, attentive staff, and clear communication. The newest reviews reaffirm these strengths and emphasize safety and cleanliness, with multiple comments about responsive issue resolution and overall resident well-being.</t>
  </si>
  <si>
    <t>accepted google identity: 14.7/15; review volume: 15.9/30; review consistency: 7.0/7; review freshness: 6.2/8; verified website: 14.7/15; confirmed irs record: 0.0/20; source corroboration: 3.3/5; Synthesis metadata: high (not part of numeric confidence)</t>
  </si>
  <si>
    <t>3919 Innerdale Ct, Randallstown, MD 21133</t>
  </si>
  <si>
    <t>(410) 702-1925</t>
  </si>
  <si>
    <t>United Family Assisted Living Inc</t>
  </si>
  <si>
    <t>United Family Assisted Living Inc provides 24-hour assisted living in a home-like setting for seniors, including meals, housekeeping, activities, and medication monitoring.</t>
  </si>
  <si>
    <t>https://ufalinc.wixsite.com/website-1</t>
  </si>
  <si>
    <t>Reviews from 2025 show four 5-star comments praising a clean, home-like environment, caring staff, and a sense of peace of mind for families. Reviewers consistently describe warm, attentive care, good meals, and open communication, with newest posts echoing the same positive tone.</t>
  </si>
  <si>
    <t>accepted google identity: 14.5/15; review volume: 13.7/30; review consistency: 7.0/7; review freshness: 3.5/8; verified website: 14.5/15; confirmed irs record: 0.0/20; source corroboration: 3.3/5; Synthesis metadata: high (not part of numeric confidence)</t>
  </si>
  <si>
    <t>7601 Osler Dr, Towson, MD 21204</t>
  </si>
  <si>
    <t>(410) 337-1000</t>
  </si>
  <si>
    <t>University of Maryland St. Joseph Medical Center</t>
  </si>
  <si>
    <t>A general, full-service hospital that provides a broad range of medical services, including psychiatric care as part of its health services.</t>
  </si>
  <si>
    <t>https://www.umms.org/sjmc/locations/um-st-joseph-medical-center</t>
  </si>
  <si>
    <t>Reviews show mixed experiences. Many reviewers highlight compassionate, attentive care from nurses and physicians, especially in ER and maternity settings, while a minority report long wait times and delays in the ED. The newest reviews continue to reflect both highly positive experiences and some dissatisfaction, suggesting a range of patient experiences rather than a consistent pattern.</t>
  </si>
  <si>
    <t>accepted google identity: 14.6/15; review volume: 30.0/30; review consistency: 1.4/7; review freshness: 8.0/8; verified website: 14.6/15; confirmed irs record: 20.0/20; source corroboration: 5.0/5; Synthesis metadata: medium (not part of numeric confidence)</t>
  </si>
  <si>
    <t>22 S Greene St, Baltimore, MD 21201</t>
  </si>
  <si>
    <t>(410) 328-8667</t>
  </si>
  <si>
    <t>University of Maryland Medical Center</t>
  </si>
  <si>
    <t>Appointments are required or recommended for many providers. Visitors should plan visits in advance; accessibility features include wheelchair-accessible entrances, parking, and restrooms.</t>
  </si>
  <si>
    <t>University of Maryland Medical Center (UMMC) is a major hospital offering comprehensive medical care including cancer treatment, heart and vascular services, neurology, and trauma/emergency care.</t>
  </si>
  <si>
    <t>https://www.umms.org/ummc/locations/university-maryland-medical-center</t>
  </si>
  <si>
    <t>Reviews show a mix of experiences. Reviewers frequently commend compassionate staff and skilled physicians, but several accounts cite long ER waits and communication or billing concerns. The most recent reviews are positive, with callers highlighting helpful staff and smooth visits, suggesting the latest feedback trends toward favorable experiences.</t>
  </si>
  <si>
    <t>accepted google identity: 14.7/15; review volume: 30.0/30; review consistency: 0.4/7; review freshness: 8.0/8; verified website: 14.7/15; confirmed irs record: 0.0/20; source corroboration: 3.3/5; Synthesis metadata: high (not part of numeric confidence)</t>
  </si>
  <si>
    <t>827 Linden Ave, Baltimore, MD 21201</t>
  </si>
  <si>
    <t>(410) 225-8000</t>
  </si>
  <si>
    <t>UMMC Midtown Campus</t>
  </si>
  <si>
    <t>University of Maryland Medical Center Midtown Campus is a Baltimore hospital campus providing inpatient and outpatient medical care across many specialties, including an emergency department and focused services such as ophthalmology and diabetes/endocrinology care.</t>
  </si>
  <si>
    <t>https://www.umms.org/midtown/locations/ummc-midtown-campus</t>
  </si>
  <si>
    <t>Reviews show a mix of experiences. Some patients praise compassionate staff, efficient care, and positive outcomes, while others report long wait times and communication gaps. The most recent reviews include negative feedback about wait times, but the facility’s staff frequently respond to concerns.</t>
  </si>
  <si>
    <t>accepted google identity: 14.2/15; review volume: 30.0/30; review consistency: 0.8/7; review freshness: 7.9/8; verified website: 14.2/15; confirmed irs record: 20.0/20; source corroboration: 5.0/5; Synthesis metadata: high (not part of numeric confidence)</t>
  </si>
  <si>
    <t>2200 Kernan Dr, Baltimore, MD 21207</t>
  </si>
  <si>
    <t>(410) 448-2500</t>
  </si>
  <si>
    <t>University of Maryland Rehabilitation &amp; Orthopaedic Institute</t>
  </si>
  <si>
    <t>The University of Maryland Rehabilitation &amp; Orthopaedic Institute provides rehabilitation and related medical care, including orthopedics and pain management, with programs for spinal cord injury, amputee rehabilitation, and other outpatient therapies.</t>
  </si>
  <si>
    <t>https://www.umms.org/rehab</t>
  </si>
  <si>
    <t>Reviews for this listing are predominantly positive, frequently highlighting kind, professional staff and effective care. A few reviews mention limitations in service scope (e.g., autism testing for adults) or isolated interactions, but the most recent reviews continue to express satisfaction and the listing shows active staff responsiveness in replies.</t>
  </si>
  <si>
    <t>accepted google identity: 14.7/15; review volume: 30.0/30; review consistency: 3.4/7; review freshness: 8.0/8; verified website: 14.7/15; confirmed irs record: 0.0/20; source corroboration: 3.3/5; Synthesis metadata: high (not part of numeric confidence)</t>
  </si>
  <si>
    <t>1030 E 33rd St, Baltimore, MD 21218</t>
  </si>
  <si>
    <t>(410) 338-0661</t>
  </si>
  <si>
    <t>Venable Apartments II (Seniors 62+)</t>
  </si>
  <si>
    <t>Age 62+ housing (senior-restricted).</t>
  </si>
  <si>
    <t>Monday: 9:30 AM to 5 PM; Tuesday: 9:30 AM to 5 PM; Wednesday: 9:30 AM to 5 PM; Thursday: 9:30 AM to 5 PM; Friday: 9:30 AM to 5 PM; Saturday: Closed; Sunday: Closed</t>
  </si>
  <si>
    <t>Venable Apartments II is a senior apartment community offering on-site management and amenities for residents age 62 and older, including social spaces and maintenance services.</t>
  </si>
  <si>
    <t>http://habitatamerica.com/communities/venable-apartments-ii/</t>
  </si>
  <si>
    <t>Google Maps listings show Venable Apartments II as an operational senior housing property, but the current data extract provides no usable review text to summarize recurring themes. The available website link in the attribution returns a 404, limiting independent verification from that source. Overall, review feedback in the accessible data is too thin to draw conclusions about resident experiences.</t>
  </si>
  <si>
    <t>accepted google identity: 14.6/15; review volume: 8.9/30; review consistency: 0.0/7; review freshness: 0.0/8; verified website: 14.6/15; confirmed irs record: 0.0/20; source corroboration: 3.3/5; Synthesis metadata: medium (not part of numeric confidence)</t>
  </si>
  <si>
    <t>3216 Taylor Ave, Parkville, MD 21234</t>
  </si>
  <si>
    <t>(410) 444-0031</t>
  </si>
  <si>
    <t>Assisted Living-Victoria Inn</t>
  </si>
  <si>
    <t>Monday: 9 AM to 9 PM; Tuesday: 9 AM to 9 PM; Wednesday: 9 AM to 9 PM; Thursday: 9 AM to 9 PM; Friday: 9 AM to 9 PM; Saturday: 9 AM to 9 PM; Sunday: 9 AM to 9 PM</t>
  </si>
  <si>
    <t>A senior living facility listed as an assisted living facility in Parkville, Maryland.</t>
  </si>
  <si>
    <t>Reviews show mixed experiences for this listing. The newest public account describes poor care and unresponsive management, but other reviews historically reflect positive experiences. Because only a single recent review is available in the sample and recency suggests older activity, the current reliability direction is uncertain.</t>
  </si>
  <si>
    <t>accepted google identity: 14.2/15; review volume: 16.2/30; review consistency: 7.0/7; review freshness: 2.4/8; verified website: 0.0/15; confirmed irs record: 0.0/20; source corroboration: 1.7/5; Synthesis metadata: medium (not part of numeric confidence)</t>
  </si>
  <si>
    <t>9402 Belair Rd, Nottingham, MD 21236</t>
  </si>
  <si>
    <t>(443) 794-0499</t>
  </si>
  <si>
    <t>Victory Assisted Living</t>
  </si>
  <si>
    <t>Victory Assisted Living operates as a senior living facility that provides housing and daily living support for residents.</t>
  </si>
  <si>
    <t>Reviews for this listing show two positive, 5-star experiences focused on care for a relative and on an proactive owner. The newest review reinforces a favorable impression, and the earlier review echoes similar praise. Overall, the small sample of reviews points to consistently favorable feedback about the facility and management.</t>
  </si>
  <si>
    <t>accepted google identity: 14.2/15; review volume: 8.5/30; review consistency: 7.0/7; review freshness: 7.2/8; verified website: 0.0/15; confirmed irs record: 0.0/20; source corroboration: 1.7/5; Synthesis metadata: high (not part of numeric confidence)</t>
  </si>
  <si>
    <t>(667) 600-3100</t>
  </si>
  <si>
    <t>Villa Maria School</t>
  </si>
  <si>
    <t>Monday: 8:45 AM to 2:45 PM; Tuesday: 8:45 AM to 2:45 PM; Wednesday: 8:45 AM to 2:45 PM; Thursday: 8:45 AM to 2:45 PM; Friday: 8:45 AM to 2:45 PM; Saturday: Closed; Sunday: Closed</t>
  </si>
  <si>
    <t>Villa Maria School provides educational and clinical services for children with emotional, behavioral, and learning challenges, including full-day special education and related therapies, in a Maryland Department of Education–approved setting.</t>
  </si>
  <si>
    <t>http://www.catholiccharities-md.org/villa-maria-schools/</t>
  </si>
  <si>
    <t>There are no Google Maps user reviews for Villa Maria School, so public feedback is unavailable. The listing and the official website corroborate that the school offers educational and therapeutic services, and the reported hours align between the Google listing and the site. However, the data flag shows an address field conflict, indicating some address data may require verification; this reduces overall data confidence and suggests confirming the exact location before use.</t>
  </si>
  <si>
    <t>4313 Fitch Ave, Nottingham, MD 21236</t>
  </si>
  <si>
    <t>(667) 600-2360</t>
  </si>
  <si>
    <t>Village Crossroads I and II, Catholic Charities Senior Communities</t>
  </si>
  <si>
    <t>Eligibility appears to be for adults 62+ with income-limited housing; rental assistance and HUD-subsidized units are available across communities.</t>
  </si>
  <si>
    <t>Village Crossroads I and II are Catholic Charities senior housing communities that provide affordable apartments for adults 62 and older, with a mix of rent-assisted and HUD-subsidized units across the Nottingham, MD area. The organization describes a continuum of on-site services across its senior communities, including adult day services and assisted living options.</t>
  </si>
  <si>
    <t>Reviews point to a generally positive experience, with residents praising a clean, welcoming environment and attentive staff. The most recent reviews continue to note satisfaction, including comments about a beautiful apartment community and a helpful, involved resident services coordinator, while older reviews show mixed experiences. Overall, the recent feedback aligns with the favorable impression seen in the listings.</t>
  </si>
  <si>
    <t>accepted google identity: 14.6/15; review volume: 27.6/30; review consistency: 4.6/7; review freshness: 7.2/8; verified website: 14.6/15; confirmed irs record: 0.0/20; source corroboration: 3.3/5; Synthesis metadata: high (not part of numeric confidence)</t>
  </si>
  <si>
    <t>815 Winters Ln, Catonsville, MD 21228</t>
  </si>
  <si>
    <t>(410) 747-1344</t>
  </si>
  <si>
    <t>Village Oaks Senior Apartments</t>
  </si>
  <si>
    <t>Village Oaks Senior Apartments is a residential community offering one-, two-, and three-bedroom apartment homes (including townhome-style layouts) with on-site management and amenities such as a pool, playground, and landscaped grounds. The property emphasizes renovated interiors and shared spaces, with features like a computer lab, fitness center, remodeled community room, and on-site services noted in its listing.</t>
  </si>
  <si>
    <t>https://www.villageoaks-apartments.com/</t>
  </si>
  <si>
    <t>Reviews show a mix of positive experiences (praises for staff responsiveness and community amenities) and recurring concerns about pests and maintenance. The latest reviews include both a recent 5-star rating and a recent 1-star complaint, indicating no clear, consistent trend in satisfaction. Overall, the feedback appears divided rather than uniformly favorable or unfavorable.</t>
  </si>
  <si>
    <t>accepted google identity: 14.8/15; review volume: 26.2/30; review consistency: 1.3/7; review freshness: 6.6/8; verified website: 14.8/15; confirmed irs record: 0.0/20; source corroboration: 3.3/5; Synthesis metadata: high (not part of numeric confidence)</t>
  </si>
  <si>
    <t>507 Normandy Ave, Baltimore, MD 21229</t>
  </si>
  <si>
    <t>(443) 941-5269</t>
  </si>
  <si>
    <t>VivCaresllc</t>
  </si>
  <si>
    <t>Intake details are not fully documented in the sources. Inquiries and scheduling appear to be handled via the website contact form or by phone for general inquiries.</t>
  </si>
  <si>
    <t>VivCares LLC operates a small assisted living facility that houses up to six residents and provides daily staff supervision, meals, housekeeping and laundry, and medication assistance. They do not provide ambulatory or personal hygiene care. Staffing includes at least two on duty from 8:00 AM to 8:00 PM daily, with at least one staff member on site 24 hours a day.</t>
  </si>
  <si>
    <t>http://www.vivcaresllc.com/</t>
  </si>
  <si>
    <t>The Google Maps listing has a single positive review but provides no text content, so user-sourced sentiment is unavailable. The listing is corroborated by a verified website with service details and hours, which increases data credibility. However, a field-correction flag indicates a phone-number conflict and address/name data inconsistencies were flagged, so readers should verify critical details directly with the provider.</t>
  </si>
  <si>
    <t>accepted google identity: 13.7/15; review volume: 5.0/30; review consistency: 7.0/7; review freshness: 3.8/8; verified website: 13.7/15; confirmed irs record: 0.0/20; source corroboration: 3.3/5; Synthesis metadata: medium (not part of numeric confidence)</t>
  </si>
  <si>
    <t>4504 Marble Hall Rd, Baltimore, MD 21239</t>
  </si>
  <si>
    <t>(410) 988-7439</t>
  </si>
  <si>
    <t>W&amp;W Manor Assisting Living Facility</t>
  </si>
  <si>
    <t>An assisted living facility offering housing and daily living support in a residential setting.</t>
  </si>
  <si>
    <t>Google Maps shows the listing as an operational facility with 24/7 hours, but there are no public reviews to summarize. Because reviewer feedback is unavailable, reliability relies on the presence of hours and active status rather than user experiences. The available signals indicate ongoing operation, though there is no cross-platform review data to corroborate the listing.</t>
  </si>
  <si>
    <t>accepted google identity: 14.8/15; review volume: 0.0/30; review consistency: 0.0/7; review freshness: 0.0/8; verified website: 0.0/15; confirmed irs record: 0.0/20; source corroboration: 1.7/5; Synthesis metadata: low (not part of numeric confidence)</t>
  </si>
  <si>
    <t>5500 Wabash Ave, Baltimore, MD 21215</t>
  </si>
  <si>
    <t>(410) 466-2480</t>
  </si>
  <si>
    <t>Wabash Estates Co-op Apartments</t>
  </si>
  <si>
    <t>Eligibility: senior housing for independent adults aged 62+; Rent subsidies based on income with residents paying 30% of adjusted income; Utilities included; Smoke-free environment; Accessible amenities (elevator, wheelchair-accessible entrances).</t>
  </si>
  <si>
    <t>Wabash Estates Co-op is a 57-unit senior housing co-op in Baltimore offering independent living for adults 62 and older. The rent is subsidized with residents paying 30% of adjusted income, and utilities are included; the building is smoke-free and includes on-site services, parking, elevators, and common spaces.</t>
  </si>
  <si>
    <t>https://www.csi.coop/housing/md/baltimore/wabash-estates-co-op/default</t>
  </si>
  <si>
    <t>No Reviews are available for this listing, so there is no user-feedback pattern to summarize. Official sources describe Wabash Estates Co-op as independent senior housing with rent subsidies, a smoke-free environment, and onsite services. One notable data issue is an address field conflict, so readers should verify the current address and hours with the property.</t>
  </si>
  <si>
    <t>3203 W North Ave, Baltimore, MD 21216</t>
  </si>
  <si>
    <t>(410) 396-0935</t>
  </si>
  <si>
    <t>Enoch Pratt Free Library - Walbrook Branch</t>
  </si>
  <si>
    <t>Walbrook Branch of the Enoch Pratt Free Library provides in-person public library services, including access to computers, printing and copying, free Wi‑Fi, and accessible facilities, along with programs for children, teens, and job seekers.</t>
  </si>
  <si>
    <t>https://www.prattlibrary.org/locations/walbrook/</t>
  </si>
  <si>
    <t>Reviews for the Walbrook branch are highly positive. Recurring themes from recent reviews include friendly, helpful staff, a quiet and welcoming study environment, and convenient access to printing and computers. The newest reviews continue to reflect these strengths, indicating ongoing positive customer experiences.</t>
  </si>
  <si>
    <t>accepted google identity: 14.7/15; review volume: 30.0/30; review consistency: 4.7/7; review freshness: 8.0/8; verified website: 14.7/15; confirmed irs record: 0.0/20; source corroboration: 3.3/5; Synthesis metadata: high (not part of numeric confidence)</t>
  </si>
  <si>
    <t>1 Cooperative Dr, Baltimore, MD 21212</t>
  </si>
  <si>
    <t>(410) 377-0200</t>
  </si>
  <si>
    <t>Walker Co-op Apartments</t>
  </si>
  <si>
    <t>Eligible seniors 62+ for independent living; subsidized rent with residents paying roughly 30% of income; 100% smoke‑free; wheelchair‑accessible entrance and parking.</t>
  </si>
  <si>
    <t>Monday: 8:30 to 11:30 AM; Tuesday: 8:30 to 11:30 AM; Wednesday: 8:30 to 11:30 AM; Thursday: 8:30 to 11:30 AM; Friday: Closed; Saturday: Closed; Sunday: Closed</t>
  </si>
  <si>
    <t>Walker Co-op Apartments is a senior housing community offering subsidized, independent‑living rental units. The property is a four‑story, 88‑unit building described as smoke‑free and aimed at adults 62 and older, with rent set at about 30% of each resident’s income. It is noted as a Community of Quality and located in the Baltimore area.</t>
  </si>
  <si>
    <t>https://www.csi.coop/housing/md/baltimore/walker-co-op/default</t>
  </si>
  <si>
    <t>Reviews show a mix of experiences. There are several positive comments about management and the community, and the listing notes recognition as a Community of Quality. A recent 1‑star review criticizes staff, and the owner has publicly responded to address concerns. With a small review sample, the newest feedback is negative while earlier reviews were positive, indicating mixed sentiment and ongoing engagement from the listing.</t>
  </si>
  <si>
    <t>accepted google identity: 14.7/15; review volume: 14.4/30; review consistency: 1.1/7; review freshness: 3.7/8; verified website: 14.7/15; confirmed irs record: 0.0/20; source corroboration: 3.3/5; Synthesis metadata: medium (not part of numeric confidence)</t>
  </si>
  <si>
    <t>6225 York Rd, Baltimore, MD 21212</t>
  </si>
  <si>
    <t>(410) 323-8507</t>
  </si>
  <si>
    <t>Walker Mews Apartments</t>
  </si>
  <si>
    <t>Walker Mews Apartments is an affordable rental building offering one-bedroom units. Public listings indicate on-site amenities such as in-unit central air conditioning, on-site laundry centers, and community rooms, with additional features like an elevator, a fitness center, and a pet-friendly policy noted by platforms listing the property.</t>
  </si>
  <si>
    <t>https://www.zillow.com/apartments/baltimore-md/walker-mews/5XtNF2/</t>
  </si>
  <si>
    <t>Reviews show mixed experiences at Walker Mews Apartments. Some residents describe helpful on-site staff and a sense of safety, while others cite challenges with management responsiveness and maintenance delays. The newest publicly visible review is highly positive about the manager, but older reviews raise ongoing concerns, suggesting no single, consistent trend across the latest feedback.</t>
  </si>
  <si>
    <t>accepted google identity: 14.7/15; review volume: 24.1/30; review consistency: 1.3/7; review freshness: 7.0/8; verified website: 14.7/15; confirmed irs record: 0.0/20; source corroboration: 3.3/5; Synthesis metadata: medium (not part of numeric confidence)</t>
  </si>
  <si>
    <t>(443) 870-4146</t>
  </si>
  <si>
    <t>Warren Place Apartments</t>
  </si>
  <si>
    <t>Eligibility: age 62+; residency at Warren Place Senior Apartments. Pet policy: cats and dogs allowed up to 22 lb; monthly pet rent and pet deposits apply; contact leasing office for full policy details.</t>
  </si>
  <si>
    <t>Warren Place Senior Apartments is a 62+ affordable senior living community in Cockeysville, Maryland, offering apartment-style housing with on-site management and maintenance, pet-friendly policies, and access to nearby senior center activities.</t>
  </si>
  <si>
    <t>https://www.warrenplaceseniorapts.com/?utm_knock=g</t>
  </si>
  <si>
    <t>Reviews consistently highlight friendly, responsive staff and well-maintained, clean facilities with engaging resident activities. Newer reviews continue to report positive experiences and prompt issue resolution, with no recurrent complaints evident in the available sample.</t>
  </si>
  <si>
    <t>accepted google identity: 14.7/15; review volume: 24.6/30; review consistency: 5.8/7; review freshness: 7.5/8; verified website: 14.7/15; confirmed irs record: 0.0/20; source corroboration: 3.3/5; Synthesis metadata: high (not part of numeric confidence)</t>
  </si>
  <si>
    <t>856 Washington Blvd, Baltimore, MD 21230</t>
  </si>
  <si>
    <t>410-396-1099</t>
  </si>
  <si>
    <t>Enoch Pratt Free Library - Washington Village Branch</t>
  </si>
  <si>
    <t>ADA accessible; no explicit eligibility, intake, or referral requirements evidenced; currently closed for facility upgrades.</t>
  </si>
  <si>
    <t>Monday–Sunday: Closed</t>
  </si>
  <si>
    <t>Washington Village Branch of the Enoch Pratt Free Library (Pratt Library) is a public library location in Baltimore that offers typical library services when open, including borrowing materials, printing and photocopying, access to computers and the internet, free Wi‑Fi, and youth/teen and career resources. It serves the Pigtown, Hollins, Barre Circle, Morrell Park, and Southwest Baltimore neighborhoods. The branch is currently closed temporarily for facility improvements.</t>
  </si>
  <si>
    <t>https://www.prattlibrary.org/locations/washvillage/</t>
  </si>
  <si>
    <t>Reviews show a mix of positive experiences (helpful staff, access to printing and computers) and concerns about closures, with the most recent review noting the location is often closed. The Pratt Library’s official site confirms a temporary closure for facility upgrades, aligning with the listing. Overall, access is currently limited but the library’s core services are present when open.</t>
  </si>
  <si>
    <t>accepted google identity: 14.7/15; review volume: 24.0/30; review consistency: 0.6/7; review freshness: 4.3/8; verified website: 14.7/15; confirmed irs record: 0.0/20; source corroboration: 3.3/5; Synthesis metadata: high (not part of numeric confidence)</t>
  </si>
  <si>
    <t>400 E 33rd St, Baltimore, MD 21218</t>
  </si>
  <si>
    <t>(410) 396-6053</t>
  </si>
  <si>
    <t>Enoch Pratt Free Library - Waverly Branch</t>
  </si>
  <si>
    <t>Public library branch offering access to computers, free Wi‑Fi (including outdoor Wi‑Fi), printing, and various programs for children, teens, and adults; on‑site social-work support and ADA‑accessible facilities.</t>
  </si>
  <si>
    <t>https://www.prattlibrary.org/locations/waverly</t>
  </si>
  <si>
    <t>Reviews for the Waverly Branch show a consistently positive experience, with reviewers highlighting friendly, helpful staff, clean spaces, and good access to computers and programs. The most recent reviews are all five‑star and reiterate these strengths, while a few commenters note a desire for Sunday hours, which does not appear to affect overall satisfaction.</t>
  </si>
  <si>
    <t>accepted google identity: 14.6/15; review volume: 30.0/30; review consistency: 7.0/7; review freshness: 7.6/8; verified website: 14.6/15; confirmed irs record: 0.0/20; source corroboration: 3.3/5; Synthesis metadata: high (not part of numeric confidence)</t>
  </si>
  <si>
    <t>1000 Cathedral St, Baltimore, MD 21201</t>
  </si>
  <si>
    <t>(410) 396-1324</t>
  </si>
  <si>
    <t>Waxter Center</t>
  </si>
  <si>
    <t>Waxter Center is a senior center in Baltimore that serves as a community hub for older adults to gather and participate in activities and programs.</t>
  </si>
  <si>
    <t>https://health.baltimorecity.gov/</t>
  </si>
  <si>
    <t>Reviews portray Waxter Center as a welcoming community hub with friendly staff and a range of activities for seniors. The most recent posts note the center has been closed temporarily, which affects access and expectations. Earlier reviews highlighted tours, events, and a sense of community, but the latest feedback centers on the closure status.</t>
  </si>
  <si>
    <t>accepted google identity: 14.7/15; review volume: 30.0/30; review consistency: 3.6/7; review freshness: 7.3/8; verified website: 14.7/15; confirmed irs record: 0.0/20; source corroboration: 3.3/5; Synthesis metadata: high (not part of numeric confidence)</t>
  </si>
  <si>
    <t>3020 Garrison Blvd Unit 309, Baltimore, MD 21216</t>
  </si>
  <si>
    <t>(410) 542-4580</t>
  </si>
  <si>
    <t>Bon Secours Wayland Village Senior Apartments</t>
  </si>
  <si>
    <t>Bon Secours Wayland Village Senior Apartments is a senior apartment building in Baltimore that provides residential housing for older adults.</t>
  </si>
  <si>
    <t>https://search.pratumco.com/apartments/md/baltimore/wayland-village/#/</t>
  </si>
  <si>
    <t>Reviews show a mix of experiences. Recurring positives mention outdoor seating, on-site activities, a fitness room, and access to computers, while at least one low-rated review hints at dissatisfaction. The newest 2026 reviews continue to reflect mixed sentiment, with no clear trend toward improvement or decline.</t>
  </si>
  <si>
    <t>accepted google identity: 14.7/15; review volume: 19.2/30; review consistency: 2.3/7; review freshness: 5.7/8; verified website: 14.7/15; confirmed irs record: 0.0/20; source corroboration: 3.3/5; Synthesis metadata: medium (not part of numeric confidence)</t>
  </si>
  <si>
    <t>2902 Bayonne Ave, Baltimore, MD 21214</t>
  </si>
  <si>
    <t>(813) 518-5365</t>
  </si>
  <si>
    <t>We Care First, LLC</t>
  </si>
  <si>
    <t>A physical-location housing facility listed in Baltimore that appears to be an assisted living facility.</t>
  </si>
  <si>
    <t>https://wecarefirstalf.com/</t>
  </si>
  <si>
    <t>There are no public Reviews for this listing, and the fetched review sample is empty. The available reliability signals show the business as operational but the official website returns an HTTP 404 with a Squarespace “Website Expired” message, and there is an IRS BMF filing noted for 2024. Because review feedback is unavailable and online information is inconsistent, reliability is limited at this time.</t>
  </si>
  <si>
    <t>1020 E 33rd St, Baltimore, MD 21218</t>
  </si>
  <si>
    <t>(410) 235-0500</t>
  </si>
  <si>
    <t>Harry and Jeanette Weinberg Court Apartments (Seniors 62+)</t>
  </si>
  <si>
    <t>Senior rental housing community at Weinberg Court within Stadium Place, offering 1‑bedroom apartments for residents aged 62 and up. Features include on‑site management, 24‑hour emergency maintenance, pet‑friendly policies, accessible units, and amenities designed for maintenance‑free living.</t>
  </si>
  <si>
    <t>https://www.habitatamerica.com/harry-and-jeanette-weinberg-court-apartments/default</t>
  </si>
  <si>
    <t>Reviews for Weinberg Court are highly positive, with several recent 5‑star entries. Review texts are sparse, but one older comment described the property as “beautiful,” and the overall tone across the samples suggests satisfaction with the community and management. The newest reviews continue to convey a positive impression, aligning with the listing’s operational status.</t>
  </si>
  <si>
    <t>accepted google identity: 14.2/15; review volume: 15.1/30; review consistency: 7.0/7; review freshness: 7.2/8; verified website: 14.2/15; confirmed irs record: 0.0/20; source corroboration: 3.3/5; Synthesis metadata: high (not part of numeric confidence)</t>
  </si>
  <si>
    <t>1500 Bedford Ave, Pikesville, MD 21208</t>
  </si>
  <si>
    <t>(410) 602-8200</t>
  </si>
  <si>
    <t>Weinberg Gardens</t>
  </si>
  <si>
    <t>Seniors 62+ eligibility; no further intake or documentation details evidenced.</t>
  </si>
  <si>
    <t>Monday: 8:45 AM to 5 PM; Tuesday: 8:45 AM to 5 PM; Wednesday: 8:45 AM to 5 PM; Thursday: 8:45 AM to 5 PM; Friday: 8:45 AM to 3 PM; Saturday: Closed; Sunday: Closed</t>
  </si>
  <si>
    <t>Weinberg Terrace &amp; Gardens is a senior living apartment community offering one-bedroom homes for residents 62 and older, with on-site management and laundry, plus amenities such as a kosher Eating Together dining program, wellness and lifestyle activities, and a local shuttle service.</t>
  </si>
  <si>
    <t>http://weinbergterracegardensapts.com/</t>
  </si>
  <si>
    <t>Review content from Google Maps is unavailable in detail here, so I cannot summarize recurring themes or concerns from reviews. The listing and the official website corroborate operational hours and amenities such as on-site management, laundry, and the dining and activities programs, which support the service description.</t>
  </si>
  <si>
    <t>accepted google identity: 14.7/15; review volume: 9.9/30; review consistency: 0.0/7; review freshness: 0.0/8; verified website: 14.7/15; confirmed irs record: 0.0/20; source corroboration: 3.3/5; Synthesis metadata: high (not part of numeric confidence)</t>
  </si>
  <si>
    <t>16 Old Court Rd, Pikesville, MD 21208</t>
  </si>
  <si>
    <t>(410) 602-2405</t>
  </si>
  <si>
    <t>Weinberg House</t>
  </si>
  <si>
    <t>Eligibility: age 62+ (senior independent living); occupancy may be subject to income limits (Income Limits May Apply).</t>
  </si>
  <si>
    <t>Weinberg House is an independent senior living community in Pikesville that provides affordable one-bedroom apartments for residents 62 and older, along with on-site dining, social activities, shuttle service, and responsive management. The community emphasizes senior-friendly amenities and accessibility, including kosher dining options and an active resident community.</t>
  </si>
  <si>
    <t>http://weinberghouseapartments.com/</t>
  </si>
  <si>
    <t>Reviews depict a positive, community-oriented environment with praise for the staff, cleanliness, and senior-focused resources. Recurring themes include appreciation for the dining program, shuttle service, and affordability, and the newest reviews continue in a favorable direction. At least one inquiry about age eligibility was addressed by staff responses, indicating ongoing engagement with residents and prospective tenants.</t>
  </si>
  <si>
    <t>accepted google identity: 14.8/15; review volume: 15.6/30; review consistency: 5.5/7; review freshness: 7.8/8; verified website: 14.8/15; confirmed irs record: 0.0/20; source corroboration: 3.3/5; Synthesis metadata: high (not part of numeric confidence)</t>
  </si>
  <si>
    <t>5715 Park Heights Ave, Baltimore, MD 21215</t>
  </si>
  <si>
    <t>(410) 466-8080</t>
  </si>
  <si>
    <t>Manhattan Park</t>
  </si>
  <si>
    <t>Eligibility limited to adults 62 and older; income restrictions may apply; contact leasing office for details.</t>
  </si>
  <si>
    <t>Monday: 8:45 AM to 5:15 PM; Tuesday: 8:45 AM to 5:15 PM; Wednesday: 8:45 AM to 5:15 PM; Thursday: 8:45 AM to 5:15 PM; Friday: 8:45 AM to 3 PM; Saturday: Closed; Sunday: Closed</t>
  </si>
  <si>
    <t>Weinberg Manhattan Park is a senior housing community in Baltimore offering affordable studio, one-bedroom, and two-bedroom apartments for residents 62 and older, with on-site management and amenities such as a kosher dining program, shuttle service, on-site laundry, and 24-hour maintenance.</t>
  </si>
  <si>
    <t>http://weinbergmanhattan.com/</t>
  </si>
  <si>
    <t>Reviews for Weinberg Manhattan Park show a consistently positive sentiment, with residents and vendors noting a well-maintained, safe community and responsive staff. The newest reviews (2026) continue to praise management and the living environment, reinforcing the longer-running positive feedback.</t>
  </si>
  <si>
    <t>accepted google identity: 14.7/15; review volume: 18.5/30; review consistency: 5.5/7; review freshness: 7.4/8; verified website: 14.7/15; confirmed irs record: 0.0/20; source corroboration: 3.3/5; Synthesis metadata: high (not part of numeric confidence)</t>
  </si>
  <si>
    <t>3601 Fords Ln, Baltimore, MD 21215</t>
  </si>
  <si>
    <t>(410) 358-5581</t>
  </si>
  <si>
    <t>Weinberg Manor East</t>
  </si>
  <si>
    <t>Eligibility appears to be seniors 62+ or individuals with disabilities; inquire with the onsite team for availability, intake details, and required documents.</t>
  </si>
  <si>
    <t>Weinberg Manor East is a senior living apartment community offering affordable housing options for seniors 62+ and residents of all ages with disabilities. The campus provides on-site management and laundry, plus amenities including an Eating Together Dining Program, wellness and lifestyle activities, and a local shuttle service across Weinberg Manor East, West, and South. It emphasizes a community environment with accessible services and 24‑hour emergency maintenance.</t>
  </si>
  <si>
    <t>http://weinbergmanorsapts.com/</t>
  </si>
  <si>
    <t>Reviews show a mix of experiences: some residents praise cleanliness, comfort, and staff responsiveness, while others report limited staff after hours and frustrations with service. The newest reviews indicate both positive and negative feedback, and management responses suggest ongoing engagement with concerns. Given the small sample size, the reliability signal is mixed and should be weighed with other information.</t>
  </si>
  <si>
    <t>accepted google identity: 14.7/15; review volume: 19.3/30; review consistency: 0.5/7; review freshness: 6.9/8; verified website: 14.7/15; confirmed irs record: 0.0/20; source corroboration: 3.3/5; Synthesis metadata: medium (not part of numeric confidence)</t>
  </si>
  <si>
    <t>3617 Fords Ln, Baltimore, MD 21215</t>
  </si>
  <si>
    <t>(410) 783-7333</t>
  </si>
  <si>
    <t>Weinberg Manor South</t>
  </si>
  <si>
    <t>Eligibility: seniors 62+ and residents with disabilities. On-site amenities include the Eating Together Dining Program, wellness and lifestyle activities, shuttle service, on-site management, and laundry.</t>
  </si>
  <si>
    <t>Weinberg Manor South is part of a campus of Weinberg Manor communities offering affordable housing for seniors 62+ and residents of all ages with disabilities in Northwest Baltimore. The campus provides on-site amenities and services such as the Eating Together Dining Program, wellness and lifestyle activities, shuttle service, on-site management and laundry, and 24-hour emergency maintenance.</t>
  </si>
  <si>
    <t>Google Maps shows a very small set of reviews (3 total) with one recent sample stating 'Nice place' and a management reply indicating attentiveness. The newest review is from 2023, so there is little recent feedback to confirm current conditions. Overall sentiment in the available feedback is positive, but data are sparse and not enough to judge present-day experiences.</t>
  </si>
  <si>
    <t>accepted google identity: 14.7/15; review volume: 8.9/30; review consistency: 7.0/7; review freshness: 1.2/8; verified website: 14.7/15; confirmed irs record: 0.0/20; source corroboration: 3.3/5; Synthesis metadata: medium (not part of numeric confidence)</t>
  </si>
  <si>
    <t>2500 W Belvedere Ave, Baltimore, MD 21215</t>
  </si>
  <si>
    <t>(410) 542-4111</t>
  </si>
  <si>
    <t>Weinberg Place</t>
  </si>
  <si>
    <t>Eligibility appears to target seniors 62+ and residents with disabilities; income limits may apply. Intake is handled through on-site management, and a Welcome Home Tour can be arranged by contacting them.</t>
  </si>
  <si>
    <t>Monday: 8:30 AM to 5 PM; Tuesday: 8:30 AM to 5 PM; Wednesday: 8:30 AM to 5 PM; Thursday: 8:30 AM to 5 PM; Friday: 8:30 AM to 5 PM; Saturday: 9:30 AM to 3 PM; Sunday: Closed</t>
  </si>
  <si>
    <t>Weinberg Place is a senior apartment community in Baltimore offering affordable studio and one-bedroom units for residents 62 and older (and for people with disabilities), with on-site management and a range of resident amenities. The property provides services such as on-site laundry, 24-hour emergency maintenance, shuttle service to local shops and restaurants, and social/amenity offerings including a Kosher Eating Together Program and an on-site café, plus accessible features and pet-friendly policies.</t>
  </si>
  <si>
    <t>https://weinbergplace.com/</t>
  </si>
  <si>
    <t>Reviews describe helpful staff and a clean, well-maintained building, but recurring concerns about security and elevator/maintenance issues persist. Some recent reviews mention security concerns, while older entries praise the apartments and on-site amenities and note responsive management. Overall, feedback is mixed but leans positive when issues are addressed by staff.</t>
  </si>
  <si>
    <t>accepted google identity: 14.7/15; review volume: 20.2/30; review consistency: 1.8/7; review freshness: 3.5/8; verified website: 14.7/15; confirmed irs record: 0.0/20; source corroboration: 3.3/5; Synthesis metadata: high (not part of numeric confidence)</t>
  </si>
  <si>
    <t>1450 Bedford Ave, Pikesville, MD 21208</t>
  </si>
  <si>
    <t>(410) 602-3950</t>
  </si>
  <si>
    <t>Weinberg Terrace</t>
  </si>
  <si>
    <t>Weinberg Terrace &amp; Gardens is a senior-oriented apartment community in Pikesville offering one-bedroom units with on-site amenities such as a kosher dining program, wellness and social activities, a local shuttle, onsite management, and laundry facilities.</t>
  </si>
  <si>
    <t>Reviews for Weinberg Terrace show a small, positive footprint with two 5-star reviews. The newest review from about 3 months ago expresses fondness for the community, and the owner has actively responded to reviews, indicating ongoing engagement. While the sample is small, the feedback trends positively and aligns with the site description of a warm, active senior community.</t>
  </si>
  <si>
    <t>accepted google identity: 14.7/15; review volume: 8.5/30; review consistency: 7.0/7; review freshness: 6.7/8; verified website: 14.7/15; confirmed irs record: 0.0/20; source corroboration: 3.3/5; Synthesis metadata: high (not part of numeric confidence)</t>
  </si>
  <si>
    <t>3420 Associated Way, Owings Mills, MD 21117</t>
  </si>
  <si>
    <t>(410) 581-7878</t>
  </si>
  <si>
    <t>Weinberg Village I</t>
  </si>
  <si>
    <t>Eligibility limited to seniors aged 62 and older. Standard rental-applicant process; onsite management is available for inquiries and screening.</t>
  </si>
  <si>
    <t>Weinberg Village I is a senior-oriented apartment community offering affordable one- and two-bedroom homes on a campus of five interconnected buildings. The property provides on-site management and laundry, plus amenities such as a dining program, wellness activities, and a local shuttle to support independent living for residents age 62 and older.</t>
  </si>
  <si>
    <t>http://weinbergvillagesapts.com/</t>
  </si>
  <si>
    <t>Reviews for Weinberg Village I are sparse and largely negative in the small accessible sample, with residents highlighting maintenance and upkeep concerns and perceived disrespect toward seniors. The most recent publicly visible feedback emphasizes ongoing repair delays and dissatisfaction, which suggests caution about ongoing property upkeep. Overall, the available review text paints a similar picture to the newest feedback, with no clear counterbalancing positive sentiment in the accessible sample.</t>
  </si>
  <si>
    <t>accepted google identity: 15.0/15; review volume: 12.0/30; review consistency: 7.0/7; review freshness: 1.8/8; verified website: 15.0/15; confirmed irs record: 0.0/20; source corroboration: 3.3/5; Synthesis metadata: low (not part of numeric confidence)</t>
  </si>
  <si>
    <t>3211 Clarks Ln, Baltimore, MD 21215</t>
  </si>
  <si>
    <t>(410) 318-6625</t>
  </si>
  <si>
    <t>Weinberg Woods</t>
  </si>
  <si>
    <t>Seniors age 62 and older; income restrictions may apply; on-site management.</t>
  </si>
  <si>
    <t>Weinberg Woods provides affordable senior housing with one-bedroom apartment homes for residents 62 years and older, supported by on-site management and amenities such as shuttle service and common areas.</t>
  </si>
  <si>
    <t>http://weinbergwoodsapts.com/</t>
  </si>
  <si>
    <t>Google Maps shows two public reviews with an overall positive tenor. The older review mentions accessibility for seniors and planned renovations, while the newest review is a 5-star rating with no text; owner responses show ongoing engagement. Overall, the sentiment is favorable and aligns with the accessibility and services described, though the review volume is small.</t>
  </si>
  <si>
    <t>accepted google identity: 14.7/15; review volume: 11.3/30; review consistency: 7.0/7; review freshness: 4.3/8; verified website: 14.7/15; confirmed irs record: 0.0/20; source corroboration: 3.3/5; Synthesis metadata: high (not part of numeric confidence)</t>
  </si>
  <si>
    <t>416 Eastern Blvd Ste a, Essex, MD 21221</t>
  </si>
  <si>
    <t>(443) 720-7732</t>
  </si>
  <si>
    <t>Welcome Friends Adult Medical Day Center</t>
  </si>
  <si>
    <t>Eligibility: adults 18+ within 10 miles and/or at risk of institutionalization due to dementia or cognitive impairment; day-care option to relieve caregiver burden. Insurance/Payment: Medicaid accepted; Veterans Affairs assistance and private pay options. Intake: Schedule a tour. Accessibility: onsite services and wheelchair-accessible entrance/parking.</t>
  </si>
  <si>
    <t>Welcome Friends Adult Medical Day Center provides daytime care for medically frail or elderly adults, offering on-site medical care, rehabilitation activities, social engagement, and meals, with transportation to and from the center. The center emphasizes a warm, family-like environment with a team that includes an on-site nurse and physical therapists, plus visiting medical specialists. Services are described as accessible during the daytime with transportation support to help families manage caregiving needs.</t>
  </si>
  <si>
    <t>https://wfdaycare.com/</t>
  </si>
  <si>
    <t>Reviews portray a consistently positive, caring environment with staff who are described as friendly and responsive. Reviewers highlight meaningful activities, a sense of safety, and participants feeling supported and engaged. The most recent reviews reinforce these themes, suggesting ongoing satisfaction with the center’s care and programs.</t>
  </si>
  <si>
    <t>accepted google identity: 14.6/15; review volume: 22.6/30; review consistency: 7.0/7; review freshness: 3.4/8; verified website: 14.6/15; confirmed irs record: 0.0/20; source corroboration: 3.3/5; Synthesis metadata: high (not part of numeric confidence)</t>
  </si>
  <si>
    <t>1005 Sayward Ave, Parkville, MD 21234</t>
  </si>
  <si>
    <t>(443) 519-5018</t>
  </si>
  <si>
    <t>Westfield Assisted Living, LLC</t>
  </si>
  <si>
    <t>To inquire about admissions or schedule a tour, use the facility's website contact form or call during business hours.</t>
  </si>
  <si>
    <t>9:00 a.m. - 6:00 p.m.</t>
  </si>
  <si>
    <t>Westfield Assisted Living at Hillendale offers assisted living services in Parkville, providing residential senior living with around-the-clock licensed staff and help with daily activities.</t>
  </si>
  <si>
    <t>http://www.westfieldassist.com/</t>
  </si>
  <si>
    <t>Reviews show two 5-star entries that consistently praise staff friendliness, professionalism, and a family-like environment. The newest review (2026-03-25) echoes positive experiences and there are no negative posts in the available sample; the listing appears operational, though IRS registry data cannot confirm the organization's identity.</t>
  </si>
  <si>
    <t>accepted google identity: 14.2/15; review volume: 8.5/30; review consistency: 7.0/7; review freshness: 5.8/8; verified website: 14.2/15; confirmed irs record: 0.0/20; source corroboration: 3.3/5; Synthesis metadata: high (not part of numeric confidence)</t>
  </si>
  <si>
    <t>10 N Rock Glen Rd, Baltimore, MD 21229</t>
  </si>
  <si>
    <t>(410) 646-2100</t>
  </si>
  <si>
    <t>Westgate Hills Rehabilitation &amp; Healthcare Center</t>
  </si>
  <si>
    <t>Westgate Hills Rehab &amp; Healthcare Center is a nursing home that provides subacute rehabilitation and skilled nursing care, with rehabilitation therapies available (including physical therapy) to help residents recover and regain independence.</t>
  </si>
  <si>
    <t>https://westgatehillshc.com/?utm_source=google&amp;utm_medium=organic&amp;utm_campaign=gmb&amp;utm_content=main_button</t>
  </si>
  <si>
    <t>Reviews for Westgate Hills Rehab &amp; Healthcare Center are overwhelmingly positive, with residents and families praising the caring staff, cleanliness, and quality rehabilitation services. Recent newest reviews continue to highlight attentive nurses and therapists, good communication, and a supportive environment. A small number of comments mention food or interactions with some staff, but the latest feedback generally aligns with the positive impression.</t>
  </si>
  <si>
    <t>accepted google identity: 14.2/15; review volume: 30.0/30; review consistency: 5.5/7; review freshness: 7.9/8; verified website: 14.2/15; confirmed irs record: 0.0/20; source corroboration: 3.3/5; Synthesis metadata: high (not part of numeric confidence)</t>
  </si>
  <si>
    <t>524 N Charles St, Baltimore, MD 21201</t>
  </si>
  <si>
    <t>(410) 837-0180</t>
  </si>
  <si>
    <t>Westminster House Senior Apartments</t>
  </si>
  <si>
    <t>Eligibility requires age 62+ and income within Maryland-area limits defined by the state; residency is through Westminster House with contact info: 410-837-0180.</t>
  </si>
  <si>
    <t>Westminster House Senior Apartments provides affordable, independent senior housing for residents aged 62 and older in Baltimore’s Mount Vernon area, located at 524 N. Charles Street. The property markets itself as affordable senior housing with utilities included and is near cultural amenities and transit.</t>
  </si>
  <si>
    <t>http://westminsterhouseapts.com/</t>
  </si>
  <si>
    <t>Reviews show a mix of positive and negative experiences. Many residents cite a good location, safety features, and responsive management, while several reviews mention past pest and heating concerns and surrounding area activity. Recent feedback indicates ongoing satisfaction from some long-term residents, but overall sentiment remains mixed.</t>
  </si>
  <si>
    <t>accepted google identity: 14.7/15; review volume: 28.8/30; review consistency: 1.1/7; review freshness: 6.6/8; verified website: 14.7/15; confirmed irs record: 20.0/20; source corroboration: 5.0/5; Synthesis metadata: high (not part of numeric confidence)</t>
  </si>
  <si>
    <t>1811 Woodlawn Dr, Woodlawn, MD 21207</t>
  </si>
  <si>
    <t>410-887-1336</t>
  </si>
  <si>
    <t>1811 Woodlawn Dr</t>
  </si>
  <si>
    <t>A physical listing for a location in Woodlawn, Maryland. The entry indicates generic service-related tags (Services, Health &amp; Beauty, Other) but provides no details about specific programs or offerings.</t>
  </si>
  <si>
    <t>No Reviews are available for this listing, so there is no user feedback to summarize. The listing shows generic service tags but does not provide explicit programs, eligibility requirements, or hours. Because there is no review content to interpret, the reliability of the listing cannot be inferred from consumer feedback.</t>
  </si>
  <si>
    <t>2120 Gwynn Oak Ave, Gwynn Oak, MD 21207</t>
  </si>
  <si>
    <t>(410) 887-6887</t>
  </si>
  <si>
    <t>Woodlawn Senior Center</t>
  </si>
  <si>
    <t>Woodlawn Senior Center is a community hub for older adults in Gwynn Oak, providing a venue for senior programs and activities at 2120 Gwynn Oak Ave.</t>
  </si>
  <si>
    <t>https://www.baltimorecountymd.gov/departments/aging/centers/woodlawn.html</t>
  </si>
  <si>
    <t>Reviews show a generally positive sentiment toward Woodlawn Senior Center, with comments about a newly built or updated facility and eagerness to participate in center activities and trips. The sample of reviews includes mentions of signing up for trips and looking forward to attending, and the newest reviews are months old, with no clear negative trends in the available text. There are no owner responses in the snippets provided.</t>
  </si>
  <si>
    <t>accepted google identity: 14.5/15; review volume: 24.0/30; review consistency: 5.3/7; review freshness: 5.8/8; verified website: 14.5/15; confirmed irs record: 0.0/20; source corroboration: 3.3/5; Synthesis metadata: insufficient_evidence (not part of numeric confidence)</t>
  </si>
  <si>
    <t>4501 Reisterstown Rd, Baltimore, MD 21215</t>
  </si>
  <si>
    <t>(410) 396-3535</t>
  </si>
  <si>
    <t>Zeta Center</t>
  </si>
  <si>
    <t>A community center serving older adults with a range of activities and social programs.</t>
  </si>
  <si>
    <t>Reviews describe Zeta Center as a welcoming hub for older adults with a variety of activities and friendly staff. Reviewers consistently note the center offers opportunities to socialize and participate in events, with newer posts continuing to reflect a positive experience. The overall listing shows a high level of satisfaction among recent reviewers, with recurring themes of community, accessibility to activities, and helpful staff.</t>
  </si>
  <si>
    <t>accepted google identity: 14.8/15; review volume: 30.0/30; review consistency: 4.2/7; review freshness: 5.6/8; verified website: 0.0/15; confirmed irs record: 0.0/20; source corroboration: 1.7/5; Synthesis metadata: high (not part of numeric confidence)</t>
  </si>
  <si>
    <t>1100 Pennsylvania Ave STE 102, Baltimore, MD 21201</t>
  </si>
  <si>
    <t>(410) 669-3900</t>
  </si>
  <si>
    <t>Zion Towers</t>
  </si>
  <si>
    <t>Restrictions apply; eligibility discussed during site visit. For applications, contact the management office (Monday–Friday, 8:00am–4:00pm).</t>
  </si>
  <si>
    <t>Monday through Friday, 8:00am–4:00pm</t>
  </si>
  <si>
    <t>Zion Towers is a housing property in Baltimore operated by SHP Management Corp. It provides apartment-style homes with on-site resident services and community amenities, including wellness clinics and health screenings, nutrition and meal programs, computer literacy, and family-oriented programs.</t>
  </si>
  <si>
    <t>https://shpmanagement.com/property/zion-towers/</t>
  </si>
  <si>
    <t>Reviews for Zion Towers show a mix of experiences. The listing has a few positive recent notes (5-star experiences) alongside at least one older, highly negative review mentioning pest issues and noise, with no owner responses noted. Overall, recency and volume of feedback suggest mixed satisfaction and possible ongoing concerns, but the latest sentiment is not uniformly negative.</t>
  </si>
  <si>
    <t>accepted google identity: 14.7/15; review volume: 17.3/30; review consistency: 0.4/7; review freshness: 3.4/8; verified website: 14.7/15; confirmed irs record: 0.0/20; source corroboration: 3.3/5; Synthesis metadata: medium (not part of numeric confidence)</t>
  </si>
  <si>
    <t>1227 Etting St, Baltimore, MD 21217</t>
  </si>
  <si>
    <t>(443) 415-1174</t>
  </si>
  <si>
    <t>Loving Arms Inc</t>
  </si>
  <si>
    <t>Loving Arms Inc is a Baltimore-based organization with a physical presence. No specific programs or services are described in the available evidence.</t>
  </si>
  <si>
    <t>Google Maps reliability signals for this listing are minimal and do not provide descriptive reviewer feedback. While the listing indicates the organization is operational, there is no accessible review text to summarize recurring themes or concerns. Given the scarcity of information about actual services and programs, the listing should be treated as insufficiently informative until more credible sources are available.</t>
  </si>
  <si>
    <t>4538 Edmondson Ave, Baltimore, MD 21229</t>
  </si>
  <si>
    <t>(443) 872-2230</t>
  </si>
  <si>
    <t>TIME Organization Inc</t>
  </si>
  <si>
    <t>Appointments recommended; Spanish-language services available; Wheelchair accessible entrance, parking, restroom, and seating; No explicit intake/referral requirements stated in the sources.</t>
  </si>
  <si>
    <t>Monday: 9 AM to 5 PM; Tuesday: 9 AM to 5 PM; Wednesday: 9 AM to 5 PM; Thursday: 9 AM to 5 PM; Friday: 9 AM to 5 PM; Saturday: 9 AM to 12 PM; Sunday: Closed</t>
  </si>
  <si>
    <t>TIME Organization Inc provides outpatient behavioral health services, including mental health therapy and substance use treatment supports, with programs for individuals and families in Baltimore and surrounding counties. Services include counseling, education, and support groups aimed at recovery and overall well-being.</t>
  </si>
  <si>
    <t>http://www.timeorganization.org/</t>
  </si>
  <si>
    <t>TIME Organization Inc offers outpatient behavioral health services with generally positive remarks about staff and accessibility, including housing assistance. However, recent Reviews also report disorganization and a lack of individualized care, indicating variability in experiences. The newest reviews appear more negative than earlier ones, suggesting mixed reliability in overall client experiences.</t>
  </si>
  <si>
    <t>accepted google identity: 13.4/15; review volume: 30.0/30; review consistency: 0.9/7; review freshness: 7.3/8; verified website: 13.4/15; confirmed irs record: 0.0/20; source corroboration: 3.3/5; Synthesis metadata: medium (not part of numeric confidence)</t>
  </si>
  <si>
    <t>1607 Cromwell Bridge Rd, Baltimore, MD 21234</t>
  </si>
  <si>
    <t>(410) 882-2217</t>
  </si>
  <si>
    <t>Rock City Church</t>
  </si>
  <si>
    <t>Monday: 8:30 AM to 4:30 PM; Tuesday: 8:30 AM to 4:30 PM; Wednesday: 8:30 AM to 4:30 PM; Thursday: 8:30 AM to 3:30 PM, 7 to 9 PM; Friday: 8:30 AM to 4:30 PM; Saturday: Closed; Sunday: 10:30 AM to 1 PM</t>
  </si>
  <si>
    <t>Rock City Church is a non-denominational church in the Baltimore area offering weekly worship services and related church activities. The organization provides on-site parking and a children’s team to help families check in on arrival, with services listed as Sunday morning and Thursday evening.</t>
  </si>
  <si>
    <t>https://rockcitychurch.com/</t>
  </si>
  <si>
    <t>Google Maps is the primary reliability signal for this listing. Review notes reflect both positive experiences—welcoming worship and community—and negative reports about outreach conduct and responsiveness when seeking prayer. The owner has responded to some concerns, and registry data confirms the listing is active, providing context for readers evaluating legitimacy and ongoing availability.</t>
  </si>
  <si>
    <t>accepted google identity: 14.2/15; review volume: 30.0/30; review consistency: 1.9/7; review freshness: 7.1/8; verified website: 14.2/15; confirmed irs record: 20.0/20; source corroboration: 5.0/5; Synthesis metadata: high (not part of numeric confidence)</t>
  </si>
  <si>
    <t>2201 Argonne Dr, Baltimore, MD 21218</t>
  </si>
  <si>
    <t>(410) 889-0840</t>
  </si>
  <si>
    <t>House of Ruth Maryland</t>
  </si>
  <si>
    <t>House of Ruth Maryland provides wraparound support for survivors of intimate partner violence, including shelter and housing assistance, free legal aid, counseling, childcare, and job navigation, along with abuse-intervention programs and community education.</t>
  </si>
  <si>
    <t>http://www.hruth.org/</t>
  </si>
  <si>
    <t>Reviews show mixed experiences. Some reviewers praise life-saving support and pro bono legal services for survivors of intimate partner violence, while others report feeling dismissed or underserved by staff. The newest reviews are mixed, with both praise and concerns, and source data notes a field data conflict for the address.</t>
  </si>
  <si>
    <t>accepted google identity: 13.4/15; review volume: 30.0/30; review consistency: 0.4/7; review freshness: 7.6/8; verified website: 13.4/15; confirmed irs record: 20.0/20; source corroboration: 5.0/5; Synthesis metadata: medium (not part of numeric confidence)</t>
  </si>
  <si>
    <t>320 Cathedral St, Baltimore, MD 21201</t>
  </si>
  <si>
    <t>(667) 600-2000</t>
  </si>
  <si>
    <t>Associated Catholic Charities</t>
  </si>
  <si>
    <t>Catholic Charities of Baltimore provides a range of community support services for individuals and families, including immigrant assistance through the Esperanza Center, aging and housing resources, behavioral health services, and workforce development programs.</t>
  </si>
  <si>
    <t>Reviews show a mix of experiences. Some reviewers praise the organization for meaningful programs and impact, while several recent posts describe curt or unhelpful phone interactions and staff responses. The newest feedback suggests ongoing concerns about customer service, contrasting with earlier positive notes, so overall user feedback is mixed and not strongly one-sided.</t>
  </si>
  <si>
    <t>accepted google identity: 14.2/15; review volume: 19.8/30; review consistency: 0.0/7; review freshness: 4.9/8; verified website: 14.2/15; confirmed irs record: 0.0/20; source corroboration: 3.3/5; Synthesis metadata: medium (not part of numeric confidence)</t>
  </si>
  <si>
    <t>301 N High St, Baltimore, MD 21202</t>
  </si>
  <si>
    <t>(410) 576-9626</t>
  </si>
  <si>
    <t>Maryland Center for Veterans Education and Training (MCVET)</t>
  </si>
  <si>
    <t>Monday: 9:30 AM to 6 PM; Tuesday: 9:30 AM to 6 PM; Wednesday: 9:30 AM to 6 PM; Thursday: 9:30 AM to 6 PM; Friday: 9:30 AM to 6 PM; Saturday: 9:30 AM to 6 PM; Sunday: 9:30 AM to 6 PM</t>
  </si>
  <si>
    <t>Maryland Center for Veterans Education and Training (MCVET) provides housing support and related veteran services, including workforce development, behavioral health services, and community support for veterans in Baltimore.</t>
  </si>
  <si>
    <t>http://www.mcvet.org/</t>
  </si>
  <si>
    <t>Reviews for MCVET show a strong, mostly positive pattern. Recurring themes include feeling shelter, meals, and life-transforming support, with several callers noting the program helped them regain stability. A minority of reviewers report negative experiences with staff interactions, but the newest reviews largely echo the positive sentiment and point to ongoing benefits rather than setbacks.</t>
  </si>
  <si>
    <t>accepted google identity: 14.2/15; review volume: 30.0/30; review consistency: 3.9/7; review freshness: 7.4/8; verified website: 14.2/15; confirmed irs record: 20.0/20; source corroboration: 5.0/5; Synthesis metadata: high (not part of numeric confidence)</t>
  </si>
  <si>
    <t>1029 E Baltimore St, Baltimore, MD 21202</t>
  </si>
  <si>
    <t>(410) 675-7500</t>
  </si>
  <si>
    <t>Helping Up Mission</t>
  </si>
  <si>
    <t>Helping Up Mission provides residential recovery programs and shelter in Baltimore, offering a Spiritual Recovery Program with ongoing, personalized care to address addiction and poverty. Evidence indicates offerings include residential programs, mental health care, workforce development, and spiritual life services.</t>
  </si>
  <si>
    <t>http://www.helpingupmission.org/</t>
  </si>
  <si>
    <t>Reviews show a mix of experiences. Many reviewers describe life-changing support, safe shelter, and caring staff, while others mention strict scheduling, cost concerns, and inconsistent interactions with some staff. The most recent reviews are largely positive, suggesting current experiences align with the favorable sentiment, though older comments show ongoing challenges. Overall, the listing reflects generally positive feedback with notable criticisms that appear intermittently.</t>
  </si>
  <si>
    <t>accepted google identity: 14.2/15; review volume: 30.0/30; review consistency: 1.6/7; review freshness: 6.6/8; verified website: 14.2/15; confirmed irs record: 20.0/20; source corroboration: 5.0/5; Synthesis metadata: high (not part of numeric confidence)</t>
  </si>
  <si>
    <t>4 N Central Ave, Baltimore, MD 21202</t>
  </si>
  <si>
    <t>(410) 342-2533</t>
  </si>
  <si>
    <t>Baltimore Rescue Mission</t>
  </si>
  <si>
    <t>Intake hours for the Men’s Division are 2:00 PM–7:45 PM. Contacts: Men’s Division at (410) 342-2533; Karis Home at (410) 342-1323. Women and children use the Karis Home facilities with no charge and a stay limit of up to 30 consecutive nights; Men’s Division does not state a stay limit. See website for program and contact details.</t>
  </si>
  <si>
    <t>Monday: 2 to 7:45 PM; Tuesday: 2 to 7:45 PM; Wednesday: 2 to 7:45 PM; Thursday: 2 to 7:45 PM; Friday: 2 to 7:45 PM; Saturday: 2 to 7:45 PM; Sunday: 2 to 7:45 PM</t>
  </si>
  <si>
    <t>Emergency overnight shelters for homeless people in Baltimore, divided into a Men's Division for men 18+ and Karis Home for women and children. The Men’s Division provides food, clothing, shelter, showers, and a nightly gospel service, and includes a five-day detox program plus a New Converts Class. Karis Home offers food, clothing, shelter, showers, and a nightly gospel service for women and children, with no charge and stays up to 30 consecutive nights.</t>
  </si>
  <si>
    <t>https://baltimorerescuemission.org/</t>
  </si>
  <si>
    <t>Reviews show a mix of positive and negative experiences. Many reviewers describe receiving meals, shelter, and a bed, and note the shelter’s community and religious elements as meaningful. Some reviewers raise concerns about rules, policy enforcement, and perceived pressure to participate in religious activities, with newer reviews continuing to reflect mixed experiences.</t>
  </si>
  <si>
    <t>accepted google identity: 14.2/15; review volume: 30.0/30; review consistency: 1.2/7; review freshness: 7.3/8; verified website: 14.2/15; confirmed irs record: 20.0/20; source corroboration: 5.0/5; Synthesis metadata: high (not part of numeric confidence)</t>
  </si>
  <si>
    <t>901 Pontiac Ave, Baltimore, MD 21225</t>
  </si>
  <si>
    <t>City of Refuge Baltimore- Youth Center</t>
  </si>
  <si>
    <t>Some programs require presenting an ID (food/pantry access rules noted). Family Stability and other programs have criteria (e.g., families with children in Baltimore City Public Schools) and may require appointments or referrals for participation.</t>
  </si>
  <si>
    <t>Monday, Wednesday, and Thursday 9:00 AM – 11:30 AM; Monday – Thursday 11:00 AM – 1:00 PM; Tuesday 9:00 AM – 12:00 PM; Every Monday 9:00 AM – 3:00 PM (Mobile Medical Unit on site).</t>
  </si>
  <si>
    <t>City of Refuge Baltimore operates a youth-focused, faith-based community center offering wraparound services for individuals and families, including food assistance, health and wellness programming, workforce development, housing support, and youth programs.</t>
  </si>
  <si>
    <t>https://www.cityofrefugebaltimore.org/</t>
  </si>
  <si>
    <t>Reviews show mixed sentiment. Some visitors praise the range of programs and the center’s community impact, while a very recent 1-star review cites perceived staff preferences. The newest feedback thus points in a direction that is not entirely aligned with earlier positive experiences, suggesting variability in user experiences.</t>
  </si>
  <si>
    <t>accepted google identity: 14.2/15; review volume: 20.4/30; review consistency: 0.0/7; review freshness: 6.7/8; verified website: 14.2/15; confirmed irs record: 0.0/20; source corroboration: 3.3/5; Synthesis metadata: medium (not part of numeric confidence)</t>
  </si>
  <si>
    <t>10 Dunmanway, Dundalk, MD 21222</t>
  </si>
  <si>
    <t>(410) 285-4357</t>
  </si>
  <si>
    <t>Family Crisis Center</t>
  </si>
  <si>
    <t>24 Hours/ 7 Days A Week</t>
  </si>
  <si>
    <t>The Family Crisis Center of Baltimore County provides crisis intervention and shelter services for individuals and families affected by domestic violence, including a 24/7 helpline and advocate support aimed at safety and long-term stability in Baltimore County.</t>
  </si>
  <si>
    <t>https://www.familycrisiscenter.net/</t>
  </si>
  <si>
    <t>Google Maps shows mixed experiences with several recent complaints about intake timelines, communication, and staff conduct, alongside occasional higher ratings that lack accompanying text. The most actionable feedback centers on delays, transparency, and perceived unprofessional behavior, suggesting potential quality issues. However, the small review sample limits confidence in broad conclusions about current performance.</t>
  </si>
  <si>
    <t>accepted google identity: 13.5/15; review volume: 21.8/30; review consistency: 1.1/7; review freshness: 7.8/8; verified website: 13.5/15; confirmed irs record: 20.0/20; source corroboration: 5.0/5; Synthesis metadata: medium (not part of numeric confidence)</t>
  </si>
  <si>
    <t>2810 Kaywood Pl, Sykesville, MD 21784</t>
  </si>
  <si>
    <t>(410) 795-4100</t>
  </si>
  <si>
    <t>Transitions Healthcare Oakland Manor</t>
  </si>
  <si>
    <t>Transitions Healthcare Oakland Manor is a licensed assisted living community that provides 24-hour staff support, on-site medical oversight, and daily living assistance, including personal care, meals, medication administration, and a program of activities, housekeeping, and security.</t>
  </si>
  <si>
    <t>https://www.transitionshealthcarellc.com/oakland-manor</t>
  </si>
  <si>
    <t>Reviews for Oakland Manor lean positive, with recurring notes about friendly, caring staff and attentive residents’ care. The available sample highlights a warm, supportive environment and does not reveal recurring complaints; the most recent visible feedback is older, but the sentiment in those comments remains favorable. Overall, the listing shows steady positive impressions from those who posted recent feedback.</t>
  </si>
  <si>
    <t>accepted google identity: 14.2/15; review volume: 15.1/30; review consistency: 7.0/7; review freshness: 1.3/8; verified website: 14.2/15; confirmed irs record: 0.0/20; source corroboration: 3.3/5; Synthesis metadata: high (not part of numeric confidence)</t>
  </si>
  <si>
    <t>(410) 662-0500</t>
  </si>
  <si>
    <t>St. Vincent de Paul of Baltimore</t>
  </si>
  <si>
    <t>St. Vincent de Paul of Baltimore runs housing and supportive-housing programs for people experiencing homelessness, plus food assistance and related services, with workforce development and veteran services referenced on its site. The organization presents itself as serving Baltimore City and Baltimore County across five service areas, including homelessness, family services, employment, and access to healthy food.</t>
  </si>
  <si>
    <t>http://www.vincentbaltimore.org/</t>
  </si>
  <si>
    <t>Reviews for St. Vincent de Paul of Baltimore reflect a divided experience. Recurring positive themes include generosity, housing assistance, and veteran support. Recurring concerns describe staff interactions, discharge processes, and confusing policies. The newest reviews lean negative, indicating ongoing dissatisfaction with certain aspects of shelter experiences, though some supporters still praise the organization’s programs and impact.</t>
  </si>
  <si>
    <t>accepted google identity: 14.2/15; review volume: 30.0/30; review consistency: 1.2/7; review freshness: 7.5/8; verified website: 14.2/15; confirmed irs record: 0.0/20; source corroboration: 3.3/5; Synthesis metadata: medium (not part of numeric confidence)</t>
  </si>
  <si>
    <t>255 Clifton Blvd Ste 301, Westminster, MD 21157</t>
  </si>
  <si>
    <t>(443) 702-3000</t>
  </si>
  <si>
    <t>Bello Machre</t>
  </si>
  <si>
    <t>Wheelchair accessible entrance; wheelchair accessible parking; wheelchair accessible restroom.</t>
  </si>
  <si>
    <t>Bello Machre offers residential group homes and community-based services for people with intellectual and developmental disabilities, including respite care and employment supports for adults and their families.</t>
  </si>
  <si>
    <t>https://bellomachre.org/</t>
  </si>
  <si>
    <t>Reviews are not available for Bello Machre in the listing sample, so user-review sentiment cannot be assessed from that source. The listing shows the organization as operational with posted hours and a reachable website; accessibility details are noted on the listing. A field-correction status indicates the address could not be found, while the name and phone are verified, and the IRS registry check is inconclusive, which means overall reliability signals are limited to operational and contactability indicators rather than user feedback.</t>
  </si>
  <si>
    <t>806 Littlestown Pike, Westminster, MD 21157</t>
  </si>
  <si>
    <t>(410) 848-1360</t>
  </si>
  <si>
    <t>New Life For Girls</t>
  </si>
  <si>
    <t>Monday: 10 AM to 4 PM; Tuesday: 10 AM to 4 PM; Wednesday: 10 AM to 4 PM; Thursday: 10 AM to 4 PM; Friday: 10 AM to 4 PM; Saturday: Closed; Sunday: Closed</t>
  </si>
  <si>
    <t>New Life For Girls runs a 24-hour residential program for women 18 and older (including mothers and their children) that addresses addiction and related life-controlling issues, offering counseling, academic and vocational training, and housing within a faith-based framework.</t>
  </si>
  <si>
    <t>https://newlifeforgirls.org/</t>
  </si>
  <si>
    <t>Google Maps shows limited review text for this listing, with the newest feedback dating back many months and no accompanying comments. The listing itself indicates the operation is active and publishes standard hours, and the official website describes a residential program for women addressing addiction and related issues, including housing for mothers and children. Because user feedback is sparse, the reliability of experiential claims remains limited without more recent, descriptive reviews.</t>
  </si>
  <si>
    <t>accepted google identity: 14.2/15; review volume: 10.1/30; review consistency: 7.0/7; review freshness: 3.4/8; verified website: 14.2/15; confirmed irs record: 0.0/20; source corroboration: 3.3/5; Synthesis metadata: medium (not part of numeric confidence)</t>
  </si>
  <si>
    <t>53 Loveton Cir Ste 205, Sparks, MD 21152</t>
  </si>
  <si>
    <t>(410) 316-9530</t>
  </si>
  <si>
    <t>Richcroft, Inc.</t>
  </si>
  <si>
    <t>Richcroft, Inc. provides residential care and personal supports for people with intellectual and developmental disabilities in central Maryland, including a network of residences, personal supports, and day-program services. It also offers nursing/clinical services and operates enterprise ventures such as The Kahlert Café within its community.</t>
  </si>
  <si>
    <t>http://www.richcroft.org/</t>
  </si>
  <si>
    <t>Google Maps shows a high overall rating (4.6) from 17 public reviews, with the most recent sample of reviews star-rated at five. The deterministic review quality score is high, and the listing is accessible with a functioning website and posted hours; however, the actual review texts are not available in the provided data, so reviewer themes cannot be summarized. Overall, the reliability signals indicate the listing is active and credible, with no cross-platform rating delta observed.</t>
  </si>
  <si>
    <t>accepted google identity: 14.2/15; review volume: 23.2/30; review consistency: 7.0/7; review freshness: 5.5/8; verified website: 14.2/15; confirmed irs record: 20.0/20; source corroboration: 5.0/5; Synthesis metadata: high (not part of numeric confidence)</t>
  </si>
  <si>
    <t>4814 Seton Dr, Baltimore, MD 21215</t>
  </si>
  <si>
    <t>(410) 358-3015</t>
  </si>
  <si>
    <t>Chimes</t>
  </si>
  <si>
    <t>Chimes provides a continuum of supports for people with intellectual and developmental disabilities (IDD) and behavioral health needs, including community living, day habilitation, vocational training, employment services, and behavioral health care.</t>
  </si>
  <si>
    <t>https://chimes.org/</t>
  </si>
  <si>
    <t>Google Maps feedback for this listing is limited and not recent. Available snippets describe the space as clean and comfortable, and the most recent sample includes a 3-star rating with no accompanying text, while earlier entries show positive remarks. With only a small, non-recent sample, current conditions and service experiences are difficult to gauge from reviews alone.</t>
  </si>
  <si>
    <t>accepted google identity: 13.3/15; review volume: 21.6/30; review consistency: 3.7/7; review freshness: 3.0/8; verified website: 13.3/15; confirmed irs record: 0.0/20; source corroboration: 3.3/5; Synthesis metadata: medium (not part of numeric confidence)</t>
  </si>
  <si>
    <t>1931 Greenspring Dr, Timonium, MD 21093</t>
  </si>
  <si>
    <t>(410) 453-9553</t>
  </si>
  <si>
    <t>Sheppard Pratt - Psychiatric Rehabilitation Day Program - Timonium</t>
  </si>
  <si>
    <t>Sheppard Pratt operates a Psychiatric Rehabilitation Day Program in Timonium, MD, offering recovery‑focused day program services including personalized assessment, rehabilitation planning, peer support, symptom management, coping strategies, and independent‑living/skills-building activities.</t>
  </si>
  <si>
    <t>https://www.sheppardpratt.org/locations-directions/details/psychiatric-rehabilitation-day-program-timonium/</t>
  </si>
  <si>
    <t>Google Maps shows a single public review for this listing, describing frustration with the intake process; there are no additional user reviews to indicate broader satisfaction or disappointment. The newest and only review is negative, and there is not enough feedback from other platforms to establish a clear trend. Overall, the reliability signal is limited by a very small sample.</t>
  </si>
  <si>
    <t>accepted google identity: 14.2/15; review volume: 5.0/30; review consistency: 7.0/7; review freshness: 7.6/8; verified website: 14.2/15; confirmed irs record: 0.0/20; source corroboration: 3.3/5; Synthesis metadata: medium (not part of numeric confidence)</t>
  </si>
  <si>
    <t>5450 Reisterstown Rd Ste 304, Baltimore, MD 21215</t>
  </si>
  <si>
    <t>(443) 759-8827</t>
  </si>
  <si>
    <t>Allover Healthcare Group LLC</t>
  </si>
  <si>
    <t>Monday: 9 AM to 6 PM; Tuesday: 9 AM to 6 PM; Wednesday: 9 AM to 6 PM; Thursday: 9 AM to 6 PM; Friday: 9 AM to 6 PM; Saturday: 10 AM to 2 PM; Sunday: Closed</t>
  </si>
  <si>
    <t>Allover Healthcare Group LLC provides community-based behavioral health services, including psychiatric rehabilitation programs, outpatient and intensive outpatient substance use disorder treatment, and driver-education-related programs. The organization lists programs for adults, adolescents, and children, along with community housing and employment support, and an autism waiver program as part of its services.</t>
  </si>
  <si>
    <t>https://www.alloverhealthcaregroup.com/</t>
  </si>
  <si>
    <t>Reviews for Allover Healthcare Group LLC describe staff as attentive and helpful, with reviewers noting clear, practical guidance and supportive care. Recurring themes include thorough explanations, hands-on assistance, and a sense that the programs have a positive impact on participants. The most recent reviews continue to reflect this positive sentiment, indicating the experience remains favorable.</t>
  </si>
  <si>
    <t>accepted google identity: 14.2/15; review volume: 30.0/30; review consistency: 7.0/7; review freshness: 7.9/8; verified website: 14.2/15; confirmed irs record: 0.0/20; source corroboration: 3.3/5; Synthesis metadata: high (not part of numeric confidence)</t>
  </si>
  <si>
    <t>4325 Forbes Blvd, Lanham, MD 20706</t>
  </si>
  <si>
    <t>(240) 720-7868</t>
  </si>
  <si>
    <t>Tabula Rasa Domestic Violence</t>
  </si>
  <si>
    <t>Tabula Rasa Domestic Violence is a domestic-violence service provider with a website listing programs for survivors, including case management and a Furnish &amp; Design program, along with housing-related initiatives and other supports evidenced on their site. The Google Maps listing exists but has no user reviews. The site is verified and reachable and documents services such as case management, housing-related programs, medical services, job training, and youth programs.</t>
  </si>
  <si>
    <t>https://www.tabularasadv.org/</t>
  </si>
  <si>
    <t>Google Maps shows no user reviews for this listing, so there is no sentiment to summarize. The listing is operational, the official website is accessible and verified, and it catalogs multiple programs. Because evidence is limited and independent third-party validation is sparse, reliability of the service metadata cannot be strongly established from user feedback.</t>
  </si>
  <si>
    <t>505 Congress Ave Apt 1, Havre De Grace, MD 21078</t>
  </si>
  <si>
    <t>(410) 939-5040</t>
  </si>
  <si>
    <t>St John's Towers</t>
  </si>
  <si>
    <t>Saint John's Towers is a retirement home facility serving seniors in Havre De Grace, Maryland.</t>
  </si>
  <si>
    <t>Google Maps shows the listing as active with limited publicly available feedback, and there is no accessible text to summarize reviewer themes. A phone number is listed, but a verified website could not be found. Overall, the reliability input is too thin to draw conclusions about the quality or specifics of the service.</t>
  </si>
  <si>
    <t>1077 Largo Rd, Upper Marlboro, MD 20774</t>
  </si>
  <si>
    <t>(301) 720-1575</t>
  </si>
  <si>
    <t>Largo Landing Fellowship House</t>
  </si>
  <si>
    <t>Eligibility: designed for individuals with limited income who are independent, over 62, or disabled.</t>
  </si>
  <si>
    <t>Monday: Closed; Tuesday: 8:30 AM to 6 PM; Wednesday: 8:30 AM to 6 PM; Thursday: 8:30 AM to 6 PM; Friday: 8:30 AM to 6 PM; Saturday: Closed; Sunday: Closed</t>
  </si>
  <si>
    <t>Largo Landing Fellowship House is an apartment community in Upper Marlboro offering affordable housing for independent seniors (62+) or people with disabilities, featuring 106 one‑bedroom units, a social hall, common areas and other on‑site amenities.</t>
  </si>
  <si>
    <t>http://www.livelargolanding.com/?utm_source=google&amp;utm_medium=organic&amp;utm_campaign=gmb&amp;utm_content=website%20button</t>
  </si>
  <si>
    <t>Reviews for Largo Landing Fellowship House are largely positive, with residents praising friendly, professional staff and a welcoming community. The newest reviews continue to highlight positive interactions with staff, and management responses appear timely. There is at least one older negative review about a manager, but it does not appear to reflect the current standard of service. Overall, the listing’s reviews suggest a favorable resident experience.</t>
  </si>
  <si>
    <t>accepted google identity: 13.4/15; review volume: 29.8/30; review consistency: 3.6/7; review freshness: 7.6/8; verified website: 13.4/15; confirmed irs record: 0.0/20; source corroboration: 3.3/5; Synthesis metadata: high (not part of numeric confidence)</t>
  </si>
  <si>
    <t>5307 Elburn Ln, Rock Hall, MD 21661</t>
  </si>
  <si>
    <t>(443) 806-5766</t>
  </si>
  <si>
    <t>Brickwood Assisted Living</t>
  </si>
  <si>
    <t>Brickwood Assisted Living offers state-licensed assisted living and home health services for seniors in Rock Hall, Maryland. The organization provides around-the-clock professional care in a home-like setting, with meals, activities, and personalized support through Brickwood Assisted Living and Brickwood Home Health.</t>
  </si>
  <si>
    <t>https://www.brickwoodassistedliving.com/</t>
  </si>
  <si>
    <t>Reviews consistently highlight attentive staff, a safe and clean environment, and good meals, with the newest post echoing these positive experiences. Given the very small number of reviews, this feedback should be treated as indicative rather than representative of a larger population.</t>
  </si>
  <si>
    <t>accepted google identity: 13.4/15; review volume: 11.3/30; review consistency: 7.0/7; review freshness: 7.8/8; verified website: 13.4/15; confirmed irs record: 0.0/20; source corroboration: 3.3/5; Synthesis metadata: high (not part of numeric confidence)</t>
  </si>
  <si>
    <t>8507 Mapleville Rd, Boonsboro, MD 21713</t>
  </si>
  <si>
    <t>(301) 733-6284</t>
  </si>
  <si>
    <t>Fahrney-Keedy Senior Living Community</t>
  </si>
  <si>
    <t>Fahrney Keedy Senior Living Community provides a continuum of senior living and care on site in Boonsboro, MD, including independent living cottages and apartments, licensed Level III assisted living with memory care (the Bowman Center), skilled nursing care, rehabilitation therapy, and an adult day center.</t>
  </si>
  <si>
    <t>https://fkhv.org/</t>
  </si>
  <si>
    <t>Reviews portray Fahrney Keedy as a place with generally positive care experiences, especially highlighted are compassionate staff, effective rehabilitation, and attentive memory-care support. A few recent reviews mention challenges such as slower response times or less courteous interactions, indicating some variability in experiences. Overall, the newest feedback remains positive but with a minority of negative reports, suggesting a mixed but predominantly favorable impression.</t>
  </si>
  <si>
    <t>accepted google identity: 14.2/15; review volume: 30.0/30; review consistency: 1.0/7; review freshness: 5.5/8; verified website: 14.2/15; confirmed irs record: 20.0/20; source corroboration: 5.0/5; Synthesis metadata: high (not part of numeric confidence)</t>
  </si>
  <si>
    <t>212 Maple Ave, Boonsboro, MD 21713</t>
  </si>
  <si>
    <t>(301) 432-2415</t>
  </si>
  <si>
    <t>Charlotte's Home Inc</t>
  </si>
  <si>
    <t>Local and State Subsidizing Available if qualified.</t>
  </si>
  <si>
    <t>Monday: 6 AM to 5:30 PM; Tuesday: 6 AM to 5:30 PM; Wednesday: 6 AM to 5:30 PM; Thursday: 6 AM to 5:30 PM; Friday: 6 AM to 5:30 PM; Saturday: 6 AM to 5:30 PM; Sunday: Closed</t>
  </si>
  <si>
    <t>Charlotte's Home provides licensed residential assisted living for seniors who do not require nursing home care, with round-the-clock supervision, personal care, respite care, and access to visiting nurses and home health staff at two locations in Boonsboro and Maugansville. It advertises home-cooked meals, open visiting hours, transportation assistance, and subsidized options for eligible residents.</t>
  </si>
  <si>
    <t>http://www.charlotteshomesouthernstyle.com/</t>
  </si>
  <si>
    <t>Google Maps shows a modest overall rating with a small public review count, and the newest available review text is not provided, making it hard to summarize user experiences. The listing hours and address appear consistent with the official site, supporting basic reliability, but there is little substantive feedback to identify recurring themes. Overall, available review content is too thin to draw strong conclusions about quality or consistency.</t>
  </si>
  <si>
    <t>accepted google identity: 14.2/15; review volume: 10.1/30; review consistency: 7.0/7; review freshness: 2.2/8; verified website: 14.2/15; confirmed irs record: 0.0/20; source corroboration: 3.3/5; Synthesis metadata: medium (not part of numeric confidence)</t>
  </si>
  <si>
    <t>1345 U St SE, Washington, DC 20020</t>
  </si>
  <si>
    <t>(202) 889-7702</t>
  </si>
  <si>
    <t>Samaritan Ministry</t>
  </si>
  <si>
    <t>Samaritan Ministry of Greater Washington partners to empower neighbors to overcome homelessness, poverty, and related challenges through community-oriented social services and programs, including the STRIVE job-readiness program, the Next Step program, and Adult Basic Education based on the organization’s website content.</t>
  </si>
  <si>
    <t>https://samaritanministry.org/</t>
  </si>
  <si>
    <t>Review data describe generally positive experiences, with praise for staff and programs like STRIVE and Next Step. The most recent reviews are favorable, while an earlier note highlights inclusive service. However, the business status indicates permanent closure, which complicates whether current operations are ongoing.</t>
  </si>
  <si>
    <t>accepted google identity: 14.2/15; review volume: 13.7/30; review consistency: 4.0/7; review freshness: 5.7/8; verified website: 14.2/15; confirmed irs record: 0.0/20; source corroboration: 3.3/5; Synthesis metadata: medium (not part of numeric confidence)</t>
  </si>
  <si>
    <t>4605 Navy Day Pl, Hillcrest Heights, MD 20746</t>
  </si>
  <si>
    <t>(202) 409-1366</t>
  </si>
  <si>
    <t>Fine Living Care</t>
  </si>
  <si>
    <t>Eligibility: seniors and disabled persons. Respite care requires assessments. Inquiries/referrals can be made via the website.</t>
  </si>
  <si>
    <t>24/7</t>
  </si>
  <si>
    <t>Fine Living Care operates as an assisted living facility for seniors and disabled individuals, offering 24/7 supervision, daily activities, and respite care as part of its care program.</t>
  </si>
  <si>
    <t>https://finelivingcare.com/</t>
  </si>
  <si>
    <t>Review feedback is too thin to draw conclusions: there is only a single five-star review with no written comments. The available corroborating evidence from the official website and the listing indicates the service operates and offers respite care and 24/7 supervision; more review data would help confirm reliability.</t>
  </si>
  <si>
    <t>2207 Columbia Pike, Arlington, VA 22204</t>
  </si>
  <si>
    <t>(703) 271-0939</t>
  </si>
  <si>
    <t>Monday: Closed; Tuesday: 10 AM to 2 PM; Wednesday: 10 AM to 2 PM; Thursday: 10 AM to 2 PM; Friday: Closed; Saturday: Closed; Sunday: Closed</t>
  </si>
  <si>
    <t>Samaritan Ministry of Greater Washington provides social-services programs to help neighbors overcome homelessness and poverty, including a Next Step program to help set goals and take steps, STRIVE job-readiness training, and Adult Basic Education.</t>
  </si>
  <si>
    <t>http://www.samaritanministry.org/</t>
  </si>
  <si>
    <t>Review data from the listing shows consistently positive feedback, with reviewers noting friendly, courteous staff and caring volunteers. The newest reviews are several years old and the sample is small, so the overall impression should be interpreted with caution. Nevertheless, the available review text points to a helpful, welcoming community service, with no notable negative patterns in the limited feedback.</t>
  </si>
  <si>
    <t>accepted google identity: 13.5/15; review volume: 14.4/30; review consistency: 7.0/7; review freshness: 1.1/8; verified website: 13.5/15; confirmed irs record: 0.0/20; source corroboration: 3.3/5; Synthesis metadata: high (not part of numeric confidence)</t>
  </si>
  <si>
    <t>3111 Martin Luther King Jr Ave SE, Washington, DC 20032</t>
  </si>
  <si>
    <t>(202) 807-0065</t>
  </si>
  <si>
    <t>Samaritan Ministry of Greater Washington provides programs to assist people experiencing homelessness and poverty in Washington, DC, including the Next Step program (goal setting and coaching), STRIVE job readiness training, and Adult Basic Education to help participants move toward stable housing and employment.</t>
  </si>
  <si>
    <t>Review data indicates positive experiences with the program, including mentions of accessible food and supportive services. The available review text notes free food and a generally favorable experience, but the sample is small and not recent, so take the overall impression with caution.</t>
  </si>
  <si>
    <t>accepted google identity: 14.2/15; review volume: 15.6/30; review consistency: 7.0/7; review freshness: 2.3/8; verified website: 14.2/15; confirmed irs record: 0.0/20; source corroboration: 3.3/5; Synthesis metadata: high (not part of numeric confidence)</t>
  </si>
  <si>
    <t>820 Chesapeake St SE, Washington, DC 20032</t>
  </si>
  <si>
    <t>(202) 561-8387</t>
  </si>
  <si>
    <t>Access Housing Inc DC Southeast Veterans Services Center</t>
  </si>
  <si>
    <t>A veteran-focused housing program offering safe, secure housing and related support at a Southeast DC location, including on-site access to a VA Community-based Outpatient Clinic for residents and veterans.</t>
  </si>
  <si>
    <t>http://www.accesshousingincdc.com/</t>
  </si>
  <si>
    <t>Review data shows generally positive feedback from a small sample, with reviewers praising caring staff and helpful service. The newest reviews are from last year, and overall recent activity is limited, so the current experience may not be fully captured by the available text. Overall, the impression from the available review text is favorable, with no explicit recurring concerns in the sample.</t>
  </si>
  <si>
    <t>accepted google identity: 14.2/15; review volume: 15.6/30; review consistency: 7.0/7; review freshness: 3.8/8; verified website: 14.2/15; confirmed irs record: 0.0/20; source corroboration: 3.3/5; Synthesis metadata: high (not part of numeric confidence)</t>
  </si>
  <si>
    <t>2800 Eisenhower Ave Suite 220, Alexandria, VA 22314</t>
  </si>
  <si>
    <t>(703) 224-8845</t>
  </si>
  <si>
    <t>Final Salute Inc</t>
  </si>
  <si>
    <t>Eligibility: women veterans and their children experiencing homelessness or financial strain; location unrestricted. Programs appear to be open to these groups without geographic limits; intake/referral details are not fully specified in the available evidence.</t>
  </si>
  <si>
    <t>Final Salute Inc. provides housing-focused services for homeless women veterans and their children, including transitional housing via the H.O.M.E program and supportive services via S.A.F.E, along with employment-transition support.</t>
  </si>
  <si>
    <t>http://www.finalsaluteinc.org/5.html</t>
  </si>
  <si>
    <t>Review data indicate very limited feedback: two Google Maps reviews with mixed signals (a 5-star review with no text and a 1-star review with a concern about inclusivity). The sparse review text makes it difficult to identify a clear pattern of satisfaction or recurring issues. The website confirms housing-focused programs for homeless women veterans and their children, but the tiny review sample means reliability remains limited.</t>
  </si>
  <si>
    <t>accepted google identity: 14.2/15; review volume: 10.1/30; review consistency: 0.0/7; review freshness: 7.3/8; verified website: 14.2/15; confirmed irs record: 0.0/20; source corroboration: 3.3/5; Synthesis metadata: medium (not part of numeric confidence)</t>
  </si>
  <si>
    <t>3362 Hall Creek Ln, Owings, MD 20736</t>
  </si>
  <si>
    <t>(443) 771-6089</t>
  </si>
  <si>
    <t>Caribbean Breeze Assisted Living of Hall Creek</t>
  </si>
  <si>
    <t>Monday: 9:30 AM to 5:30 PM; Tuesday: 9:30 AM to 5:30 PM; Wednesday: 9:30 AM to 5:30 PM; Thursday: 9:30 AM to 5:30 PM; Friday: 9:30 AM to 5:30 PM; Saturday: 9:30 AM to 5:30 PM; Sunday: 9:30 AM to 5:30 PM</t>
  </si>
  <si>
    <t>Caribbean Breeze Assisted Living provides 24/7 care for seniors in residential homes in Calvert County, Maryland, with on-site nursing oversight, daily meals and living assistance, and coordination with primary care physicians. The organization operates multiple locations in Calvert County (two in Owings and two in Huntingtown) and offers resident care in a home-like setting.</t>
  </si>
  <si>
    <t>http://www.caribbreeze.com/</t>
  </si>
  <si>
    <t>Review data is very limited: there are two reviews with mixed ratings but no usable review text to extract recurring themes. The listing shows operational status, verifiable hours, and an active website, which supports informational reliability, but the absence of descriptive review content means broader reliability cannot be assessed from reviews alone.</t>
  </si>
  <si>
    <t>11665 Doolittle Dr, Waldorf, MD 20602</t>
  </si>
  <si>
    <t>(301) 638-4471</t>
  </si>
  <si>
    <t>Fenwick Landing Senior Care Community</t>
  </si>
  <si>
    <t>Intake and admission details (including fees) are available via the site’s contact/form; for questions, inquiries can be submitted through the form on the site. The facility provides daytime adult day services and drop-in respite, and accessibility features include wheelchair-accessible entrance and parking.</t>
  </si>
  <si>
    <t>Monday: Open 24 hours; Tuesday: Open 24 hours; Wednesday: Open 24 hours; Thursday: Open 24 hours; Friday: Open 24 hours; Saturday: 11 AM to 5 PM; Sunday: 11 AM to 6 PM</t>
  </si>
  <si>
    <t>Fenwick Landing Senior Care Community offers adult medical day care, two levels of assisted living, and short-term respite stays for seniors in Waldorf, MD, with daytime care, meals, activities, and coordinated support for families.</t>
  </si>
  <si>
    <t>http://www.fenwicklandingseniorcare.com/</t>
  </si>
  <si>
    <t>Review data indicate generally positive experiences with caring staff and strong family communication, though a 2024 review notes concerns about cleanliness and demeanor in one instance. Newer reviews continue to praise staff and quality of care, suggesting overall stability in service with some variability in individual experiences.</t>
  </si>
  <si>
    <t>accepted google identity: 14.2/15; review volume: 25.4/30; review consistency: 2.6/7; review freshness: 7.0/8; verified website: 14.2/15; confirmed irs record: 0.0/20; source corroboration: 3.3/5; Synthesis metadata: high (not part of numeric confidence)</t>
  </si>
  <si>
    <t>2005 St Thomas Dr, Waldorf, MD 20602</t>
  </si>
  <si>
    <t>(301) 843-6919</t>
  </si>
  <si>
    <t>Victory Lakeside (Seniors 55+)</t>
  </si>
  <si>
    <t>55+ age-restricted senior housing community; proof of age may be requested during application.</t>
  </si>
  <si>
    <t>Monday: 8 AM to 5 PM; Tuesday: Closed; Wednesday: 8 AM to 5 PM; Thursday: Closed; Friday: Closed; Saturday: Closed; Sunday: Closed</t>
  </si>
  <si>
    <t>Victory Lakeside is a senior apartment community in Waldorf, Maryland, offering 55+ independent living with elevator access, affordable rental units, and a life-enrichment program designed to support residents’ physical, social, and emotional well-being.</t>
  </si>
  <si>
    <t>https://www.victoryhousing.org/victory-lakeside/?utm_source=GMB&amp;utm_medium=GMB&amp;utm_campaign=GMB</t>
  </si>
  <si>
    <t>Review data show a consistently positive experience, with comments focusing on a well-kept property and helpful staff, including praise for the on-site management team. The most recent reviews continue to reflect satisfaction and a welcoming atmosphere for residents.</t>
  </si>
  <si>
    <t>accepted google identity: 14.2/15; review volume: 30.0/30; review consistency: 6.0/7; review freshness: 7.4/8; verified website: 14.2/15; confirmed irs record: 0.0/20; source corroboration: 3.3/5; Synthesis metadata: high (not part of numeric confidence)</t>
  </si>
  <si>
    <t>2008 Wingate Ct, Waldorf, MD 20602</t>
  </si>
  <si>
    <t>(301) 843-7417</t>
  </si>
  <si>
    <t>Victory Brookside (Seniors 55+)</t>
  </si>
  <si>
    <t>55+ senior housing with HUD-based income limits; age and income considerations determine eligibility and rent.</t>
  </si>
  <si>
    <t>Monday: Closed; Tuesday: 8 AM to 5 PM; Wednesday: Closed; Thursday: 8 AM to 5 PM; Friday: Closed; Saturday: Closed; Sunday: Closed</t>
  </si>
  <si>
    <t>Victory Brookside is a senior living community in Waldorf, Maryland, offering affordable apartment homes for adults 55+ with on-site activities and a life‑enrichment program as part of Victory Housing’s services for independent living and connected community supports.</t>
  </si>
  <si>
    <t>https://www.victoryhousing.org/victory-brookside/?utm_source=GMB&amp;utm_medium=GMB&amp;utm_campaign=GMB</t>
  </si>
  <si>
    <t>Review data describe a generally positive living experience, with reviewers highlighting friendly staff, accessible activities, and a strong sense of community. The newest reviews reinforce these themes, noting continued staff responsiveness and engaging events. Overall, the available review text points to a favorable environment without notable negatives in the recent samples.</t>
  </si>
  <si>
    <t>accepted google identity: 14.2/15; review volume: 26.4/30; review consistency: 5.8/7; review freshness: 7.4/8; verified website: 14.2/15; confirmed irs record: 0.0/20; source corroboration: 3.3/5; Synthesis metadata: high (not part of numeric confidence)</t>
  </si>
  <si>
    <t>209 S 8th St S, Denton, MD 21629</t>
  </si>
  <si>
    <t>(410) 479-3873</t>
  </si>
  <si>
    <t>Caroline Apartments</t>
  </si>
  <si>
    <t>Residential apartment building that offers rental housing in Denton, Maryland.</t>
  </si>
  <si>
    <t>Review data are sparse. Public reviews mention a broadly positive note about management in at least one older review, but the overall rating is modest and there is very limited recent feedback. Because the evidence is minimal and largely centered on a housing listing rather than documented services or intake details, it is difficult to draw a confident conclusion about the breadth or consistency of services beyond housing.</t>
  </si>
  <si>
    <t>accepted google identity: 14.2/15; review volume: 13.2/30; review consistency: 5.2/7; review freshness: 6.8/8; verified website: 0.0/15; confirmed irs record: 0.0/20; source corroboration: 1.7/5; Synthesis metadata: insufficient_evidence (not part of numeric confidence)</t>
  </si>
  <si>
    <t>29449 Charlotte Hall Rd, Charlotte Hall, MD 20622</t>
  </si>
  <si>
    <t>(301) 884-8171</t>
  </si>
  <si>
    <t>Charlotte Hall Veterans Home</t>
  </si>
  <si>
    <t>A Maryland-based veterans’ care facility offering housing with care, including assisted living, skilled nursing, and memory care, plus on-site medical services and pharmacy. The site describes a continuum of care from assisted living to skilled nursing, on-site medical services, Medicare/Medicaid certification, and VA per-diem subsidies to reduce residents’ costs.</t>
  </si>
  <si>
    <t>http://www.charhall.org/</t>
  </si>
  <si>
    <t>Review data show generally positive feedback about staff and safety, with multiple notes praising caring, compassionate staff and a secure environment. Some recurring concerns mention limited resident activities (e.g., no open gym) and food quality, with a few reviews highlighting logistical issues related to VA benefits and access. The newest reviews continue to trend positive, though criticisms persist in certain areas.</t>
  </si>
  <si>
    <t>accepted google identity: 14.2/15; review volume: 26.4/30; review consistency: 2.3/7; review freshness: 7.8/8; verified website: 14.2/15; confirmed irs record: 0.0/20; source corroboration: 3.3/5; Synthesis metadata: high (not part of numeric confidence)</t>
  </si>
  <si>
    <t>13325 Dowell Rd, Solomons, MD 20688</t>
  </si>
  <si>
    <t>(410) 326-0070</t>
  </si>
  <si>
    <t>The Hermitage At Solomons</t>
  </si>
  <si>
    <t>Intake is via online form or direct contact; The facility is private-pay and does not participate in Medicaid waiver programs; VA programs may provide some payment support; staff can assist with admissions and referrals through online inquiry.</t>
  </si>
  <si>
    <t>The Hermitage at Solomons is a private-pay assisted living facility offering private suites with private bathrooms, restaurant-style dining, 24/7 monitoring, daily housekeeping, and a full activity calendar in a homelike setting.</t>
  </si>
  <si>
    <t>https://solomonssnf.com/the-hermitage-assisted-living/</t>
  </si>
  <si>
    <t>Review feedback was unavailable or too thin; the listing shows five reviews with a perfect 5.0 rating, but there is no accessible text to summarize themes. Because no review text is available, we cannot confirm user experiences; other signals indicate the listing is active with 24/7 hours and a comprehensive amenities package.</t>
  </si>
  <si>
    <t>accepted google identity: 14.2/15; review volume: 9.9/30; review consistency: 0.0/7; review freshness: 0.0/8; verified website: 14.2/15; confirmed irs record: 0.0/20; source corroboration: 3.3/5; Synthesis metadata: high (not part of numeric confidence)</t>
  </si>
  <si>
    <t>22611 Franklin Delano Roosevelt Blvd, Lexington Park, MD 20653</t>
  </si>
  <si>
    <t>(301) 866-9191</t>
  </si>
  <si>
    <t>Victory Woods (Seniors 62+)</t>
  </si>
  <si>
    <t>Eligibility appears to be seniors 62+; rents are based on HUD income limits.</t>
  </si>
  <si>
    <t>Victory Woods is an affordable senior apartment community in Lexington Park, MD, operated by Victory Housing. It serves residents aged 62 and older and offers on-site amenities such as a fitness center, theater, community room, library and computer lab, and on-site laundry. The community also features a Life Enrichment program (CONNECTS) aimed at promoting residents’ physical, social, and intellectual well‑being. Rents are set using HUD income limits.</t>
  </si>
  <si>
    <t>https://www.victoryhousing.org/victory-woods/?utm_source=GMB&amp;utm_medium=GMB&amp;utm_campaign=GMB</t>
  </si>
  <si>
    <t>The available review data show one 1‑star review criticizing waitlist handling, with an overall low rating (2.3/5) across a small public sample. Because the review sample is very small and not continuously documented, it is hard to discern a stable pattern in user experience. The newest cited review is about 50 days old and reflects a similar concern, reinforcing caution in generalizing reliability from this data alone.</t>
  </si>
  <si>
    <t>accepted google identity: 14.2/15; review volume: 8.9/30; review consistency: 7.0/7; review freshness: 7.3/8; verified website: 14.2/15; confirmed irs record: 0.0/20; source corroboration: 3.3/5; Synthesis metadata: low (not part of numeric confidence)</t>
  </si>
  <si>
    <t>939 Gateway St, Salisbury, MD 21801</t>
  </si>
  <si>
    <t>(410) 742-7618</t>
  </si>
  <si>
    <t>Homes at Gateway Village (Seniors 62+)</t>
  </si>
  <si>
    <t>Income limits apply; age-62+ senior housing; contact management for the application process; rental assistance may be available.</t>
  </si>
  <si>
    <t>Homes at Gateway Village is a senior-housing community in Salisbury, Maryland offering newly renovated 62+ apartments, with one- and two-bedroom floor plans. The on-site staff provide daily support and there is 24-hour emergency maintenance; utilities are included, and transportation services are available. The community is income-limited and rental assistance may be available, and small pets are welcome in a non-smoking environment.</t>
  </si>
  <si>
    <t>https://www.livegatewayvillage.com/</t>
  </si>
  <si>
    <t>Google Maps review data show a small sample of recent 5-star reviews with positive sentiment and active owner responsiveness. The newest reviews are favorable and describe the community as a place for seniors, though written feedback is limited beyond a single explicit comment about being a senior living community. Overall, the tone of the available reviews aligns with the high ratings in the sample.</t>
  </si>
  <si>
    <t>accepted google identity: 14.2/15; review volume: 15.7/30; review consistency: 7.0/7; review freshness: 7.3/8; verified website: 14.2/15; confirmed irs record: 0.0/20; source corroboration: 3.3/5; Synthesis metadata: high (not part of numeric confidence)</t>
  </si>
  <si>
    <t>Corporate Offices, 1505 Emerson Ave, Salisbury, MD 21801</t>
  </si>
  <si>
    <t>(410) 219-9000</t>
  </si>
  <si>
    <t>Hudson Behavioral Health</t>
  </si>
  <si>
    <t>Hudson Behavioral Health operates a residential addiction treatment program and offers recovery housing options in Salisbury, Maryland.</t>
  </si>
  <si>
    <t>https://www.hudsonhealth.org/</t>
  </si>
  <si>
    <t>Review data shows a mix of experiences. Many reviewers describe staff as caring and supportive in recovery, while several recent comments raise concerns about safety and staff responsiveness. The newest reviews indicate the sentiment remains mixed, suggesting ongoing improvements may be needed.</t>
  </si>
  <si>
    <t>accepted google identity: 14.2/15; review volume: 30.0/30; review consistency: 0.9/7; review freshness: 7.4/8; verified website: 14.2/15; confirmed irs record: 0.0/20; source corroboration: 3.3/5; Synthesis metadata: high (not part of numeric confidence)</t>
  </si>
  <si>
    <t>11609 Bierman Dr SE, Cumberland, MD 21502</t>
  </si>
  <si>
    <t>(301) 759-1471</t>
  </si>
  <si>
    <t>Chamberlain Graceful Living</t>
  </si>
  <si>
    <t>Now accepting new residents; contact Monday–Friday, 9am–5pm.</t>
  </si>
  <si>
    <t>Chamberlain Graceful Living appears to be a small residential assisted living facility in Cumberland, Maryland, that provides resident care within a Level 3, sixteen-bed home. Evidence indicates 24-hour supervision by awake overnight staff, meals, medication administration, personal-care assistance, and laundry/housekeeping as part of the offered care.</t>
  </si>
  <si>
    <t>http://www.cg-living.com/</t>
  </si>
  <si>
    <t>Review text consistently notes caring staff and owners; the newest review, about 143 days ago, praises the staff and owners. The accessible review sample is small, but sentiment is positive and aligns with the facility's described services.</t>
  </si>
  <si>
    <t>accepted google identity: 14.2/15; review volume: 15.4/30; review consistency: 7.0/7; review freshness: 6.1/8; verified website: 14.2/15; confirmed irs record: 0.0/20; source corroboration: 3.3/5; Synthesis metadata: high (not part of numeric confidence)</t>
  </si>
  <si>
    <t>100 Honeysuckle Lne #2, Frostburg, MD 21532</t>
  </si>
  <si>
    <t>(301) 689-2268</t>
  </si>
  <si>
    <t>Frostburg Heights</t>
  </si>
  <si>
    <t>Eligible persons 62+ or physically challenged adults 18+; income-qualified via HUD Section 8 rental-subsidy; equal-opportunity housing.</t>
  </si>
  <si>
    <t>Frostburg Heights is an affordable senior housing community providing rental apartments for adults 62 years and older or physically challenged individuals 18+, with HUD Section 8 rental subsidies for income-qualified residents.</t>
  </si>
  <si>
    <t>https://www.diakon.org/frostburg-heights/</t>
  </si>
  <si>
    <t>Review feedback was unavailable or too thin to extract themes. The review data show a small sample with limited text, making it hard to identify patterns in user experience. The newest review is about 90 days old and the most recent rating is 3 stars; the older sample includes a 2-star rating, suggesting mixed impressions, but the lack of textual content limits interpretation.</t>
  </si>
  <si>
    <t>accepted google identity: 14.2/15; review volume: 10.1/30; review consistency: 5.2/7; review freshness: 6.7/8; verified website: 14.2/15; confirmed irs record: 0.0/20; source corroboration: 3.3/5; Synthesis metadata: medium (not part of numeric confidence)</t>
  </si>
  <si>
    <t>1210 Market St, Pocomoke City, MD 21851</t>
  </si>
  <si>
    <t>(410) 957-1562</t>
  </si>
  <si>
    <t>Newtowne Apartments</t>
  </si>
  <si>
    <t>Residential apartment complex providing housing at 1210 Market St, Pocomoke City, MD 21851.</t>
  </si>
  <si>
    <t>No reviews are available for this listing, so there is no review text to summarize. Review data is unavailable, so readers should rely on current on-site details or contact management for information about resident experiences.</t>
  </si>
  <si>
    <t>accepted google identity: 14.2/15; review volume: 0.0/30; review consistency: 0.0/7; review freshness: 0.0/8; verified website: 0.0/15; confirmed irs record: 0.0/20; source corroboration: 1.7/5; Synthesis metadata: medium (not part of numeric confidence)</t>
  </si>
  <si>
    <t>362 Green St, Cambridge, MA 02139</t>
  </si>
  <si>
    <t>(617) 864-3020</t>
  </si>
  <si>
    <t>Cambridge Housing Authority</t>
  </si>
  <si>
    <t>Cambridge Housing Authority is a housing authority that administers Cambridge’s public housing programs and related housing services.</t>
  </si>
  <si>
    <t>http://www.cambridge-housing.org/</t>
  </si>
  <si>
    <t>Review data show mixed experiences among residents: some tenants report helpful staff and smooth processes, while others describe safety concerns, privacy issues, and lease-related stress. The newest reviews include both very positive and very negative feedback, indicating no single direction in current sentiment.</t>
  </si>
  <si>
    <t>accepted google identity: 14.2/15; review volume: 30.0/30; review consistency: 1.2/7; review freshness: 7.7/8; verified website: 14.2/15; confirmed irs record: 0.0/20; source corroboration: 3.3/5; Synthesis metadata: medium (not part of numeric confidence)</t>
  </si>
  <si>
    <t>2928 Normandy Dr &amp;, 2942 Rosemar Dr, Ellicott City, MD 21043</t>
  </si>
  <si>
    <t>(571) 426-1075</t>
  </si>
  <si>
    <t>White Oak Villages</t>
  </si>
  <si>
    <t>Wheelchair accessible entrance, parking, and restroom.</t>
  </si>
  <si>
    <t>White Oak Villages provides assisted living and respite care for seniors in a home-like setting in Ellicott City, Maryland.</t>
  </si>
  <si>
    <t>https://www.whiteoakvillages.com/?utm_source=omg-gbp&amp;utm_medium=webclick</t>
  </si>
  <si>
    <t>Review data show consistently positive experiences with White Oak Villages, with families praising caring staff, a clean and home-like environment, and attentive, personal care. The newest reviews continue to reflect high satisfaction and similar themes, indicating that the positive feedback remains current. Overall, the reader should expect favorable feedback about staff and daily living quality.</t>
  </si>
  <si>
    <t>accepted google identity: 14.2/15; review volume: 28.8/30; review consistency: 5.7/7; review freshness: 6.8/8; verified website: 14.2/15; confirmed irs record: 0.0/20; source corroboration: 3.3/5; Synthesis metadata: high (not part of numeric confidence)</t>
  </si>
  <si>
    <t>3100 N Ridge Rd, Ellicott City, MD 21043</t>
  </si>
  <si>
    <t>(410) 505-7299</t>
  </si>
  <si>
    <t>Lighthouse Senior Living - Ellicott City</t>
  </si>
  <si>
    <t>Lighthouse Senior Living is a senior living community in Ellicott City that provides housing with care, including assisted living and memory care, with private apartments, dining, and activity programs.</t>
  </si>
  <si>
    <t>https://lighthouseellicottcity.com/</t>
  </si>
  <si>
    <t>Review data for this listing show generally positive sentiment, with many reviewers praising caring staff, amenities, and the facility’s activities. There is at least one detailed negative review about memory-care leadership and quality of care, but newest reviews continue to reflect overall satisfaction among residents and families.</t>
  </si>
  <si>
    <t>accepted google identity: 13.4/15; review volume: 30.0/30; review consistency: 1.3/7; review freshness: 4.4/8; verified website: 13.4/15; confirmed irs record: 0.0/20; source corroboration: 3.3/5; Synthesis metadata: high (not part of numeric confidence)</t>
  </si>
  <si>
    <t>4500 Park Heights Ave, Baltimore, MD 21215</t>
  </si>
  <si>
    <t>(410) 483-8870</t>
  </si>
  <si>
    <t>Chrysalis House Healthy Start</t>
  </si>
  <si>
    <t>Intake includes a phone assessment, medical assessment, and program orientation; Medicaid is accepted, with assistance to apply if uninsured.</t>
  </si>
  <si>
    <t>Chrysalis House Healthy Start provides treatment for women with substance-use disorders, including residential care, intensive outpatient and outpatient programs, and supportive housing, with a dedicated program for pregnant women or mothers with a child under age three.</t>
  </si>
  <si>
    <t>http://www.chrysalishouses.org/ch-healthy-start</t>
  </si>
  <si>
    <t>The available Google Maps review data shows one highly negative review, indicating safety and conduct concerns. The sample size for reviews is very small, so conclusions about typical experiences are limited. Overall, the review text in the sample points to serious concerns, and the newest feedback mirrors that negative direction, though it cannot be used to generalize beyond the single documented review.</t>
  </si>
  <si>
    <t>accepted google identity: 13.4/15; review volume: 8.9/30; review consistency: 7.0/7; review freshness: 7.5/8; verified website: 13.4/15; confirmed irs record: 0.0/20; source corroboration: 3.3/5; Synthesis metadata: low (not part of numeric confidence)</t>
  </si>
  <si>
    <t>Sheppard Pratt Towson Campus provides mental health services including inpatient psychiatric units for children, adolescents, and adults; adolescent and general crisis stabilization; outpatient therapy and medication management; residential/private‑pay treatment for mood disorders, anxiety, and addiction; and specialized programs such as OCD/anxiety outpatient care and electroconvulsive therapy (ECT).</t>
  </si>
  <si>
    <t>Review data for this location show a pattern of low to moderate satisfaction in recent months, with many comments describing negative experiences related to care, communication, and safety. A minority of reviewers mention positive interactions with individual staff members, but the newest reviews largely echo prior concerns without a clear upward trend. Overall, the review data suggests caution for prospective clients while not completely discounting positive experiences some individuals report.</t>
  </si>
  <si>
    <t>accepted google identity: 14.2/15; review volume: 30.0/30; review consistency: 1.7/7; review freshness: 7.8/8; verified website: 14.2/15; confirmed irs record: 20.0/20; source corroboration: 5.0/5; Synthesis metadata: insufficient_evidence (not part of numeric confidence)</t>
  </si>
  <si>
    <t>(410) 887-2594</t>
  </si>
  <si>
    <t>Baltimore County Department of Aging</t>
  </si>
  <si>
    <t>Baltimore County Department of Aging is a county government office in Towson, MD.</t>
  </si>
  <si>
    <t>http://www.baltimorecountymd.gov/agencies/aging/index.html</t>
  </si>
  <si>
    <t>Review data show mixed experiences. One reviewer praised senior-center programming, classes, and social activities; another described a negative phone interaction and poor service, though this is an older post. The newest review from 2026 is positive, but with only two samples, the overall sentiment remains mixed.</t>
  </si>
  <si>
    <t>accepted google identity: 14.2/15; review volume: 13.2/30; review consistency: 0.0/7; review freshness: 6.8/8; verified website: 14.2/15; confirmed irs record: 0.0/20; source corroboration: 3.3/5; Synthesis metadata: medium (not part of numeric confidence)</t>
  </si>
  <si>
    <t>3421 Martha Bush Dr, Ellicott City, MD 21043</t>
  </si>
  <si>
    <t>(410) 465-1352</t>
  </si>
  <si>
    <t>Linwood Center</t>
  </si>
  <si>
    <t>Admission typically requires an IEP and referral from local school systems; intake includes review of records, a parent tour, and a meeting with the admissions team to determine eligibility.</t>
  </si>
  <si>
    <t>Linwood Center offers education for individuals with autism (Linwood School) and provides residential services and employment programs for children and adults with autism and related developmental disabilities.</t>
  </si>
  <si>
    <t>http://www.linwoodcenter.org/</t>
  </si>
  <si>
    <t>Review data show mixed feedback. Some reviewers highlight the school program and staff positively, noting dedicated teachers and supportive services; a recent 1-star review contains little to no text, and another newest review lacks detail. Given the sparse review text, the overall impression is mixed and not strongly directional.</t>
  </si>
  <si>
    <t>accepted google identity: 14.2/15; review volume: 16.3/30; review consistency: 0.4/7; review freshness: 7.4/8; verified website: 14.2/15; confirmed irs record: 20.0/20; source corroboration: 5.0/5; Synthesis metadata: insufficient_evidence (not part of numeric confidence)</t>
  </si>
  <si>
    <t>300 E Lombard St Ste 1000, Baltimore, MD 21202</t>
  </si>
  <si>
    <t>(410) 466-8558</t>
  </si>
  <si>
    <t>New Vision House of Hope</t>
  </si>
  <si>
    <t>Eligibility: all clients; sliding-fee discounts based on income; no one denied access due to inability to pay.</t>
  </si>
  <si>
    <t>New Vision House of Hope offers housing and supportive services, health education, and behavioral health programming in Baltimore, including addiction-treatment-related services; it states it serves all clients regardless of ability to pay and offers sliding-fee discounts.</t>
  </si>
  <si>
    <t>https://newvisionhouseofhope.org/</t>
  </si>
  <si>
    <t>Review data show multiple one-star reviews describing pests, limited meals, and poor care, with additional concerns about staff conduct and privacy. The newest review is several months old, and the sample of three reviews reflects a consistent pattern of negative experiences. Website and listing data confirm ongoing housing, support, and behavioral health services, but the review feedback remains largely negative.</t>
  </si>
  <si>
    <t>accepted google identity: 14.2/15; review volume: 18.2/30; review consistency: 7.0/7; review freshness: 4.7/8; verified website: 14.2/15; confirmed irs record: 0.0/20; source corroboration: 3.3/5; Synthesis metadata: low (not part of numeric confidence)</t>
  </si>
  <si>
    <t>6401 York Rd, Baltimore, MD 21212</t>
  </si>
  <si>
    <t>(410) 853-3000</t>
  </si>
  <si>
    <t>Baltimore County Department of Social Services</t>
  </si>
  <si>
    <t>Baltimore County Department of Social Services is a county agency that provides social services resources to residents.</t>
  </si>
  <si>
    <t>https://www.baltimorecountymd.gov/departments/social-services/</t>
  </si>
  <si>
    <t>Review data show mixed experiences. Recurring concerns in recent reviews include long wait times and perceived staff rudeness, while some reviewers recount friendly staff and efficient service. The newest feedback indicates ongoing frustration for some visitors, though a few visits are described as positive. Overall, feedback is inconsistent, reflecting a broad range of experiences.</t>
  </si>
  <si>
    <t>accepted google identity: 14.2/15; review volume: 30.0/30; review consistency: 0.6/7; review freshness: 7.9/8; verified website: 14.2/15; confirmed irs record: 0.0/20; source corroboration: 3.3/5; Synthesis metadata: medium (not part of numeric confidence)</t>
  </si>
  <si>
    <t>1500 Union Ave Ste 2400, Baltimore, MD 21211</t>
  </si>
  <si>
    <t>(410) 837-9379</t>
  </si>
  <si>
    <t>Pro Bono Resource Center-Maryland</t>
  </si>
  <si>
    <t>Eligibility: low-income Maryland residents seeking civil legal help. Intake via the Courtroom Advocacy Project (CAP) Hotline at 443-703-3053 to speak with an attorney or paralegal. In-person services available at 1500 Union Ave Ste 2400, Baltimore, MD 21211. Hours are Monday–Friday 9:00 AM–5:00 PM; weekends closed. Free legal services and referrals are available through PBRC and its network.</t>
  </si>
  <si>
    <t>Pro Bono Resource Center of Maryland connects Maryland residents with volunteer lawyers and provides free civil legal assistance, training, clinics, and referral services to promote access to justice.</t>
  </si>
  <si>
    <t>http://www.probonomd.org/</t>
  </si>
  <si>
    <t>Review data show mixed experiences: several reviewers praise the helpfulness of staff and the availability of free legal help, with some noting positive outcomes. Other reviewers mention organizational or staffing gaps and slower responses. The newest reviews are positive, suggesting ongoing satisfaction with some aspects of the service, while overall feedback indicates a blend of praise and frustration.</t>
  </si>
  <si>
    <t>accepted google identity: 14.2/15; review volume: 30.0/30; review consistency: 1.3/7; review freshness: 2.5/8; verified website: 14.2/15; confirmed irs record: 20.0/20; source corroboration: 5.0/5; Synthesis metadata: high (not part of numeric confidence)</t>
  </si>
  <si>
    <t>Beechwood Assisted Living provides residential senior care with personal hygiene assistance, housekeeping, meals, daily activities, and medication administration.</t>
  </si>
  <si>
    <t>Review feedback was unavailable or too thin. The listing shows an operational status and a small set of five-star reviews, but there is no review text to summarize themes or concerns. Because the review data are so limited, there is no clear direction in user experiences to report beyond the fact that reviews exist in a minimal form.</t>
  </si>
  <si>
    <t>accepted google identity: 13.4/15; review volume: 8.9/30; review consistency: 7.0/7; review freshness: 1.6/8; verified website: 13.4/15; confirmed irs record: 0.0/20; source corroboration: 3.3/5; Synthesis metadata: high (not part of numeric confidence)</t>
  </si>
  <si>
    <t>8501 Lasalle Rd Ste 200, Towson, MD 21286</t>
  </si>
  <si>
    <t>(410) 342-7554</t>
  </si>
  <si>
    <t>Pressley Ridge Central Maryland</t>
  </si>
  <si>
    <t>Pressley Ridge Central Maryland offers foster care services along with related supports, as well as career guidance and mental health services.</t>
  </si>
  <si>
    <t>http://www.pressleyridge.org/</t>
  </si>
  <si>
    <t>Review data is limited: there are two public reviews with five-star ratings, but no review text is available for analysis. This prevents extracting common themes or concerns, so the overall impression remains positive while evidence is thin. No recent reviews are visible, so it is unclear how current experiences compare with past ones.</t>
  </si>
  <si>
    <t>accepted google identity: 14.2/15; review volume: 6.1/30; review consistency: 0.0/7; review freshness: 0.0/8; verified website: 14.2/15; confirmed irs record: 0.0/20; source corroboration: 3.3/5; Synthesis metadata: high (not part of numeric confidence)</t>
  </si>
  <si>
    <t>1903 W North Ave, Baltimore, MD 21217</t>
  </si>
  <si>
    <t>(410) 235-2837</t>
  </si>
  <si>
    <t>Deborah’s Place Inc.</t>
  </si>
  <si>
    <t>Monday: Closed; Tuesday: 9 AM to 7 PM; Wednesday: 9 AM to 7 PM; Thursday: 9 AM to 7 PM; Friday: 9 AM to 5 PM; Saturday: Closed; Sunday: Closed</t>
  </si>
  <si>
    <t>Deborah’s Place Inc. offers behavioral health services focused on substance-use recovery, including individual and group counseling for adults. Services are provided in person and via Telehealth, and the organization also provides housing and recovery resources for people in need.</t>
  </si>
  <si>
    <t>http://www.deborahsplacemd.org/</t>
  </si>
  <si>
    <t>The listing shows Deborah’s Place Inc. as a behavioral health provider offering counseling for adults with substance-use issues, with a single 5-star rating in the available sample. The review text is not provided, so reviewer feedback cannot be summarized. Corroborating signals from the official website and verified hours indicate the organization is operational, and field corrections show verified address, name, and phone. The newest public review is from mid-2026, but text content is unavailable, limiting qualitative reliability assessment.</t>
  </si>
  <si>
    <t>accepted google identity: 14.2/15; review volume: 8.9/30; review consistency: 7.0/7; review freshness: 6.8/8; verified website: 14.2/15; confirmed irs record: 20.0/20; source corroboration: 5.0/5; Synthesis metadata: high (not part of numeric confidence)</t>
  </si>
  <si>
    <t>415 E 33rd St, Baltimore, MD 21218</t>
  </si>
  <si>
    <t>(410) 435-0469</t>
  </si>
  <si>
    <t>High Hopes</t>
  </si>
  <si>
    <t>Eligibility requires referral from a mental health professional and active participation in mental health services to remain eligible for PRP; appointments are recommended; accessibility features include wheelchair accessible parking and seating.</t>
  </si>
  <si>
    <t>Monday: 9 AM to 5 PM; Tuesday: 9 AM to 5 PM; Wednesday: 9 AM to 7 PM; Thursday: 9 AM to 5 PM; Friday: 9 AM to 4 PM; Saturday: Closed; Sunday: Closed</t>
  </si>
  <si>
    <t>High Hopes provides behavioral health services in Baltimore, including a Psychiatric Rehabilitation Program (PRP), substance-use recovery programs, and related supports, along with community housing options to support recovery and mental health.</t>
  </si>
  <si>
    <t>https://highhopesllc.org/about/</t>
  </si>
  <si>
    <t>Google Maps shows a perfect 5.0 rating from a small public review sample (2 reviews) with a high deterministic quality score, but there is little accessible review text. The official website corroborates core services (PRP, substance-use recovery programs) and notes Joint Commission Accreditation, which adds credibility. Review data is sparse, so the reliability signal relies mainly on corroborating website content and the official listing.</t>
  </si>
  <si>
    <t>accepted google identity: 14.2/15; review volume: 6.1/30; review consistency: 0.0/7; review freshness: 0.0/8; verified website: 14.2/15; confirmed irs record: 20.0/20; source corroboration: 5.0/5; Synthesis metadata: high (not part of numeric confidence)</t>
  </si>
  <si>
    <t>1564 Sheffield Rd, Baltimore, MD 21218</t>
  </si>
  <si>
    <t>(410) 522-3223</t>
  </si>
  <si>
    <t>FACE - Freedom Advocates Celebrating Ex-Offenders</t>
  </si>
  <si>
    <t>FACE (Freedom Advocates Celebrating Ex-Offenders) provides community care and re-entry support for returning citizens and other community members in Baltimore, including peer support, mentoring, education, advocacy, outreach, and recovery services.</t>
  </si>
  <si>
    <t>http://facebaltimore.org/</t>
  </si>
  <si>
    <t>Review data shows mixed experiences. Several reviewers note FACE provides a welcoming space and helpful community supports for returning citizens and families. One recent 5-star review highlights that FACE offers a range of services and a safe place to get help, while an earlier 1-star review accuses mismanagement and questionable fundraising. With only a small sample of reviews, the newest feedback appears positive but the overall trajectory is not clearly positive or negative.</t>
  </si>
  <si>
    <t>accepted google identity: 14.2/15; review volume: 10.1/30; review consistency: 0.0/7; review freshness: 7.7/8; verified website: 14.2/15; confirmed irs record: 0.0/20; source corroboration: 3.3/5; Synthesis metadata: medium (not part of numeric confidence)</t>
  </si>
  <si>
    <t>9030 MD-108 Ste a, Columbia, MD 21044</t>
  </si>
  <si>
    <t>(410) 740-1901</t>
  </si>
  <si>
    <t>Sheppard Pratt - Outpatient Mental Health Center - Columbia</t>
  </si>
  <si>
    <t>Outpatient mental health services for children, adolescents, adults, and older adults at the Columbia location, focused on addressing mental health challenges and improving quality of life in a supportive setting.</t>
  </si>
  <si>
    <t>https://www.sheppardpratt.org/locations-directions/details/outpatient-mental-health-center-columbia/</t>
  </si>
  <si>
    <t>Review data from the listing show generally favorable impressions of care, with frequent notes about friendly staff, timely scheduling, and capable clinicians. Several reviewers express appreciation for follow-up and supportive therapists, while a few mention barriers related to insurance or cost. Overall, recent reviews tend to align with these positive impressions, though access-related concerns appear for some individuals.</t>
  </si>
  <si>
    <t>accepted google identity: 14.2/15; review volume: 30.0/30; review consistency: 3.0/7; review freshness: 7.0/8; verified website: 14.2/15; confirmed irs record: 0.0/20; source corroboration: 3.3/5; Synthesis metadata: high (not part of numeric confidence)</t>
  </si>
  <si>
    <t>2225 N Charles St, Baltimore, MD 21218</t>
  </si>
  <si>
    <t>Sheppard Pratt - Outpatient Mental Health Center - Baltimore</t>
  </si>
  <si>
    <t>Appointments recommended; facility offers wheelchair access (entrance, parking, and restroom).</t>
  </si>
  <si>
    <t>Sheppard Pratt's outpatient mental health center in Baltimore provides outpatient mental health care, including therapy and medication management, with crisis-admission services for individuals seeking help in the community.</t>
  </si>
  <si>
    <t>https://www.sheppardpratt.org/locations-directions/details/outpatient-mental-health-center-baltimore/</t>
  </si>
  <si>
    <t>Review data from the primary reliability input show generally positive experiences with staff and therapists, and appreciation for telehealth options alongside in-person visits. Reviewers repeatedly praise the care team’s supportive approach and availability of therapy, with a few noting ongoing scheduling or organizational issues and staff turnover affecting continuity of care. The most recent feedback aligns with earlier positive comments, with occasional concerns persisting.</t>
  </si>
  <si>
    <t>accepted google identity: 13.3/15; review volume: 29.8/30; review consistency: 3.1/7; review freshness: 6.9/8; verified website: 13.3/15; confirmed irs record: 0.0/20; source corroboration: 3.3/5; Synthesis metadata: high (not part of numeric confidence)</t>
  </si>
  <si>
    <t>9180 Rumsey Rd Ste d-2, Columbia, MD 21045</t>
  </si>
  <si>
    <t>(443) 393-3708</t>
  </si>
  <si>
    <t>Emerge Inc</t>
  </si>
  <si>
    <t>Emerge Inc is a Maryland-based organization supporting individuals with developmental, physical, and mental health disabilities. It offers residential arrangements geared to the needs of the individual, along with day services and employment and pre-employment support to help customers live, learn, and work in their communities.</t>
  </si>
  <si>
    <t>http://www.emergeinc.org/</t>
  </si>
  <si>
    <t>Review data show a mix of experiences. Recurring positive themes include accommodating staff and friendly reception, while some reviews describe unprofessional staff and facility issues. The newest reviews are largely positive, suggesting improvements in recent experiences, though a few negative voices persist.</t>
  </si>
  <si>
    <t>accepted google identity: 13.4/15; review volume: 30.0/30; review consistency: 1.8/7; review freshness: 7.6/8; verified website: 13.4/15; confirmed irs record: 20.0/20; source corroboration: 5.0/5; Synthesis metadata: high (not part of numeric confidence)</t>
  </si>
  <si>
    <t>321 E 25th St, Baltimore, MD 21218</t>
  </si>
  <si>
    <t>(410) 366-8550</t>
  </si>
  <si>
    <t>St Ambrose Housing Aid Center</t>
  </si>
  <si>
    <t>Eligibility is for low- to moderate-income individuals and families in Baltimore City; intake form is required to start services.</t>
  </si>
  <si>
    <t>St. Ambrose Housing Aid Center provides housing assistance and related services for low- and moderate-income residents in Baltimore City. They offer affordable rental options, homeownership preparation, financial coaching, legal assistance, eviction and foreclosure prevention, home repairs and upgrades, and transitional housing for youth.</t>
  </si>
  <si>
    <t>https://www.stambros.org/</t>
  </si>
  <si>
    <t>Review data show a mix of experiences. Some reviews praise staff for helpful information and housing options, while others describe difficulties getting calls returned and delays in service. The newest reviews include a negative account about communication and several positive notes about staff responsiveness; overall, the latest feedback remains mixed without a clear upward or downward trend.</t>
  </si>
  <si>
    <t>accepted google identity: 14.2/15; review volume: 30.0/30; review consistency: 0.5/7; review freshness: 7.2/8; verified website: 14.2/15; confirmed irs record: 20.0/20; source corroboration: 5.0/5; Synthesis metadata: medium (not part of numeric confidence)</t>
  </si>
  <si>
    <t>100 S Charles St, Baltimore, MD 21201</t>
  </si>
  <si>
    <t>(410) 962-2520</t>
  </si>
  <si>
    <t>US Housing &amp; Urban Dev Department</t>
  </si>
  <si>
    <t>Eligibility and intake vary by program. HUD directs users to contact local housing authorities or HUD-approved housing counselors for personalized assistance. For homelessness resources, local agencies or the national helpline can connect individuals to shelter and related services.</t>
  </si>
  <si>
    <t>The U.S. Department of Housing and Urban Development (HUD) is a federal agency that oversees and funds housing programs, including public housing, rental assistance, homeownership support, and homelessness resources. It provides guidance and connects people to local housing authorities and HUD-approved housing counselors for program access.</t>
  </si>
  <si>
    <t>https://www.hud.gov/</t>
  </si>
  <si>
    <t>Review data show mixed feedback on the entity’s housing programs and guidance. Recurring themes in user feedback include challenges with accessibility and responsiveness, alongside some notes of helpful information about housing options. The most recent reviews continue to reflect mixed experiences, suggesting ongoing variability in accessibility and communication.</t>
  </si>
  <si>
    <t>accepted google identity: 14.2/15; review volume: 24.3/30; review consistency: 0.7/7; review freshness: 7.3/8; verified website: 14.2/15; confirmed irs record: 0.0/20; source corroboration: 3.3/5; Synthesis metadata: medium (not part of numeric confidence)</t>
  </si>
  <si>
    <t>3741 Commerce Dr #309, Baltimore, MD 21227</t>
  </si>
  <si>
    <t>(410) 366-1250</t>
  </si>
  <si>
    <t>Habitat for Humanity of the Chesapeake</t>
  </si>
  <si>
    <t>Onsite services available; wheelchair accessible entrance; wheelchair accessible parking.</t>
  </si>
  <si>
    <t>Monday: Closed; Tuesday: 10 AM to 6 PM; Wednesday: 10 AM to 6 PM; Thursday: 10 AM to 6 PM; Friday: 10 AM to 6 PM; Saturday: 10 AM to 6 PM; Sunday: Closed</t>
  </si>
  <si>
    <t>Habitat for Humanity of the Chesapeake is a regional nonprofit that partners with families in Central Maryland to build and renovate affordable homes, guiding them toward homeownership through sweat equity and financial education. They also operate ReStores that sell donated home-improvement items to support local housing projects, and they invite community volunteers to get involved.</t>
  </si>
  <si>
    <t>http://www.habitatchesapeake.org/</t>
  </si>
  <si>
    <t>Review data indicate generally positive experiences. Review text highlights helpful staff and straightforward visits, with several comments about friendly volunteers and convenient hours; a few reviewers note higher prices on some items or limited inventory. The newest reviews continue to reflect a generally favorable impression, with sentiment stable over time.</t>
  </si>
  <si>
    <t>accepted google identity: 14.2/15; review volume: 30.0/30; review consistency: 3.4/7; review freshness: 7.6/8; verified website: 14.2/15; confirmed irs record: 0.0/20; source corroboration: 3.3/5; Synthesis metadata: high (not part of numeric confidence)</t>
  </si>
  <si>
    <t>4421 Frankford Ave, Baltimore, MD 21206</t>
  </si>
  <si>
    <t>(443) 759-1635</t>
  </si>
  <si>
    <t>The Philemon Ministry</t>
  </si>
  <si>
    <t>Evidence indicates ex-offenders are welcomed; program includes transitional housing (House of Refuge) and mentoring/support programs.</t>
  </si>
  <si>
    <t>A faith-based mentoring program that provides transitional housing and structured mentorship for men reentering society after incarceration, focusing on accountability, spiritual health, healthy relationships, service, and financial stability.</t>
  </si>
  <si>
    <t>http://philemonministry.org/</t>
  </si>
  <si>
    <t>Review data is unavailable due to zero public reviews on the primary reliability source. The listing and official website describe a faith-based mentoring program with transitional housing for men exiting incarceration, and registry data confirms active operation. No consumer review feedback is accessible to corroborate experiences.</t>
  </si>
  <si>
    <t>310 Old Freeland Rd, Freeland, MD 21053</t>
  </si>
  <si>
    <t>(410) 343-1069</t>
  </si>
  <si>
    <t>Penn Mar Human Services (Central)</t>
  </si>
  <si>
    <t>Penn-Mar Human Services provides supports for people with intellectual and developmental disabilities, including employment services, job training, assistive technology, and opportunities for community involvement and skill-building at their Maryland location.</t>
  </si>
  <si>
    <t>http://www.penn-mar.org/</t>
  </si>
  <si>
    <t>Review data shows a mix of experiences. Some reviewers praise staff and the programs focused on employment and skill-building, while others criticize access and wait times. The newest reviews include a highly critical note, indicating ongoing concerns about responsiveness, though positive experiences are still represented. Overall, the review data suggests ongoing variability in service experiences rather than a uniformly positive or negative trend.</t>
  </si>
  <si>
    <t>accepted google identity: 14.2/15; review volume: 24.0/30; review consistency: 0.6/7; review freshness: 6.5/8; verified website: 14.2/15; confirmed irs record: 0.0/20; source corroboration: 3.3/5; Synthesis metadata: medium (not part of numeric confidence)</t>
  </si>
  <si>
    <t>Eligibility is for independent seniors age 62 and over. Intake requires standard credit, criminal, and landlord background screening for prospective residents.</t>
  </si>
  <si>
    <t>Cherry Hill Senior Manor is a rental community offering independent senior housing (62+) with one- and two-bedroom apartments and on-site amenities such as a nurse’s office, salon, resident services, and grocery delivery, along with on-site management and 24/7 emergency support.</t>
  </si>
  <si>
    <t>Google Maps review data show a mix of experiences: some positive feedback alongside at least one negative account, with an overall rating around 3.1 from 7 public reviews. The newest publicly available review is from 784 days ago, and the sample contains a highly positive review and a detailed negative account concerning staff interactions. Overall, the data suggest mixed experiences with no clear recent trend.</t>
  </si>
  <si>
    <t>accepted google identity: 14.2/15; review volume: 13.9/30; review consistency: 0.0/7; review freshness: 1.8/8; verified website: 14.2/15; confirmed irs record: 0.0/20; source corroboration: 3.3/5; Synthesis metadata: medium (not part of numeric confidence)</t>
  </si>
  <si>
    <t>6600 Amberton Dr, Elkridge, MD 21075</t>
  </si>
  <si>
    <t>Center for Social Change</t>
  </si>
  <si>
    <t>Center for Social Change provides supports for children and adults with developmental disabilities, including autism. Evidence describes residential services, vocational and supported employment, day habilitation, Medicaid waiver services for autistic individuals, medical adult day, therapeutic integration for children with autism, volunteering opportunities, and advocacy to people with intellectual disabilities, reflecting a focus on self-determination and community living.</t>
  </si>
  <si>
    <t>Review data shows a mix of praise and concern. Reviewers frequently mention caring staff, a clean facility, and responsive support, while some accounts describe negative experiences and safety concerns. The newest reviews trend positive, suggesting ongoing good service, but older critical experiences remain part of the record.</t>
  </si>
  <si>
    <t>accepted google identity: 14.2/15; review volume: 28.1/30; review consistency: 1.2/7; review freshness: 7.2/8; verified website: 14.2/15; confirmed irs record: 20.0/20; source corroboration: 5.0/5; Synthesis metadata: high (not part of numeric confidence)</t>
  </si>
  <si>
    <t>8601 Robert Fulton Dr #140, Columbia, MD 21046</t>
  </si>
  <si>
    <t>(410) 571-9320</t>
  </si>
  <si>
    <t>The Arc Maryland</t>
  </si>
  <si>
    <t>The Arc Maryland is a nonprofit social services organization that provides supports and advocacy for people with intellectual and developmental disabilities and their families.</t>
  </si>
  <si>
    <t>http://www.thearcmd.org/</t>
  </si>
  <si>
    <t>Review feedback is sparse for this listing: public review data show a small number of reviews with a perfect score, but the actual review text is unavailable. Because there is little narrative feedback, it is difficult to identify recurring themes or concerns. Overall, the available signals point to a favorable impression, but the evidence is too thin to draw firm conclusions about quality or user experience.</t>
  </si>
  <si>
    <t>accepted google identity: 14.2/15; review volume: 7.3/30; review consistency: 7.0/7; review freshness: 1.3/8; verified website: 14.2/15; confirmed irs record: 20.0/20; source corroboration: 5.0/5; Synthesis metadata: high (not part of numeric confidence)</t>
  </si>
  <si>
    <t>9409 Philadelphia Rd, Rosedale, MD 21237</t>
  </si>
  <si>
    <t>(410) 780-4095</t>
  </si>
  <si>
    <t>Creative Options Inc</t>
  </si>
  <si>
    <t>Creative Options, Inc. is a private, non-profit organization serving Maryland residents with disabilities. It provides supports such as Day Habilitation, Residential Support, Employment Services, Personal Support Services, Community Development Services, and Individual Support Services, along with ancillary supports like case management, transportation, and social/recreational activities to empower people to participate in community life.</t>
  </si>
  <si>
    <t>http://creativeoptionsmd.com/</t>
  </si>
  <si>
    <t>Review data indicates generally positive experiences, with most recent reviews yielding high ratings and highlighting helpful staff and engaging programs. There is one older low rating among the sample, but the newest feedback continues to trend positively, suggesting current offerings are well-received.</t>
  </si>
  <si>
    <t>accepted google identity: 14.2/15; review volume: 28.8/30; review consistency: 2.6/7; review freshness: 7.9/8; verified website: 14.2/15; confirmed irs record: 20.0/20; source corroboration: 5.0/5; Synthesis metadata: high (not part of numeric confidence)</t>
  </si>
  <si>
    <t>9616 Main St, Damascus, MD 20872</t>
  </si>
  <si>
    <t>(301) 368-3322</t>
  </si>
  <si>
    <t>Victory Haven Senior Apartments (Ages 62+)</t>
  </si>
  <si>
    <t>Eligibility: 62+ seniors; HUD income limits apply (30%, 40%, 50%, 60% of area median income). Income verification required. On-site management; wheelchair accessible entrances and parking. Intake/referral through Victory Housing; contact the leasing office at the property.</t>
  </si>
  <si>
    <t>Victory Haven Senior Apartments is a senior housing community in Damascus, MD offering apartment homes for adults 62+ with on-site management, amenities, and a life-enrichment program designed to support independent living. The property functions as affordable housing with HUD-based income limits and is positioned as a community for seniors seeking a social, accessible place to live.</t>
  </si>
  <si>
    <t>https://www.victoryhousing.org/victory-haven/?utm_source=GMB&amp;utm_medium=GMB&amp;utm_campaign=GMB</t>
  </si>
  <si>
    <t>Review data shows a mix of experiences. Some residents praise staff and the community’s location and amenities, while several recent reviews describe maintenance delays, safety concerns, and perceived slow responses from management. Overall the listing appears active and functional, but recent review feedback trends toward more negative experiences.</t>
  </si>
  <si>
    <t>accepted google identity: 14.2/15; review volume: 25.0/30; review consistency: 0.0/7; review freshness: 7.3/8; verified website: 14.2/15; confirmed irs record: 0.0/20; source corroboration: 3.3/5; Synthesis metadata: medium (not part of numeric confidence)</t>
  </si>
  <si>
    <t>18110 Cashell Rd, Rockville, MD 20853</t>
  </si>
  <si>
    <t>(301) 260-2080</t>
  </si>
  <si>
    <t>AlfredHouse V</t>
  </si>
  <si>
    <t>AlfredHouse operates boutique assisted-living communities in the Rockville, Maryland area, providing around-the-clock senior care in a home-like setting, with memory-care and other personal-care services as part of its offerings.</t>
  </si>
  <si>
    <t>https://alfredhouse.com/</t>
  </si>
  <si>
    <t>Review data describe AlfredHouse as a well-regarded assisted-living provider with a consistently positive tone in the available sample. Families report caring, professional staff, a safe and clean environment, and attentive support with meals and medications. The newest posted reviews continue this positive trend, with no major concerns evident in the available text.</t>
  </si>
  <si>
    <t>accepted google identity: 14.2/15; review volume: 21.6/30; review consistency: 7.0/7; review freshness: 2.0/8; verified website: 14.2/15; confirmed irs record: 0.0/20; source corroboration: 3.3/5; Synthesis metadata: high (not part of numeric confidence)</t>
  </si>
  <si>
    <t>300 Sunflower Dr Apt.#158, Bel Air, MD 21014</t>
  </si>
  <si>
    <t>(410) 879-4450</t>
  </si>
  <si>
    <t>Harford Senior Housing Inc</t>
  </si>
  <si>
    <t>Eligibility appears targeted to low-income seniors. Office staff are described as available to assist residents and their families during weekday hours.</t>
  </si>
  <si>
    <t>Monday through Friday from 08:30 AM to 5:00 PM</t>
  </si>
  <si>
    <t>Harford Senior Housing Inc. is a senior apartment community in Bel Air, Maryland, offering housing for older adults with on-site management, resident activities, and scheduled transportation to shopping and activities.</t>
  </si>
  <si>
    <t>http://www.harfordsenior.com/Contact/contact.html</t>
  </si>
  <si>
    <t>Review data show generally positive experiences, with residents noting a clean, friendly community and convenient location. Recurring concerns mention aging facilities and fewer activities since the pandemic, and a recent 1-star review highlights maintenance frustration and perceived slow response to an issue. Overall, the sentiment remains favorable, but a recent entry suggests maintenance and responsiveness as potential areas for improvement.</t>
  </si>
  <si>
    <t>accepted google identity: 14.2/15; review volume: 27.6/30; review consistency: 2.4/7; review freshness: 8.0/8; verified website: 14.2/15; confirmed irs record: 20.0/20; source corroboration: 5.0/5; Synthesis metadata: high (not part of numeric confidence)</t>
  </si>
  <si>
    <t>3214 Norbeck Road Silver Spring 13, Aspen Hill, MD 20906</t>
  </si>
  <si>
    <t>(301) 924-4424</t>
  </si>
  <si>
    <t>Victory Housing</t>
  </si>
  <si>
    <t>Victory Housing operates Grace House, a senior living and affordable-housing program in Silver Spring, Maryland. Grace House offers assisted living for seniors and maintenance-free, amenity-rich housing focused on health and wellness, with affiliations noted to Our Lady of Grace and related Catholic community partners. The organization’s website describes Grace House as part of Victory Housing’s senior housing portfolio, providing an enriched lifestyle for today’s seniors.</t>
  </si>
  <si>
    <t>https://www.victoryhousing.org/grace-house/about-us/</t>
  </si>
  <si>
    <t>There are no published user reviews available for this listing in the collected inputs. The available sources confirm operational status and a website presence describing Grace House and Victory Housing’s senior-housing offerings, but there is no consumer feedback to summarize. As a result, reviewer-centric reliability cannot be established from the provided data.</t>
  </si>
  <si>
    <t>accepted google identity: 14.2/15; review volume: 0.0/30; review consistency: 0.0/7; review freshness: 0.0/8; verified website: 14.2/15; confirmed irs record: 0.0/20; source corroboration: 3.3/5; Synthesis metadata: low (not part of numeric confidence)</t>
  </si>
  <si>
    <t>833 Fisherman Ln, Edgewood, MD 21040</t>
  </si>
  <si>
    <t>(410) 679-5888</t>
  </si>
  <si>
    <t>Village at Lakeview</t>
  </si>
  <si>
    <t>Income guidelines apply; contact leasing team to learn about eligibility and joining the waiting list.</t>
  </si>
  <si>
    <t>Village at Lakeview is an affordable apartment community in Edgewood, MD offering income-qualified rental homes (one-, two-, and three-bedroom) with on-site maintenance and management, and community amenities in a location near major commuter routes.</t>
  </si>
  <si>
    <t>http://myvillageatlakeview.com/</t>
  </si>
  <si>
    <t>Review data show mixed experiences. Recurring concerns include mold, pests, maintenance delays, and privacy issues, with some residents reporting dissatisfaction and negative interactions with management. A minority of recent reviews praise responsiveness and community features. Overall, the latest review data lean negative compared with earlier positive feedback.</t>
  </si>
  <si>
    <t>accepted google identity: 14.2/15; review volume: 26.7/30; review consistency: 0.8/7; review freshness: 7.7/8; verified website: 14.2/15; confirmed irs record: 20.0/20; source corroboration: 5.0/5; Synthesis metadata: medium (not part of numeric confidence)</t>
  </si>
  <si>
    <t>201 Russell Ave, Gaithersburg, MD 20877</t>
  </si>
  <si>
    <t>(301) 216-4001</t>
  </si>
  <si>
    <t>Asbury Methodist Village</t>
  </si>
  <si>
    <t>Asbury Methodist Village is a continuing-care retirement community in Gaithersburg, MD that provides housing and a full continuum of on-site health services, including independent living, assisted living, memory care, skilled nursing, rehabilitation, and wellness programs.</t>
  </si>
  <si>
    <t>https://www.asbury.org/asbury-methodist-village/?utm_source=local-listing&amp;utm_medium=organic&amp;utm_campaign=gbp</t>
  </si>
  <si>
    <t>Review data for this organization show generally positive experiences. Review text frequently highlights welcoming staff, helpful tours, robust wellness programs, and an active community life. Some reviews mention occasional scheduling or staffing delays in healthcare or rehab, but the newest reviews overall continue to reflect satisfaction and encouragement from residents and families.</t>
  </si>
  <si>
    <t>accepted google identity: 13.4/15; review volume: 30.0/30; review consistency: 3.0/7; review freshness: 7.9/8; verified website: 13.4/15; confirmed irs record: 0.0/20; source corroboration: 3.3/5; Synthesis metadata: high (not part of numeric confidence)</t>
  </si>
  <si>
    <t>1090 Milestone Dr, Silver Spring, MD 20904</t>
  </si>
  <si>
    <t>(301) 236-0000</t>
  </si>
  <si>
    <t>Victory Crossing Senior Apartments (Seniors 62+)</t>
  </si>
  <si>
    <t>Eligibility appears to target adults aged 62+ seeking affordable housing; HUD-based income limits apply to rents.</t>
  </si>
  <si>
    <t>Independent senior housing at Victory Crossing, offering 1- and 2-bedroom apartments with on-site amenities and a life-enrichment program to help residents stay active and connected.</t>
  </si>
  <si>
    <t>https://www.victoryhousing.org/victory-crossing/?utm_source=GMB&amp;utm_medium=GMB&amp;utm_campaign=GMB</t>
  </si>
  <si>
    <t>Review data show an overall Google Maps rating of 4.6 from 9 public reviews, with a single newest sample featuring a 5-star rating but no review text available. Because detailed review text is unavailable, themes cannot be summarized and the feedback is too thin to draw conclusions beyond the positive overall rating.</t>
  </si>
  <si>
    <t>accepted google identity: 14.2/15; review volume: 13.9/30; review consistency: 7.0/7; review freshness: 4.7/8; verified website: 14.2/15; confirmed irs record: 0.0/20; source corroboration: 3.3/5; Synthesis metadata: medium (not part of numeric confidence)</t>
  </si>
  <si>
    <t>209 Monroe St, Rockville, MD 20850</t>
  </si>
  <si>
    <t>(301) 294-1111</t>
  </si>
  <si>
    <t>Victory Court Senior Apartments (Seniors 62+)</t>
  </si>
  <si>
    <t>Eligibility: 62+ age; HUD income limits apply.</t>
  </si>
  <si>
    <t>Victory Court Senior Apartments is a senior housing community in Rockville, Maryland, operated by Victory Housing. The community provides 62+ independent living with on-site management and a range of resident amenities (fitness center, library, community room, and more) within an affordable-housing program that uses HUD income limits for rents.</t>
  </si>
  <si>
    <t>https://www.victoryhousing.org/victory-court/?utm_source=GMB&amp;utm_medium=GMB&amp;utm_campaign=GMB</t>
  </si>
  <si>
    <t>Review data show a highly positive impression from Google Maps, with a single available review praising the management and community. The sample is small and the most recent review is over two years old, so while the feedback is favorable, it is not broad or current.</t>
  </si>
  <si>
    <t>accepted google identity: 14.2/15; review volume: 12.7/30; review consistency: 7.0/7; review freshness: 1.9/8; verified website: 14.2/15; confirmed irs record: 0.0/20; source corroboration: 3.3/5; Synthesis metadata: high (not part of numeric confidence)</t>
  </si>
  <si>
    <t>721 Beacon Rd, Silver Spring, MD 20903</t>
  </si>
  <si>
    <t>(301) 445-1445</t>
  </si>
  <si>
    <t>Victory Oaks (Seniors 62+)</t>
  </si>
  <si>
    <t>Eligibility is income-based per HUD guidelines; contact on-site management for application. On-site management is available; wheelchair-accessible entrance and parking are noted in the property’s information. Rental units are described as affordable housing for seniors and families.</t>
  </si>
  <si>
    <t>Victory Oaks is an affordable senior living rental community in Silver Spring, Maryland, offering studio, 1-, 2-, and 3-bedroom apartments with accessible design, on-site management, and a Life Enrichment program that coordinates activities, wellness services, and transportation support to help residents stay independent.</t>
  </si>
  <si>
    <t>https://www.victoryhousing.org/victory-oaks/?utm_source=GMB&amp;utm_medium=GMB&amp;utm_campaign=GMB</t>
  </si>
  <si>
    <t>Review data for Victory Oaks is sparse. The listing shows an overall rating of 3.5/5 from four public reviews, with one very recent 5-star review that contains no text and no owner responses. Because substantive review text is limited, there aren’t clear recurring themes to summarize about resident experiences.</t>
  </si>
  <si>
    <t>accepted google identity: 14.2/15; review volume: 10.1/30; review consistency: 7.0/7; review freshness: 5.5/8; verified website: 14.2/15; confirmed irs record: 0.0/20; source corroboration: 3.3/5; Synthesis metadata: low (not part of numeric confidence)</t>
  </si>
  <si>
    <t>10000 Brunswick Ave, Silver Spring, MD 20910</t>
  </si>
  <si>
    <t>(301) 589-4030</t>
  </si>
  <si>
    <t>Victory Forest (Seniors 62+)</t>
  </si>
  <si>
    <t>Eligibility appears to be age 62+, with affordable senior living and a pet-friendly policy (pet restrictions apply). Applications and intake are handled by Victory Forest management; address is 10000 Brunswick Ave, Silver Spring, MD 20910.</t>
  </si>
  <si>
    <t>Victory Forest provides affordable senior housing in Silver Spring, Maryland. The community offers one-bedroom senior apartments for residents aged 62 and older, with on-site amenities and a pet-friendly environment.</t>
  </si>
  <si>
    <t>https://www.victoryhousing.org/victory-forest/?utm_source=GMB&amp;utm_medium=GMB&amp;utm_campaign=GMB</t>
  </si>
  <si>
    <t>Review data show consistently positive feedback about staff professionalism, responsiveness, and the living environment. The newest reviews continue to reflect satisfaction with the community and management, with several recent notes praising specific staff members. Overall, the review data point to stable, favorable experiences for residents.</t>
  </si>
  <si>
    <t>accepted google identity: 14.2/15; review volume: 30.0/30; review consistency: 4.2/7; review freshness: 7.0/8; verified website: 14.2/15; confirmed irs record: 0.0/20; source corroboration: 3.3/5; Synthesis metadata: medium (not part of numeric confidence)</t>
  </si>
  <si>
    <t>7401 Forbes Road Suite F, Seabrook, MD 20706</t>
  </si>
  <si>
    <t>(301) 577-5900</t>
  </si>
  <si>
    <t>Sheppard Pratt - Psychiatric Rehabilitation Day Program - Lanham</t>
  </si>
  <si>
    <t>Sheppard Pratt operates a psychiatric rehabilitation day program in Lanham, MD. The program is described as recovery-focused and includes personalized assessment and rehabilitation planning, peer support, integrated care, symptom management, medication monitoring when needed, coping strategies, independent living skills, social skills, and recreational activities.</t>
  </si>
  <si>
    <t>https://www.sheppardpratt.org/locations-directions/details/psychiatric-rehabilitation-day-program-lanham/</t>
  </si>
  <si>
    <t>Review data is unavailable for this listing; there are no public reviews in the dataset. The available sources confirm the Lanham location and describe a psychiatric rehabilitation day program with recovery-focused activities and supportive services. With no user-review data to summarize, the reliability description relies on the verified address and program description from the listing and official site.</t>
  </si>
  <si>
    <t>13508 Youngwood Turn, Bowie, MD 20715</t>
  </si>
  <si>
    <t>301-437-0291</t>
  </si>
  <si>
    <t>Clara's Place</t>
  </si>
  <si>
    <t>Clara's Place is listed as a health consultant in Bowie, Maryland.</t>
  </si>
  <si>
    <t>No usable review data was found. The listing identifies Clara's Place as a health consultant in Bowie, MD and shows it as operational, but there are no user reviews available in the sources to judge quality or consistency. The available sources provide limited information beyond the listing and a 2023 IRS filing.</t>
  </si>
  <si>
    <t>2137 Defense Hwy, Crofton, MD 21114</t>
  </si>
  <si>
    <t>(800) 264-3565</t>
  </si>
  <si>
    <t>Gabriel Network</t>
  </si>
  <si>
    <t>Gabriel Network provides pregnancy support and related resources for pregnant mothers and families through a network of caring volunteer churches. Services explicitly listed include a pregnancy helpline, church-based ministry, maternity housing, and family support services to help navigate pregnancy and beyond.</t>
  </si>
  <si>
    <t>http://www.gabrielnetwork.org/</t>
  </si>
  <si>
    <t>Review data from Google Maps show highly positive feedback, with an average impression of strong, compassionate support for pregnant people and families. The newest reviews describe staff and volunteers as helpful and welcoming, and reviewers repeatedly note practical assistance and emotional encouragement. Overall, the available review data indicate sustained positive experiences with no clear, recurring negative themes in the recent feedback.</t>
  </si>
  <si>
    <t>accepted google identity: 14.2/15; review volume: 23.3/30; review consistency: 7.0/7; review freshness: 7.5/8; verified website: 14.2/15; confirmed irs record: 0.0/20; source corroboration: 3.3/5; Synthesis metadata: high (not part of numeric confidence)</t>
  </si>
  <si>
    <t>7051 Carroll Ave apt 216, Takoma Park, MD 20912</t>
  </si>
  <si>
    <t>(301) 270-1858</t>
  </si>
  <si>
    <t>Victory Tower (Seniors 62+)</t>
  </si>
  <si>
    <t>Eligibility primarily for adults aged 62+ with HUD income limits; on-site amenities listed; intake/application process not detailed in available sources; contact Victory Housing for application.</t>
  </si>
  <si>
    <t>Senior housing community offering affordable 62+ apartments in Takoma Park, MD, with on-site amenities and life-enrichment programs.</t>
  </si>
  <si>
    <t>https://www.victoryhousing.org/victory-tower/?utm_source=GMB&amp;utm_medium=GMB&amp;utm_campaign=GMB</t>
  </si>
  <si>
    <t>Review data from the listing shows a generally positive set of experiences, with residents praising staff, the quiet environment, and available amenities; there are a few negative voices about parking, but the latest feedback remains favorable. This reliability summary relies on the platform’s review data as the primary input and reflects what reviewers report in their text, not numeric scores.</t>
  </si>
  <si>
    <t>accepted google identity: 14.2/15; review volume: 22.8/30; review consistency: 0.9/7; review freshness: 6.1/8; verified website: 14.2/15; confirmed irs record: 0.0/20; source corroboration: 3.3/5; Synthesis metadata: high (not part of numeric confidence)</t>
  </si>
  <si>
    <t>6100 Sargent Rd, Chillum, MD 20782</t>
  </si>
  <si>
    <t>(301) 559-3891</t>
  </si>
  <si>
    <t>Victory Crest</t>
  </si>
  <si>
    <t>Eligibility appears to target residents aged 62+, with HUD-based income limits likely applying for affordability; contact Victory Housing management for exact eligibility criteria and required documents.</t>
  </si>
  <si>
    <t>Victory Crest is a senior living apartment community that hosts residents aged 62 and older in a smoke-free, pet-friendly setting. It features on-site maintenance and community amenities, including an enrichment program designed to support residents’ physical, social, and emotional well-being.</t>
  </si>
  <si>
    <t>https://www.victoryhousing.org/victory-crest/?utm_source=GMB&amp;utm_medium=GMB&amp;utm_campaign=GMB</t>
  </si>
  <si>
    <t>Review data indicate a mix of experiences among residents. Positive themes include the community’s amenities and the quiet, residential environment, while recurring concerns center on maintenance responsiveness and repair timelines. The latest reviews show ongoing mixed sentiment, with no clear trend toward improvement or decline.</t>
  </si>
  <si>
    <t>accepted google identity: 14.2/15; review volume: 20.6/30; review consistency: 1.8/7; review freshness: 4.6/8; verified website: 14.2/15; confirmed irs record: 0.0/20; source corroboration: 3.3/5; Synthesis metadata: medium (not part of numeric confidence)</t>
  </si>
  <si>
    <t>9210 Kentsdale Dr, Potomac, MD 20854</t>
  </si>
  <si>
    <t>(301) 469-9400</t>
  </si>
  <si>
    <t>Byron House</t>
  </si>
  <si>
    <t>Byron House is an assisted living community in Potomac, Maryland that provides housing for older adults with on-site supportive services, meals, housekeeping, and a program of social and recreational activities on the campus of Our Lady of Mercy Church.</t>
  </si>
  <si>
    <t>https://www.victoryhousing.org/byron-house/</t>
  </si>
  <si>
    <t>Review feedback is unavailable or too thin to identify recurring themes. The listing shows a perfect 5.0 rating from a very small sample, with limited textual review content, making it difficult to generalize user experiences. Reliability indicators nonetheless show the service is operational and that hours are consistently 24/7, but the sparse reviews limit confidence in performance patterns.</t>
  </si>
  <si>
    <t>accepted google identity: 14.9/15; review volume: 8.9/30; review consistency: 7.0/7; review freshness: 1.1/8; verified website: 14.9/15; confirmed irs record: 0.0/20; source corroboration: 3.3/5; Synthesis metadata: high (not part of numeric confidence)</t>
  </si>
  <si>
    <t>6200 Oregon Ave NW, Washington, DC 20015</t>
  </si>
  <si>
    <t>(202) 541-0400</t>
  </si>
  <si>
    <t>ADF (Army Distaff Foundation)</t>
  </si>
  <si>
    <t>Army Distaff Foundation owns and operates Knollwood Life Plan Community, providing housing, health, and wellness services to aging adults, including residents who may need financial assistance.</t>
  </si>
  <si>
    <t>https://www.armydistaff.org/</t>
  </si>
  <si>
    <t>Review data for Army Distaff Foundation indicate a positive perception of the staff, with reviewers describing the team as professional, caring, and empathetic. The available review text is limited, with several entries lacking written feedback, which tempers how detailed we can report on experiences. The most recent visible review is from about 107 days ago, and the overall impression from the available reviews remains positive.</t>
  </si>
  <si>
    <t>accepted google identity: 14.2/15; review volume: 20.8/30; review consistency: 5.5/7; review freshness: 6.5/8; verified website: 14.2/15; confirmed irs record: 0.0/20; source corroboration: 3.3/5; Synthesis metadata: high (not part of numeric confidence)</t>
  </si>
  <si>
    <t>8800 Jericho City Dr, Landover, MD 20785</t>
  </si>
  <si>
    <t>(301) 909-6824</t>
  </si>
  <si>
    <t>Progressive Life Center</t>
  </si>
  <si>
    <t>Wheelchair accessible entrance; wheelchair accessible parking.</t>
  </si>
  <si>
    <t>Progressive Life Center provides mental health and family-centered services for youth and families, with core program areas including Child Welfare, Behavioral Health Care, and Juvenile Justice Services.</t>
  </si>
  <si>
    <t>https://plccommunity.org/</t>
  </si>
  <si>
    <t>Review feedback was unavailable or too thin to summarize. The listing shows the organization as operational with published hours and a verified website, but no user reviews are available to assess client experiences.</t>
  </si>
  <si>
    <t>accepted google identity: 14.2/15; review volume: 0.0/30; review consistency: 0.0/7; review freshness: 0.0/8; verified website: 14.2/15; confirmed irs record: 0.0/20; source corroboration: 3.3/5; Synthesis metadata: high (not part of numeric confidence)</t>
  </si>
  <si>
    <t>5999 Emerson St apt221, Bladensburg, MD 20710</t>
  </si>
  <si>
    <t>(301) 779-6196</t>
  </si>
  <si>
    <t>Emerson House</t>
  </si>
  <si>
    <t>Eligibility is for seniors; pricing and income restrictions apply. For details, contact the community via the provided form. The community notes income restrictions and rules/regulations as part of the application process.</t>
  </si>
  <si>
    <t>Emerson House is a senior living apartment complex offering 220 units in a nine‑story building with on‑site resident services, social activities, and senior‑friendly amenities.</t>
  </si>
  <si>
    <t>https://www.qpmgmt.com/properties/emerson-house/</t>
  </si>
  <si>
    <t>Review data show generally positive experiences, with reviewers highlighting comfort for seniors and available amenities, while occasional comments point to service or delivery interactions as a concern. The newest reviews indicate continued positive sentiment overall, though a small number of older reviews report negative experiences. Review data come from user submissions and are described here as reviews; they are not official ratings from a single platform.</t>
  </si>
  <si>
    <t>accepted google identity: 13.3/15; review volume: 27.6/30; review consistency: 0.9/7; review freshness: 5.5/8; verified website: 13.3/15; confirmed irs record: 0.0/20; source corroboration: 3.3/5; Synthesis metadata: high (not part of numeric confidence)</t>
  </si>
  <si>
    <t>9440 Newbridge Dr, Potomac, MD 20854</t>
  </si>
  <si>
    <t>(301) 983-9600</t>
  </si>
  <si>
    <t>Victory Terrace (Seniors 62+)</t>
  </si>
  <si>
    <t>Eligibility: seniors 62+; some units may be subject to HUD income limits. Applications handled through on-site management. Pets allowed for small breeds (under 20 lbs). Accessibility features include wheelchair-accessible entrances. On-site amenities include laundry, fitness center, library, computer lab, and maintenance/after-hours service.</t>
  </si>
  <si>
    <t>Victory Terrace is a senior rental apartment community (62+) in Potomac, MD, offering one- and two-bedroom apartments with on-site amenities and a Life Enrichment Program. Residents have access to on-site management and maintenance, plus activities and facilities such as a fitness center, library, computer lab, media room, and outdoor patio, with pet-friendly policy and HUD-based income-limits for affordable units.</t>
  </si>
  <si>
    <t>https://www.victoryhousing.org/victory-terrace/?utm_source=GMB&amp;utm_medium=GMB&amp;utm_campaign=GMB</t>
  </si>
  <si>
    <t>The available review data shows a small sample with mostly positive remarks and two clear positives, but one low rating with little textual detail and no recent activity beyond 678 days ago. This suggests generally favorable impressions but with limited recent feedback to gauge current performance. Overall, the review data indicates steady satisfaction among a subset of residents, though recency is sparse.</t>
  </si>
  <si>
    <t>accepted google identity: 14.2/15; review volume: 14.4/30; review consistency: 0.4/7; review freshness: 2.2/8; verified website: 14.2/15; confirmed irs record: 0.0/20; source corroboration: 3.3/5; Synthesis metadata: medium (not part of numeric confidence)</t>
  </si>
  <si>
    <t>288 E Green St, Westminster, MD 21157</t>
  </si>
  <si>
    <t>(443) 612-1402</t>
  </si>
  <si>
    <t>Sheppard Pratt - Outpatient Mental Health Center - Westminster</t>
  </si>
  <si>
    <t>Appointments recommended; accessibility features include wheelchair accessible entrance, wheelchair-accessible parking, and wheelchair-accessible restroom.</t>
  </si>
  <si>
    <t>Sheppard Pratt Westminster provides outpatient mental health services for children, adolescents, adults, and older adults in a welcoming environment.</t>
  </si>
  <si>
    <t>https://www.sheppardpratt.org/locations-directions/details/outpatient-mental-health-center-westminster/</t>
  </si>
  <si>
    <t>Review data show generally positive experiences with caring staff who provide support; some reviewers report difficulty reaching the center by phone; overall, most recent reviews are favorable with some recurring access concerns.</t>
  </si>
  <si>
    <t>accepted google identity: 14.2/15; review volume: 30.0/30; review consistency: 2.9/7; review freshness: 6.8/8; verified website: 14.2/15; confirmed irs record: 0.0/20; source corroboration: 3.3/5; Synthesis metadata: high (not part of numeric confidence)</t>
  </si>
  <si>
    <t>41 E Bel Air Ave, Aberdeen, MD 21001</t>
  </si>
  <si>
    <t>(410) 273-5037</t>
  </si>
  <si>
    <t>Liv-N-Well Asst Living</t>
  </si>
  <si>
    <t>Liv-N-Well is a medical clinic located at 41 E Bel Air Ave, Aberdeen, MD 21001.</t>
  </si>
  <si>
    <t>http://www.livnwell.com/</t>
  </si>
  <si>
    <t>Review data show a pattern of negative experiences, with multiple reviewers describing unsafe or unsatisfactory conditions at the site. Common concerns include cleanliness issues (a bedbug infestation) and warnings not to visit. The newest review is negative, and the overall sentiment remains unfavorable; a single positive review in the sample does not offset the negative trend.</t>
  </si>
  <si>
    <t>accepted google identity: 14.2/15; review volume: 15.6/30; review consistency: 0.9/7; review freshness: 5.7/8; verified website: 14.2/15; confirmed irs record: 0.0/20; source corroboration: 3.3/5; Synthesis metadata: low (not part of numeric confidence)</t>
  </si>
  <si>
    <t>4918 Lasalle Rd, Hyattsville, MD 20782</t>
  </si>
  <si>
    <t>(301) 669-8600</t>
  </si>
  <si>
    <t>Victory Housing operates Malta House, a senior living community that provides assisted living and affordable housing for older adults in Hyattsville, Maryland.</t>
  </si>
  <si>
    <t>https://www.victoryhousing.org/malta-house/contact-us/</t>
  </si>
  <si>
    <t>Review data is unavailable for this listing; there are no public reviews in the available sources. Official materials describe Malta House as an assisted living and affordable housing community operated by Victory Housing, indicating a housing and elder-care focus.</t>
  </si>
  <si>
    <t>accepted google identity: 13.4/15; review volume: 0.0/30; review consistency: 0.0/7; review freshness: 0.0/8; verified website: 13.4/15; confirmed irs record: 0.0/20; source corroboration: 3.3/5; Synthesis metadata: insufficient_evidence (not part of numeric confidence)</t>
  </si>
  <si>
    <t>180 Admiral Cochrane Dr #200, Annapolis, MD 21401</t>
  </si>
  <si>
    <t>(443) 716-2550</t>
  </si>
  <si>
    <t>Habitat America</t>
  </si>
  <si>
    <t>Habitat America is a property management company that oversees apartment communities across the Mid-Atlantic, including market-rate, affordable, and senior housing. They provide property management services, leasing and compliance support, and maintenance coordination for the communities they manage.</t>
  </si>
  <si>
    <t>http://www.habitatamerica.com/</t>
  </si>
  <si>
    <t>Review data shows recurring concerns about maintenance delays, communication gaps, and safety-related issues (such as pests and extreme unit temperatures), with a smaller number of positive notes about staff when issues are resolved. The newest reviews largely reflect the same pattern of dissatisfaction, indicating an ongoing trend rather than isolated incidents. Owner responses appear in many cases and sometimes acknowledge the concerns.</t>
  </si>
  <si>
    <t>accepted google identity: 14.2/15; review volume: 30.0/30; review consistency: 2.2/7; review freshness: 6.8/8; verified website: 14.2/15; confirmed irs record: 0.0/20; source corroboration: 3.3/5; Synthesis metadata: insufficient_evidence (not part of numeric confidence)</t>
  </si>
  <si>
    <t>7801 Barlowe Rd, Landover, MD 20785</t>
  </si>
  <si>
    <t>(301) 341-4995</t>
  </si>
  <si>
    <t>Victory House of Palmer Park (Seniors 62+)</t>
  </si>
  <si>
    <t>Eligibility appears based on age 62+ and income-based housing limits. HUD-derived income limits are used to determine eligibility; rental applications require income verification. On-site management is available; accessibility features include wheelchair-accessible entrances and parking.</t>
  </si>
  <si>
    <t>Senior housing community providing affordable one-bedroom apartments for residents aged 62+ with on-site amenities and supportive services to help residents live independently, including wellness-focused spaces and community activities.</t>
  </si>
  <si>
    <t>https://www.victoryhousing.org/victory-house-of-palmer-park/?utm_source=GMB&amp;utm_medium=GMB&amp;utm_campaign=GMB</t>
  </si>
  <si>
    <t>Review data for this listing is sparse: public feedback exists but is not richly detailed, with the newest available review lacking visible text. The listing shows clear hours and an active status, but the limited and largely textual-free review sample reduces confidence in fully characterizing user experiences. Registry data does not clearly confirm the organization’s official match to the listing, which further tempers confidence in the listing’s completeness.</t>
  </si>
  <si>
    <t>accepted google identity: 14.2/15; review volume: 8.9/30; review consistency: 7.0/7; review freshness: 5.5/8; verified website: 14.2/15; confirmed irs record: 0.0/20; source corroboration: 3.3/5; Synthesis metadata: medium (not part of numeric confidence)</t>
  </si>
  <si>
    <t>1301 Pennsylvania Ave NW #550, Washington, DC 20004</t>
  </si>
  <si>
    <t>(202) 637-8400</t>
  </si>
  <si>
    <t>National Black Caucus</t>
  </si>
  <si>
    <t>Non-profit organization based in Washington, DC. The available evidence does not document specific programs or services beyond the classification as a non-profit; the listing includes an address and online presence but offers no verifiable service details in the provided sources.</t>
  </si>
  <si>
    <t>https://clarke.house.gov/committees-and-caucuses/congressional-black-caucus/</t>
  </si>
  <si>
    <t>Review data from the listing show two one-star reviews describing poor communication and perceived misrepresentation of program opportunities. Review text notes uncomfortable interactions and dissatisfaction with the handling of inquiries. With only two reviews and limited corroborating information, the overall reliability of the listing is cautious and signals should be verified directly with the organization.</t>
  </si>
  <si>
    <t>accepted google identity: 14.2/15; review volume: 8.5/30; review consistency: 7.0/7; review freshness: 4.7/8; verified website: 14.2/15; confirmed irs record: 0.0/20; source corroboration: 3.3/5; Synthesis metadata: low (not part of numeric confidence)</t>
  </si>
  <si>
    <t>8025 Liberty Rd, Windsor Mill, MD 21244</t>
  </si>
  <si>
    <t>(410) 496-1214</t>
  </si>
  <si>
    <t>Diversified Housing Development</t>
  </si>
  <si>
    <t>Registration in advance is required; first-time homebuyers must attend a HUD-approved workshop to receive funds, and a one-on-one counseling session is required to obtain a certificate; contact the office to schedule and obtain intake information.</t>
  </si>
  <si>
    <t>Diversified Housing Development provides HUD-approved housing counseling, including pre-purchase counseling and first-time homebuyer workshops, downpayment and closing-cost assistance, home weatherization, housing rehabilitation, and foreclosure counseling.</t>
  </si>
  <si>
    <t>http://www.diversifiedhousing.org/</t>
  </si>
  <si>
    <t>Review data show mainly positive feedback from clients, with messages praising helpful staff, clear guidance, and successful homebuying outcomes. Review text describes personal empowerment and satisfaction with program support; newest reviews continue to reflect favorable experiences.</t>
  </si>
  <si>
    <t>accepted google identity: 14.2/15; review volume: 21.1/30; review consistency: 7.0/7; review freshness: 6.2/8; verified website: 14.2/15; confirmed irs record: 20.0/20; source corroboration: 5.0/5; Synthesis metadata: high (not part of numeric confidence)</t>
  </si>
  <si>
    <t>57 West Timonium Road, Lutherville Timonium, MD 21093</t>
  </si>
  <si>
    <t>(410) 235-9080</t>
  </si>
  <si>
    <t>Fuel Fund of Maryland</t>
  </si>
  <si>
    <t>Monday: 9 to 11 AM; Tuesday: Closed; Wednesday: Open 24 hours; Thursday: Closed; Friday: 9 to 11 AM; Saturday: Closed; Sunday: Closed</t>
  </si>
  <si>
    <t>Fuel Fund of Maryland is a nonprofit that provides financial assistance and educational resources to help Maryland households with utility bills, focusing on BGE customers at risk of power disconnection.</t>
  </si>
  <si>
    <t>http://www.fuelfundmaryland.org/</t>
  </si>
  <si>
    <t>Review data show a mix of experiences. Some users report that the Fuel Fund of Maryland helped with power bills, while others describe slow communication and unanswered inquiries. The newest reviews contain both positive and negative voices, suggesting inconsistent experiences rather than a uniform outcome.</t>
  </si>
  <si>
    <t>accepted google identity: 14.2/15; review volume: 30.0/30; review consistency: 1.0/7; review freshness: 5.3/8; verified website: 14.2/15; confirmed irs record: 0.0/20; source corroboration: 3.3/5; Synthesis metadata: medium (not part of numeric confidence)</t>
  </si>
  <si>
    <t>3319 W Belvedere Ave, Baltimore, MD 21215</t>
  </si>
  <si>
    <t>(410) 542-7800</t>
  </si>
  <si>
    <t>Care is available to individuals regardless of ability to pay; no additional eligibility restrictions evidenced.</t>
  </si>
  <si>
    <t>Monday: 9 AM to 5:30 PM; Tuesday: 9 AM to 5:30 PM; Wednesday: 11 AM to 7:30 PM; Thursday: 9 AM to 5:30 PM; Friday: 9 AM to 5:30 PM; Saturday: Closed; Sunday: Closed</t>
  </si>
  <si>
    <t>Park West Health System operates as a community health center serving northwest Baltimore, providing primary medical care and related services such as pediatrics, OB/GYN, adult medicine, dental care, and behavioral health.</t>
  </si>
  <si>
    <t>Review data show a mix of experiences. Recurring positive themes highlight helpful clinicians and quality care when appointments are kept. Recurring concerns focus on difficulty reaching the office by phone, long holds, and administrative communication issues. The newest reviews include both very positive and very negative comments, and there isn’t a clear trend toward improvement or decline in reliability.</t>
  </si>
  <si>
    <t>accepted google identity: 14.2/15; review volume: 30.0/30; review consistency: 0.5/7; review freshness: 7.8/8; verified website: 14.2/15; confirmed irs record: 0.0/20; source corroboration: 3.3/5; Synthesis metadata: medium (not part of numeric confidence)</t>
  </si>
  <si>
    <t>3267 Pine Orchard Ln, Ellicott City, MD 21042</t>
  </si>
  <si>
    <t>(443) 656-3376</t>
  </si>
  <si>
    <t>Salvation Army Thrift Store</t>
  </si>
  <si>
    <t>Wheelchair accessible entrance; wheelchair accessible parking. Accepts credit and debit cards.</t>
  </si>
  <si>
    <t>Monday: Closed; Tuesday: 10 AM to 1 PM; Wednesday: Closed; Thursday: 10 AM to 1 PM; Friday: Closed; Saturday: Closed; Sunday: Closed</t>
  </si>
  <si>
    <t>Salvation Army Thrift Store in Ellicott City that sells used goods (clothing, household items, and similar merchandise).</t>
  </si>
  <si>
    <t>Review data indicate generally positive feedback with comments about a friendly volunteer staff, good deals, and a broad selection. Some reviews note the store is small and can feel crowded when busy, and a negative post about a staff interaction exists, though the newest reviews largely reflect continued positive experiences.</t>
  </si>
  <si>
    <t>accepted google identity: 14.2/15; review volume: 30.0/30; review consistency: 1.1/7; review freshness: 7.8/8; verified website: 14.2/15; confirmed irs record: 0.0/20; source corroboration: 3.3/5; Synthesis metadata: high (not part of numeric confidence)</t>
  </si>
  <si>
    <t>7215 York Rd, Baltimore, MD 21212</t>
  </si>
  <si>
    <t>(410) 296-2272</t>
  </si>
  <si>
    <t>The Arc Baltimore</t>
  </si>
  <si>
    <t>The Arc Baltimore provides disability services and support for people with developmental disabilities, including employment training and support, day and residential services, family support and education, treatment foster care, assistive technology services, respite care, public policy advocacy, and information and referrals.</t>
  </si>
  <si>
    <t>https://www.thearcbaltimore.org/</t>
  </si>
  <si>
    <t>Review data shows a mix of positive and negative experiences. Reviewers frequently commend staff responsiveness and helpful program staff, but several newest reviews express disappointment with customer service and communication, noting hostile or insufficient responsiveness. Overall, the reviews indicate ongoing strengths in programs and supports, with recurring concerns about service interactions that have persisted across time.</t>
  </si>
  <si>
    <t>accepted google identity: 14.2/15; review volume: 30.0/30; review consistency: 0.0/7; review freshness: 6.1/8; verified website: 14.2/15; confirmed irs record: 20.0/20; source corroboration: 5.0/5; Synthesis metadata: high (not part of numeric confidence)</t>
  </si>
  <si>
    <t>110 W Fayette St, Baltimore, MD 21201</t>
  </si>
  <si>
    <t>(800) 685-0123</t>
  </si>
  <si>
    <t>Baltimore Gas and Electric Company</t>
  </si>
  <si>
    <t>Monday: 7 AM to 7 PM; Tuesday: 7 AM to 7 PM; Wednesday: 7 AM to 7 PM; Thursday: 7 AM to 7 PM; Friday: 7 AM to 7 PM; Saturday: Closed; Sunday: Closed</t>
  </si>
  <si>
    <t>Baltimore Gas and Electric Company is a utility provider that delivers energy services to customers in Baltimore and surrounding areas.</t>
  </si>
  <si>
    <t>http://www.bge.com/</t>
  </si>
  <si>
    <t>Review data show persistent dissatisfaction among customers, with frequent concerns about billing accuracy, rate increases, and service outages. A small number of reviews praise field crews for timely restoration after storms, but the most recent reviews largely align with earlier feedback, expressing ongoing dissatisfaction.</t>
  </si>
  <si>
    <t>accepted google identity: 14.2/15; review volume: 30.0/30; review consistency: 1.3/7; review freshness: 7.9/8; verified website: 14.2/15; confirmed irs record: 0.0/20; source corroboration: 3.3/5; Synthesis metadata: medium (not part of numeric confidence)</t>
  </si>
  <si>
    <t>25 E 20th St #170, Baltimore, MD 21218</t>
  </si>
  <si>
    <t>(410) 327-1200</t>
  </si>
  <si>
    <t>Neighborhood Housing Services of Baltimore</t>
  </si>
  <si>
    <t>Eligibility appears to be Baltimore City residents seeking homeownership assistance; intake process and required documents are not specified in the sources.</t>
  </si>
  <si>
    <t>Neighborhood Housing Services of Baltimore is a nonprofit community development financial institution offering HUD-certified homebuyer education, one-on-one housing counseling, and access to down payment assistance and mortgage programs to help Baltimore City residents achieve and sustain homeownership.</t>
  </si>
  <si>
    <t>http://www.nhsbaltimore.org/</t>
  </si>
  <si>
    <t>Review data show a mix of praise and frustration. Many reviews highlight helpful staff, clarity in programs, and positive homeownership outcomes, while a number of recent comments mention slow responses and administrative disorganization. The latest reviews continue to show a generally favorable impression, with some exceptions.</t>
  </si>
  <si>
    <t>accepted google identity: 14.2/15; review volume: 30.0/30; review consistency: 1.5/7; review freshness: 4.9/8; verified website: 14.2/15; confirmed irs record: 20.0/20; source corroboration: 5.0/5; Synthesis metadata: high (not part of numeric confidence)</t>
  </si>
  <si>
    <t>6 St Paul St #2102, Baltimore, MD 21202</t>
  </si>
  <si>
    <t>(410) 767-8150</t>
  </si>
  <si>
    <t>People's Counsel</t>
  </si>
  <si>
    <t>Maryland Office of People's Counsel (OPC) is a state government office that advocates for Maryland utility customers, provides consumer information on energy-rate changes, and connects residents with resources to help manage utility bills.</t>
  </si>
  <si>
    <t>https://opc.maryland.gov/</t>
  </si>
  <si>
    <t>Review feedback is too thin to identify recurring themes; publicly available reviews show minimal descriptive content. The newest review is about 82 days old, and there is no indication of persistent issues in the available feedback. Overall, reliability signals lean on the organization’s operational status and verified website rather than user commentary.</t>
  </si>
  <si>
    <t>accepted google identity: 14.2/15; review volume: 10.1/30; review consistency: 7.0/7; review freshness: 6.8/8; verified website: 14.2/15; confirmed irs record: 0.0/20; source corroboration: 3.3/5; Synthesis metadata: high (not part of numeric confidence)</t>
  </si>
  <si>
    <t>3545 Belair Rd, Baltimore, MD 21213</t>
  </si>
  <si>
    <t>(410) 485-8422</t>
  </si>
  <si>
    <t>Belair-Edison Neighborhoods, Inc.</t>
  </si>
  <si>
    <t>Eligibility: Open to first-time homebuyers in Baltimore City. Intake/referral details are not described in the available sources.</t>
  </si>
  <si>
    <t>Monday: Closed; Tuesday: 9 AM to 5 PM; Wednesday: Closed; Thursday: 9 AM to 5 PM; Friday: 9 AM to 3 PM; Saturday: Closed; Sunday: Closed</t>
  </si>
  <si>
    <t>Belair-Edison Neighborhoods, Inc. (BENI) provides HUD‑certified housing counseling and homeownership education, including pre-purchase counseling, post-purchase support, foreclosure counseling, and related workshops to help Baltimore City residents navigate the homebuying process.</t>
  </si>
  <si>
    <t>http://www.belair-edison.org/</t>
  </si>
  <si>
    <t>Review data show predominantly positive feedback, with reviewers praising BENI’s helpful guidance and informative homeownership education. Recent reviews remain favorable, and staff responsiveness is noted, though a minority mention scheduling or presenter changes. Overall, the review data suggest reliable, supportive services with some variability tied to staffing and scheduling.</t>
  </si>
  <si>
    <t>accepted google identity: 14.2/15; review volume: 30.0/30; review consistency: 4.3/7; review freshness: 7.3/8; verified website: 14.2/15; confirmed irs record: 20.0/20; source corroboration: 5.0/5; Synthesis metadata: high (not part of numeric confidence)</t>
  </si>
  <si>
    <t>700 E Pratt St, Baltimore, MD 21202</t>
  </si>
  <si>
    <t>(410) 767-1184</t>
  </si>
  <si>
    <t>Maryland Department of Assessments &amp; Taxation</t>
  </si>
  <si>
    <t>Website notes contact options for questions regarding assessments or tax credits; there is mention of a potential annual filing fee waiver. For other inquiries, customers are encouraged to contact the department using the official channels provided on the site.</t>
  </si>
  <si>
    <t>The Maryland Department of Assessments and Taxation (SDAT) is a state agency that administers property assessments, certifies property values to local governments, maintains business records, issues corporate charters, and administers state tax‑credit programs such as the Homeowners’ Tax Credit and the Renters’ Tax Credit.</t>
  </si>
  <si>
    <t>https://dat.maryland.gov/</t>
  </si>
  <si>
    <t>Review data show frequent complaints about phone access and slow responses, with multiple reviews describing long waits and difficulty contacting staff. A smaller subset of reviews notes improvements in online services and filings. Overall, the latest feedback remains mixed, with ongoing access concerns but some positive experiences, indicating no clear, sustained improvement in responsiveness.</t>
  </si>
  <si>
    <t>accepted google identity: 14.2/15; review volume: 30.0/30; review consistency: 1.9/7; review freshness: 7.8/8; verified website: 14.2/15; confirmed irs record: 0.0/20; source corroboration: 3.3/5; Synthesis metadata: high (not part of numeric confidence)</t>
  </si>
  <si>
    <t>6315 Hillside Ct Ste b, Columbia, MD 21046</t>
  </si>
  <si>
    <t>(866) 550-8004</t>
  </si>
  <si>
    <t>Money Management International</t>
  </si>
  <si>
    <t>In-person counseling by appointment only; phone counseling available 24 hours a day, 7 days a week; online counseling available. Most counseling and education are provided at no cost, with a few low-cost services and a debt management plan that may involve fees. To schedule, call 866-550-8004.</t>
  </si>
  <si>
    <t>Monday: Closed; Tuesday: 9 AM to 3 PM; Wednesday: 9 AM to 3 PM; Thursday: 9 AM to 3 PM; Friday: Closed; Saturday: Closed; Sunday: Closed</t>
  </si>
  <si>
    <t>Money Management International provides nonprofit financial education and counseling to help with debt, budgeting, housing, and student loan concerns. Counseling is offered in person by appointment and also by phone and online.</t>
  </si>
  <si>
    <t>https://www.moneymanagement.org/locations/maryland/columbia</t>
  </si>
  <si>
    <t>Review data indicate generally positive experiences, with most reviews awarding high ratings; a small fraction of reviews are low-rated. The sample is small (5 public reviews) and there are no recent entries in this dataset, so trends are unclear. The listing shows the organization is operational, offers in-person, phone, and online counseling, with verified contact information and web presence. Overall, available review data support a favorable impression, but the limited sample means reader conclusions should be cautious.</t>
  </si>
  <si>
    <t>626 Towne Center Dr #301, Joppatowne, MD 21085</t>
  </si>
  <si>
    <t>(410) 679-3200</t>
  </si>
  <si>
    <t>Home Partnership Inc.</t>
  </si>
  <si>
    <t>Eligibility may include pre-qualification with a lender and income criteria for scholarships (up to 50% of Area Median Income). Scholarships are available for eligible participants. A registration fee of $25 applies for Homebuyer Education. One-on-one counseling and workshops are available on weekdays; scheduling is via the organization's contact channels. The office location offers wheelchair-accessible entrance and onsite parking.</t>
  </si>
  <si>
    <t>Home Partnership Inc. provides affordable housing and homeowner support, including housing counseling, homebuyer education, and housing development services.</t>
  </si>
  <si>
    <t>https://www.homepartnershipinc.org/</t>
  </si>
  <si>
    <t>Review data for this listing is sparse: the newest review is from over a year ago and contains no text, making it difficult to identify current experiences. The overall rating is modest, and the available review data provides limited insight into recent customer experiences.</t>
  </si>
  <si>
    <t>accepted google identity: 14.2/15; review volume: 11.1/30; review consistency: 7.0/7; review freshness: 3.0/8; verified website: 14.2/15; confirmed irs record: 20.0/20; source corroboration: 5.0/5; Synthesis metadata: low (not part of numeric confidence)</t>
  </si>
  <si>
    <t>20251 Century Blvd, Germantown, MD 20874</t>
  </si>
  <si>
    <t>(301) 972-1080</t>
  </si>
  <si>
    <t>Operation Second Chance</t>
  </si>
  <si>
    <t>Operation Second Chance is a veteran-focused organization that identifies and addresses immediate needs of wounded, injured, and ill veterans and their families.</t>
  </si>
  <si>
    <t>http://www.operationsecondchance.org/</t>
  </si>
  <si>
    <t>Review data indicates consistently positive experiences among veterans who received help, with recurring themes of gratitude for timely, compassionate support and practical assistance such as housing stability and rent relief. The newest reviews reinforce these positive impressions, describing life-changing impact and ongoing appreciation. The sample of reviews reflects a stable, positive sentiment about the organization's responsiveness and outcomes.</t>
  </si>
  <si>
    <t>accepted google identity: 14.2/15; review volume: 28.6/30; review consistency: 7.0/7; review freshness: 7.5/8; verified website: 14.2/15; confirmed irs record: 0.0/20; source corroboration: 3.3/5; Synthesis metadata: high (not part of numeric confidence)</t>
  </si>
  <si>
    <t>7800 Harkins Rd, Lanham, MD 20706</t>
  </si>
  <si>
    <t>(301) 429-7400</t>
  </si>
  <si>
    <t>Maryland Department of Housing and Community Development</t>
  </si>
  <si>
    <t>The Maryland Department of Housing and Community Development administers housing programs and funding to support affordable housing, homeownership, energy-efficiency upgrades, and broader community development across the state.</t>
  </si>
  <si>
    <t>http://dhcd.maryland.gov/</t>
  </si>
  <si>
    <t>Review data indicate generally positive feedback about staff friendliness and helpfulness, with some complaints about contractors or delays. A few reviews report negative experiences, including rude interactions, while most recent notes remain favorable, suggesting the organization’s service delivery remains valued by many clients.</t>
  </si>
  <si>
    <t>accepted google identity: 14.2/15; review volume: 28.8/30; review consistency: 0.9/7; review freshness: 7.6/8; verified website: 14.2/15; confirmed irs record: 0.0/20; source corroboration: 3.3/5; Synthesis metadata: high (not part of numeric confidence)</t>
  </si>
  <si>
    <t>8401 Corporate Dr N, North Englewood, MD 20785</t>
  </si>
  <si>
    <t>(855) 493-4002</t>
  </si>
  <si>
    <t>HomeFree-USA</t>
  </si>
  <si>
    <t>Intake is available by phone or online form; virtual housing counseling is offered to clients regionally and nationwide; primary office location (address) is 8401 Corporate Drive, Suite 600, Hyattsville, MD 20785; main contact channel includes phone and online contact form on the website.</t>
  </si>
  <si>
    <t>Monday: 9 AM to 4 PM; Tuesday: 9 AM to 4 PM; Wednesday: 12 to 4 PM; Thursday: 9 AM to 4 PM; Friday: 9 AM to 4 PM; Saturday: Closed; Sunday: Closed</t>
  </si>
  <si>
    <t>HomeFree-USA provides HUD-approved housing counseling, foreclosure intervention and financial coaching, along with homeownership guidance. They offer renter-to-homebuyer pathways, homeowner support such as refinancing options and foreclosure prevention, and work through a broad affiliate network to expand access to housing and financial education.</t>
  </si>
  <si>
    <t>http://homefreeusa.org/</t>
  </si>
  <si>
    <t>Review data show generally positive experiences, with frequent praise for informative programs and practical homeownership guidance. There is at least one recent negative review describing a disappointing experience with fees and limited assistance, while other reviews note helpful staff and clear guidance; the organization appears responsive to feedback, as indicated by owner responses to several reviews. Overall, the review data suggest value for many clients, with mixed experiences reflected in the newest entries.</t>
  </si>
  <si>
    <t>accepted google identity: 14.2/15; review volume: 22.8/30; review consistency: 0.9/7; review freshness: 3.6/8; verified website: 14.2/15; confirmed irs record: 0.0/20; source corroboration: 3.3/5; Synthesis metadata: high (not part of numeric confidence)</t>
  </si>
  <si>
    <t>1460 Columbia Rd NW Apt C1, Washington, DC 20009</t>
  </si>
  <si>
    <t>(202) 328-9799</t>
  </si>
  <si>
    <t>Central American Resource Center (CARECEN)</t>
  </si>
  <si>
    <t>Intake by appointment; Call (202) 328-9799 or info@carecendc.org to schedule. Hours: Monday–Friday 9:00 AM–5:00 PM. Offices in DC and MD; DC address: 1460 Columbia Road NW, Suite C-1, Washington, DC 20009; MD address: 4930a Annapolis Rd, Bladensburg, MD 20710.</t>
  </si>
  <si>
    <t>CARECEN DC offers housing, citizenship and immigration-related legal assistance and support to immigrant communities in the Washington, DC area.</t>
  </si>
  <si>
    <t>http://www.carecendc.org/</t>
  </si>
  <si>
    <t>Google Maps review data show a mix of positive and negative experiences. Some reviewers praise staff assistance with immigration processes, while others report concerns about fees and responsiveness. The newest reviews are a mix of high praise and critical feedback, indicating a range of experiences among clients.</t>
  </si>
  <si>
    <t>accepted google identity: 14.2/15; review volume: 30.0/30; review consistency: 1.2/7; review freshness: 7.9/8; verified website: 14.2/15; confirmed irs record: 0.0/20; source corroboration: 3.3/5; Synthesis metadata: high (not part of numeric confidence)</t>
  </si>
  <si>
    <t>4719 Marlboro Pike, Capitol Heights, MD 20743</t>
  </si>
  <si>
    <t>(301) 735-0121</t>
  </si>
  <si>
    <t>Community Outreach &amp; Development CDC</t>
  </si>
  <si>
    <t>Community Outreach and Development CDC provides social services to neighbors, including food assistance, benefits access (such as SNAP and utility help), free IRS-certified tax preparation, a diaper hub, and advocacy and referrals to connect people with partner services in Prince George’s County, Maryland, and beyond.</t>
  </si>
  <si>
    <t>https://www.communityoutreachcdc.org/</t>
  </si>
  <si>
    <t>Review data show generally positive experiences with staff described as courteous and helpful; users report access to food, benefits help, and other services, and newest reviews largely align with this sentiment, though one recent 3-star review had no text. Overall, the feedback indicates steady, favorable service, with some variability in recency.</t>
  </si>
  <si>
    <t>accepted google identity: 14.2/15; review volume: 25.2/30; review consistency: 4.4/7; review freshness: 2.9/8; verified website: 14.2/15; confirmed irs record: 20.0/20; source corroboration: 5.0/5; Synthesis metadata: high (not part of numeric confidence)</t>
  </si>
  <si>
    <t>2530 Crystal Dr Ste 13161, Arlington, VA 22202</t>
  </si>
  <si>
    <t>(866) 878-6378</t>
  </si>
  <si>
    <t>Army Emergency Relief</t>
  </si>
  <si>
    <t>Eligibility includes Soldiers, retired Soldiers, and Army Families. Intake is via online application for assistance; in-person support is available at the Arlington, VA office.</t>
  </si>
  <si>
    <t>Monday: 7:30 AM to 3:30 PM; Tuesday: 7:30 AM to 3:30 PM; Wednesday: 7:30 AM to 3:30 PM; Thursday: 7:30 AM to 3:30 PM; Friday: 7:30 AM to 3:30 PM; Saturday: Closed; Sunday: Closed</t>
  </si>
  <si>
    <t>Army Emergency Relief provides financial assistance and educational scholarships to Soldiers, retirees, and Army Families, along with ongoing support and access to online assistance and zero-interest loan options.</t>
  </si>
  <si>
    <t>https://www.armyemergencyrelief.org/</t>
  </si>
  <si>
    <t>Review feedback was unavailable or too thin to summarize from the available text. The listing reports 23 public reviews and a high deterministic review quality score, but there is no actual review content retrieved to describe recurring themes or concerns.</t>
  </si>
  <si>
    <t>accepted google identity: 14.2/15; review volume: 17.6/30; review consistency: 0.0/7; review freshness: 0.0/8; verified website: 14.2/15; confirmed irs record: 0.0/20; source corroboration: 3.3/5; Synthesis metadata: high (not part of numeric confidence)</t>
  </si>
  <si>
    <t>812 Boundary St, Salisbury, MD 21801</t>
  </si>
  <si>
    <t>(410) 749-4239</t>
  </si>
  <si>
    <t>The Joseph House</t>
  </si>
  <si>
    <t>Monday: Closed; Tuesday: 9 AM to 11 PM; Wednesday: 9 AM to 11 PM; Thursday: 9 AM to 11 PM; Friday: Closed; Saturday: Closed; Sunday: Closed</t>
  </si>
  <si>
    <t>The Joseph House is a nonprofit charity in Salisbury, Maryland that offers direct assistance to people with low incomes, including housing and utility financial help, a food pantry and soup kitchen, a day shelter for people experiencing homelessness, and a long-term residential program for homeless men. The organization operates the Crisis Center and the Workshop in Salisbury through the Little Sisters of Jesus and Mary.</t>
  </si>
  <si>
    <t>http://thejosephhouse.org/</t>
  </si>
  <si>
    <t>Review data describe staff as warm, compassionate, and helpful, with many clients praising respectful treatment and practical support for housing, utilities, and food needs. A few reviews express frustration with eligibility rules or delays, including a 1-star post in mid-2026 that recounts a negative interaction; however, newer reviews continue to report positive experiences. Overall, the review data indicate generally favorable experiences despite some negative feedback in the recent past.</t>
  </si>
  <si>
    <t>accepted google identity: 13.3/15; review volume: 30.0/30; review consistency: 3.4/7; review freshness: 7.2/8; verified website: 13.3/15; confirmed irs record: 0.0/20; source corroboration: 3.3/5; Synthesis metadata: high (not part of numeric confidence)</t>
  </si>
  <si>
    <t>1785 Columbus Ave 6th floor, Boston, MA 02119</t>
  </si>
  <si>
    <t>(617) 427-8600</t>
  </si>
  <si>
    <t>BlueHub Capital</t>
  </si>
  <si>
    <t>BlueHub Capital is a nonprofit community development finance organization that provides foreclosure relief and financing for affordable housing, energy access, and citizenship-related initiatives through its programs BlueHub SUN, BlueHub Loan Fund, BlueHub Energy, and One Percent for America.</t>
  </si>
  <si>
    <t>http://www.bluehubcapital.org/</t>
  </si>
  <si>
    <t>Review data shows mixed feedback. Many clients describe compassionate staff and effective foreclosure-relief assistance, with several testimonials highlighting timely support and staff going above and beyond. However, there are some critical reviews raising concerns about pricing or refinancing challenges. The latest reviews continue to reflect a balance of positive and negative experiences, indicating that outcomes can vary by case.</t>
  </si>
  <si>
    <t>accepted google identity: 14.2/15; review volume: 30.0/30; review consistency: 0.2/7; review freshness: 5.2/8; verified website: 14.2/15; confirmed irs record: 0.0/20; source corroboration: 3.3/5; Synthesis metadata: medium (not part of numeric confidence)</t>
  </si>
  <si>
    <t>3725 National Dr Ste 160, Raleigh, NC 27612</t>
  </si>
  <si>
    <t>(866) 635-6414</t>
  </si>
  <si>
    <t>Consumer Education Services Inc. (CESI)</t>
  </si>
  <si>
    <t>Online appointments available; Onsite services offered. Appointments are recommended. Facilities provide wheelchair access (entrance, parking, restroom, seating).</t>
  </si>
  <si>
    <t>Monday: Closed; Tuesday: 9 AM to 5:30 PM; Wednesday: 9 AM to 5:30 PM; Thursday: 9 AM to 5:30 PM; Friday: 9 AM to 5:30 PM; Saturday: Closed; Sunday: Closed</t>
  </si>
  <si>
    <t>Non-profit debt-relief options, HUD-approved housing counseling and homebuyer education, and free financial education resources to help people manage debt and pursue homeownership.</t>
  </si>
  <si>
    <t>https://www.cesisolutions.org/</t>
  </si>
  <si>
    <t>Review data show generally positive experiences, with reviewers noting prompt, courteous service and ease of working with staff. The sampled feedback is older (most recent about 399 days ago), and newer reviews are sparse, but there are no clear recurring complaints in the available text. Overall, the available review data points to stable, favorable experiences.</t>
  </si>
  <si>
    <t>accepted google identity: 14.2/15; review volume: 21.6/30; review consistency: 5.4/7; review freshness: 3.7/8; verified website: 14.2/15; confirmed irs record: 0.0/20; source corroboration: 3.3/5; Synthesis metadata: high (not part of numeric confidence)</t>
  </si>
  <si>
    <t>6709 Whitestone Rd, Woodlawn, MD 21207</t>
  </si>
  <si>
    <t>(410) 602-4007</t>
  </si>
  <si>
    <t>Butler Medical Transport</t>
  </si>
  <si>
    <t>Butler Medical Transport provides non-emergency medical transportation and inter-facility transfer services, supported by a fleet of vehicles and a stated focus on patient-centered transportation.</t>
  </si>
  <si>
    <t>http://www.butlermt.com/</t>
  </si>
  <si>
    <t>Review data note concerns about driving safety and staff conduct, with multiple one-star comments in the sample. The newest review dates to May 2024, and the overall sentiment in the small sample remains negative, with little indication of improvement.</t>
  </si>
  <si>
    <t>accepted google identity: 14.2/15; review volume: 17.3/30; review consistency: 7.0/7; review freshness: 1.6/8; verified website: 14.2/15; confirmed irs record: 0.0/20; source corroboration: 3.3/5; Synthesis metadata: low (not part of numeric confidence)</t>
  </si>
  <si>
    <t>9711 Monroe St, Cockeysville, MD 21030</t>
  </si>
  <si>
    <t>(443) 280-1893</t>
  </si>
  <si>
    <t>Center for Community Inclusion, Inc.</t>
  </si>
  <si>
    <t>Center for Community Inclusion, Inc. provides community-based supports and employment-related services for adults with developmental disabilities in Maryland, including Meaningful Day employment programs, Personal Supports, Respite, and Supported Living, with services delivered in community settings rather than licensed facilities.</t>
  </si>
  <si>
    <t>https://www.centerforcommunityinclusion.org/</t>
  </si>
  <si>
    <t>Review data was unavailable or too thin; there are no public Google Maps reviews in the dataset. The organization is shown as operational with structured hours and a website describing its community-based services for adults with developmental disabilities.</t>
  </si>
  <si>
    <t>22219 York Road, Suite 400, Lutherville Timonium, MD 21093</t>
  </si>
  <si>
    <t>(410) 816-3670</t>
  </si>
  <si>
    <t>LifeKey Health</t>
  </si>
  <si>
    <t>LifeKey Health provides nurse-led in-home health care and support services, including personal care, skilled nursing, memory care programs, respite care, housekeeping, and caregiver matching, with 24/7 client support to help people stay safely at home.</t>
  </si>
  <si>
    <t>https://lifekeyhealth.com/</t>
  </si>
  <si>
    <t>Review data consistently highlights positive experiences, with families praising staff expertise, memory and neurocognitive programs, and timely start of care. Some feedback mentions caregiver fit or turnover, but responses from LifeKey Health appear to address concerns, and the most recent reviews continue to express satisfaction with the care received.</t>
  </si>
  <si>
    <t>accepted google identity: 14.2/15; review volume: 26.6/30; review consistency: 5.7/7; review freshness: 6.9/8; verified website: 14.2/15; confirmed irs record: 0.0/20; source corroboration: 3.3/5; Synthesis metadata: high (not part of numeric confidence)</t>
  </si>
  <si>
    <t>1930 Greenspring Dr Ste. 300, Timonium, MD 21093</t>
  </si>
  <si>
    <t>410-323-0135</t>
  </si>
  <si>
    <t>The Red Devils</t>
  </si>
  <si>
    <t>Patients are referred by hospital medical staff or social workers to approved partner providers; services funded at no charge to eligible Maryland patients.</t>
  </si>
  <si>
    <t>The Red Devils fund and coordinate treatment-support services for breast cancer patients and their families in Maryland, partnering with hospitals and providers to deliver support at no charge to eligible patients.</t>
  </si>
  <si>
    <t>https://www.the-red-devils.org/</t>
  </si>
  <si>
    <t>There were no usable review texts available in the gathered sources. The listing is operational and website and IRS filings corroborate ongoing activity, and cross-source corroboration supports the organization’s identity and mission.</t>
  </si>
  <si>
    <t>accepted google identity: 14.9/15; review volume: 0.0/30; review consistency: 0.0/7; review freshness: 0.0/8; verified website: 14.9/15; confirmed irs record: 20.0/20; source corroboration: 5.0/5; Synthesis metadata: high (not part of numeric confidence)</t>
  </si>
  <si>
    <t>(410) 887-2243</t>
  </si>
  <si>
    <t>Baltimore County Department of Health</t>
  </si>
  <si>
    <t>Baltimore County Department of Health provides public health services to residents and specialty groups.</t>
  </si>
  <si>
    <t>https://www.baltimorecountymd.gov/departments/health/health-services/</t>
  </si>
  <si>
    <t>Review data indicate frequent negative experiences; reviewers most often mention poor customer service and miscommunication. The newest reviews mirror earlier concerns, with ongoing complaints about responsiveness and effectiveness. Overall, the available review data suggest a pattern of dissatisfaction rather than consistent positive experiences.</t>
  </si>
  <si>
    <t>accepted google identity: 13.3/15; review volume: 22.8/30; review consistency: 7.0/7; review freshness: 5.9/8; verified website: 13.3/15; confirmed irs record: 0.0/20; source corroboration: 3.3/5; Synthesis metadata: low (not part of numeric confidence)</t>
  </si>
  <si>
    <t>3419 Greenmount Ave, Baltimore, MD 21218</t>
  </si>
  <si>
    <t>(410) 889-8000</t>
  </si>
  <si>
    <t>Full Circle by Vehicles for Change</t>
  </si>
  <si>
    <t>An automotive service center offering auto repair and maintenance for various makes and models, sale of quality pre-owned vehicles, and vehicle donation programs, with workforce training supported by its mission.</t>
  </si>
  <si>
    <t>http://www.fullcircleservicecenter.com/?utm_campaign=gmb</t>
  </si>
  <si>
    <t>Review data show a generally positive experience, with many customers praising friendly staff, transparent communication, and the mission-driven focus of the program. Some customers report delays or gaps in follow-up and parts availability, and a few reviews note less welcoming interactions at front desks. The newest reviews continue to reflect overall satisfaction, suggesting recent experiences align with the positive trend, though isolated issues remain.</t>
  </si>
  <si>
    <t>accepted google identity: 13.4/15; review volume: 30.0/30; review consistency: 3.0/7; review freshness: 7.7/8; verified website: 13.4/15; confirmed irs record: 0.0/20; source corroboration: 3.3/5; Synthesis metadata: high (not part of numeric confidence)</t>
  </si>
  <si>
    <t>9920 Franklin Square Dr Ste 100, Nottingham, MD 21236</t>
  </si>
  <si>
    <t>(410) 646-8627</t>
  </si>
  <si>
    <t>Greater Baltimore Homecare LLC</t>
  </si>
  <si>
    <t>In-home, non-medical caregiving services for seniors and physically challenged individuals, including personal care, companionship, and support such as medication management. The provider emphasizes at-home care and supports options like private pay and Medicaid/homecare arrangements.</t>
  </si>
  <si>
    <t>https://greaterbaltimorehomecare.com/</t>
  </si>
  <si>
    <t>Review data show a strong positive signal: a 5-star rating in the available sample and 15 total public reviews. The newest sample reviews are from 2025, but the textual content of the reviews isn’t provided here, so recurring themes can’t be drawn from the text. The listing’s accessibility and hours appear consistent with the evidence.</t>
  </si>
  <si>
    <t>accepted google identity: 14.2/15; review volume: 18.9/30; review consistency: 7.0/7; review freshness: 4.6/8; verified website: 14.2/15; confirmed irs record: 0.0/20; source corroboration: 3.3/5; Synthesis metadata: high (not part of numeric confidence)</t>
  </si>
  <si>
    <t>49 Shadowridge Ct, Olney, MD 20832</t>
  </si>
  <si>
    <t>(301) 938-6702</t>
  </si>
  <si>
    <t>Radiocw Healthcare</t>
  </si>
  <si>
    <t>Radiocw Healthcare provides in-home, non-medical care and staffing solutions, including in-home care, companionship, and personal care, as well as administrative staffing and transportation for healthcare needs; they also assist with hospital discharges to home or to a facility.</t>
  </si>
  <si>
    <t>https://radiocwstaffing.com/</t>
  </si>
  <si>
    <t>Review data shows generally positive feedback from a small sample of reviews, with multiple 5-star notes about staff and care in the available sample. The newest reviews in the sample are several months old, so current performance could vary, but overall sentiment remains favorable. The review data quality score is high, though the limited sample size means this should be interpreted with some caution.</t>
  </si>
  <si>
    <t>accepted google identity: 14.2/15; review volume: 22.1/30; review consistency: 7.0/7; review freshness: 4.6/8; verified website: 14.2/15; confirmed irs record: 0.0/20; source corroboration: 3.3/5; Synthesis metadata: high (not part of numeric confidence)</t>
  </si>
  <si>
    <t>481 N Frederick Ave Ste 410, Gaithersburg, MD 20877</t>
  </si>
  <si>
    <t>(301) 691-5222</t>
  </si>
  <si>
    <t>Affectionate Touch Home Care LLC</t>
  </si>
  <si>
    <t>In-home, non-medical care services provided by Affectionate Touch Home Care LLC in Gaithersburg, MD, including Medicaid-based care options and family caregiver programs as described on their site.</t>
  </si>
  <si>
    <t>http://affectionatetouchhc.com/</t>
  </si>
  <si>
    <t>Review data shows consistently positive feedback, highlighting compassionate, responsive staff and helpful follow-up. The newest review entries date to 2025 and depict positive experiences with staff and ongoing support, while responses from administration suggest engagement with clients. Data on reviews is somewhat older, so readers should verify current performance before relying on it for decision-making.</t>
  </si>
  <si>
    <t>accepted google identity: 14.2/15; review volume: 26.6/30; review consistency: 7.0/7; review freshness: 3.5/8; verified website: 14.2/15; confirmed irs record: 0.0/20; source corroboration: 3.3/5; Synthesis metadata: high (not part of numeric confidence)</t>
  </si>
  <si>
    <t>1300 Wilson Blvd Ste 600, Arlington, VA 22209</t>
  </si>
  <si>
    <t>(301) 978-9855</t>
  </si>
  <si>
    <t>The ALS Association DC/MD/VA Chapter</t>
  </si>
  <si>
    <t>The ALS Association DC/MD/VA Chapter provides resources and programs to support people affected by ALS, including access to care resources, certified centers and clinics, insurance navigation, and initiatives that fund ALS research.</t>
  </si>
  <si>
    <t>http://www.als.org/</t>
  </si>
  <si>
    <t>There is little usable review text available, so review data cannot be summarized. The listing is operational and identity is supported by an official website and corroborating listing data, but public feedback is too thin to draw conclusions about user experiences.</t>
  </si>
  <si>
    <t>401 N Washington St Ste 430, Rockville, MD 20850</t>
  </si>
  <si>
    <t>(301) 279-7202</t>
  </si>
  <si>
    <t>Aplastic Anemia &amp; MDS International</t>
  </si>
  <si>
    <t>Helpline information and referral service open to anyone affected by bone marrow failure diseases; not a clinical or treatment facility. Hours: 8:00 AM–4:00 PM Eastern Time, Monday–Friday. Call 1-800-747-2820, option 2, or contact via the website. The HelpLine provides information, emotional support, guidance, and referrals to resources; online chat is available during staffed hours.</t>
  </si>
  <si>
    <t>Aplastic Anemia &amp; MDS International Foundation (AAMDSIF) is a patient-focused nonprofit that supports people affected by aplastic anemia, myelodysplastic syndromes (MDS), and paroxysmal nocturnal hemoglobinuria (PNH). It provides information, education for patients and professionals, advocacy, peer support, and referrals, and operates online resources and a help line to connect people with appropriate resources.</t>
  </si>
  <si>
    <t>https://www.aamds.org/</t>
  </si>
  <si>
    <t>Review data is very sparse and includes at least one negative comment about transparency and independence. The newest review in the sample is from several years ago, and there are few other public reviews, so it’s hard to gauge current performance from user feedback. The listing appears operational and offers a helpline and standard hours, but readers should interpret the limited review data cautiously.</t>
  </si>
  <si>
    <t>accepted google identity: 14.2/15; review volume: 10.1/30; review consistency: 7.0/7; review freshness: 1.1/8; verified website: 14.2/15; confirmed irs record: 20.0/20; source corroboration: 5.0/5; Synthesis metadata: high (not part of numeric confidence)</t>
  </si>
  <si>
    <t>4 South Suite, 9 McCain Dr, Frederick, MD 21703</t>
  </si>
  <si>
    <t>(240) 831-7881</t>
  </si>
  <si>
    <t>The Treasured haven Inc</t>
  </si>
  <si>
    <t>The Treasured Haven Inc provides disability services and support for individuals with developmental and intellectual disabilities, with a person-centered care approach and services such as personal supports, transportation, and community development.</t>
  </si>
  <si>
    <t>https://www.thetreasuredhaven.org/</t>
  </si>
  <si>
    <t>No usable review data is available in the provided sources. The listing is marked OPERATIONAL and the official website is verified, with clear, published hours. Because there is no consumer-review text to summarize, we cannot convey user experiences, and reliability rests on the site- and listing-level information rather than reviews.</t>
  </si>
  <si>
    <t>11921 Rockville Pike, Rockville, MD 20852</t>
  </si>
  <si>
    <t>(800) 638-8299</t>
  </si>
  <si>
    <t>American Kidney Fund</t>
  </si>
  <si>
    <t>American Kidney Fund (AKF) is a national nonprofit that fights kidney disease through education, patient resources, and financial assistance programs. The official site describes programs such as the Safety Net Program that provides grants to dialysis and transplant patients, and it directs users to resources for patients, caregivers, and professionals.</t>
  </si>
  <si>
    <t>https://kidneyfund.org/</t>
  </si>
  <si>
    <t>Review data are extremely thin: there is one review with a perfect rating, but the text is not shown, so no patterns can be described. The official website confirms a broad set of kidney-health resources and patient-support programs, reinforcing that AKF is an active, ongoing organization. Overall, the accessible review data neither confirms nor contradicts user experiences, and more recent feedback would help assessment.</t>
  </si>
  <si>
    <t>accepted google identity: 14.2/15; review volume: 5.0/30; review consistency: 7.0/7; review freshness: 2.2/8; verified website: 14.2/15; confirmed irs record: 20.0/20; source corroboration: 5.0/5; Synthesis metadata: high (not part of numeric confidence)</t>
  </si>
  <si>
    <t>110 Maryland Ave NE, Washington, DC 20002</t>
  </si>
  <si>
    <t>(202) 546-1127</t>
  </si>
  <si>
    <t>Travelers Aid International</t>
  </si>
  <si>
    <t>Eligibility and intake vary by location and funding. Services and hours vary by program and site; some programs provide one-way transportation tickets to eligible travelers in certain areas (e.g., Washington, DC metro area). For more information, contact the referenced program numbers and consult the organization’s site for location-specific details.</t>
  </si>
  <si>
    <t>Monday: 9 AM to 5:30 PM; Tuesday: 9 AM to 5:30 PM; Wednesday: 9 AM to 5:30 PM; Thursday: 9 AM to 5:30 PM; Friday: 9 AM to 5:30 PM; Saturday: 9 AM to 5:30 PM; Sunday: 9 AM to 5 PM</t>
  </si>
  <si>
    <t>Travelers Aid International coordinates direct, nonprofit services to help people in transit who are in distress. Through volunteers and member organizations, they staff information and assistance at transportation hubs (such as airports and train stations), offering directions, meet-and-assist, translation, and referrals, and coordinating transportation and housing-related support when available. Eligibility and exact services vary by location and funding, with some programs providing targeted assistance (e.g., tickets) based on eligibility and local needs.</t>
  </si>
  <si>
    <t>http://www.travelersaid.org/</t>
  </si>
  <si>
    <t>The available review data is very limited and mostly negative, with two recent one-star reviews mentioning poor responsiveness. There is one staff response to a prior review, but the overall signal is that responsiveness may be inconsistent. Given the small sample and the age of the newest review, the reliability of current performance is uncertain and should be interpreted with caution.</t>
  </si>
  <si>
    <t>accepted google identity: 13.4/15; review volume: 8.5/30; review consistency: 7.0/7; review freshness: 2.8/8; verified website: 13.4/15; confirmed irs record: 0.0/20; source corroboration: 3.3/5; Synthesis metadata: low (not part of numeric confidence)</t>
  </si>
  <si>
    <t>1550 Crystal Dr Apt 809, Arlington, VA 22202</t>
  </si>
  <si>
    <t>(703) 972-2650</t>
  </si>
  <si>
    <t>Air Force Aid Society</t>
  </si>
  <si>
    <t>Air Force Aid Society provides emergency financial assistance, education support, and community programs for Airmen, Guardians, and their families.</t>
  </si>
  <si>
    <t>http://www.afas.org/</t>
  </si>
  <si>
    <t>Review data from Google Maps show mixed experiences, with several positive comments about AFAS's support for service members and families, and a number of negative reports about denial or perceived poor service. The most recent reviews appear mixed in sentiment, suggesting ongoing variability in experiences. Overall, the feedback indicates both appreciation for assistance and frustration in some cases.</t>
  </si>
  <si>
    <t>accepted google identity: 13.4/15; review volume: 27.0/30; review consistency: 0.1/7; review freshness: 5.9/8; verified website: 13.4/15; confirmed irs record: 0.0/20; source corroboration: 3.3/5; Synthesis metadata: medium (not part of numeric confidence)</t>
  </si>
  <si>
    <t>33 W Franklin St Ste 201, Room 225, Hagerstown, MD 21740</t>
  </si>
  <si>
    <t>(202) 400-8404</t>
  </si>
  <si>
    <t>Royal Options,Inc</t>
  </si>
  <si>
    <t>Monday: 10 AM to 6 PM; Tuesday: 10 AM to 6 PM; Wednesday: 10:30 AM to 6 PM; Thursday: 10 AM to 6 PM; Friday: 10 AM to 6 PM; Saturday: Closed; Sunday: Closed</t>
  </si>
  <si>
    <t>Royal Options Inc. provides services to individuals with intellectual and developmental disabilities, including community living (group home), respite care, personal support, nursing care, and transportation.</t>
  </si>
  <si>
    <t>https://www.royaloptionsinc.com/</t>
  </si>
  <si>
    <t>Review data are sparse but consistently positive. The sole available review praises the organization and recommends it for individuals with developmental challenges. However, the review sample is small and not recent (the newest review is about 929 days ago), so it’s difficult to gauge current performance or identify trends.</t>
  </si>
  <si>
    <t>224 E Main St, Elkton, MD 21921</t>
  </si>
  <si>
    <t>443-406-6709</t>
  </si>
  <si>
    <t>American Safety Options Maryland</t>
  </si>
  <si>
    <t>Monday: 9 AM to 5 AM; Tuesday: 9 AM to 5 PM; Wednesday: 9 AM to 5 PM; Thursday: 9 AM to 5 PM; Friday: 9 AM to 5 PM; Saturday: Closed; Sunday: Closed</t>
  </si>
  <si>
    <t>American Safety Options Maryland provides residential and community-based support for individuals with intellectual and developmental disabilities in Elkton, Cecil County, and surrounding areas. They offer person-centered care, life-skills training, and community integration to help adults and young adults live safely, independently, and with dignity.</t>
  </si>
  <si>
    <t>Review data for this listing is unavailable or too thin to draw conclusions about quality or reliability. The listing indicates the organization is operational and lists hours, but no customer reviews or testimonial content are present to reflect experiences. Because verifiable user feedback is lacking, we cannot confirm consistent performance or satisfaction at this time.</t>
  </si>
  <si>
    <t>accepted google identity: 13.3/15; review volume: 0.0/30; review consistency: 0.0/7; review freshness: 0.0/8; verified website: 0.0/15; confirmed irs record: 0.0/20; source corroboration: 1.7/5; Synthesis metadata: insufficient_evidence (not part of numeric confidence)</t>
  </si>
  <si>
    <t>101 W Main St, Norfolk, VA 23510</t>
  </si>
  <si>
    <t>(757) 318-9174</t>
  </si>
  <si>
    <t>Mercy Medical Angels</t>
  </si>
  <si>
    <t>Eligibility information and required documentation are described on the Mercy Medical Angels website (Eligibility page). Intake involves submitting trip details and the medical provider’s contact information to coordinate travel.</t>
  </si>
  <si>
    <t>Monday: 8:30 AM to 5:30 PM; Tuesday: 8:30 AM to 5:30 PM; Wednesday: 8:30 AM to 5:30 PM; Thursday: 8:30 AM to 5:30 PM; Friday: 8:30 AM to 12 PM; Saturday: Closed; Sunday: Closed</t>
  </si>
  <si>
    <t>Mercy Medical Angels coordinates free transportation to medical care by arranging travel options such as volunteer-piloted flights, ground transportation, and gas cards or airline tickets so patients can attend appointments.</t>
  </si>
  <si>
    <t>http://mercymedical.org/</t>
  </si>
  <si>
    <t>Review data show recurring positive experiences, with gratitude for access to transportation to care and relief from travel barriers. There are some complaints about gas-card coverage and travel-cost reimbursements, and the most recent reviews echo both appreciation and concerns. Overall, the latest review text indicates continued value and ongoing responsiveness, with persistent themes of generosity and support.</t>
  </si>
  <si>
    <t>accepted google identity: 14.2/15; review volume: 30.0/30; review consistency: 0.8/7; review freshness: 7.9/8; verified website: 14.2/15; confirmed irs record: 0.0/20; source corroboration: 3.3/5; Synthesis metadata: high (not part of numeric confidence)</t>
  </si>
  <si>
    <t>19 W 56th St, New York, NY 10019</t>
  </si>
  <si>
    <t>(800) 227-2345</t>
  </si>
  <si>
    <t>American Cancer Society</t>
  </si>
  <si>
    <t>Eligibility is described for Road To Recovery: patients must be traveling to a cancer-related medical appointment; other eligibility criteria may apply (e.g., a caregiver may need to accompany a patient who cannot walk or is under 18).</t>
  </si>
  <si>
    <t>American Cancer Society provides cancer information, resources, and patient-facing support services, including a Road To Recovery transportation program that offers free rides to cancer-related medical appointments, along with opportunities to volunteer and engage in donor/fundraising activities.</t>
  </si>
  <si>
    <t>http://www.cancer.org/</t>
  </si>
  <si>
    <t>Review data is very limited: the listing shows a single public review with no detail about the review content, and no other platforms provide user reviews. Website attribution is verified and supports published information on services like Road To Recovery, but with such thin review data, it is hard to draw conclusions about user experiences or satisfaction. Overall, review feedback was unavailable or too thin to draw actionable insights.</t>
  </si>
  <si>
    <t>accepted google identity: 14.2/15; review volume: 3.8/30; review consistency: 0.0/7; review freshness: 0.0/8; verified website: 14.2/15; confirmed irs record: 0.0/20; source corroboration: 3.3/5; Synthesis metadata: insufficient_evidence (not part of numeric confidence)</t>
  </si>
  <si>
    <t>4849 N Milwaukee Ave #700, Chicago, IL 60630</t>
  </si>
  <si>
    <t>(800) 786-2929</t>
  </si>
  <si>
    <t>National Runaway Safeline</t>
  </si>
  <si>
    <t>Free, confidential crisis support via phone, text, and live chat; no charge to contact or access online resources; helps locate local and national resources; intake/eligibility requirements are not specified in the sources.</t>
  </si>
  <si>
    <t>National Runaway Safeline provides crisis support for youth in crisis, including a 24/7 confidential crisis hotline, text and live chat options, and help connecting youth and families to housing, counseling, and other youth services.</t>
  </si>
  <si>
    <t>https://www.1800runaway.org/</t>
  </si>
  <si>
    <t>Review data show overwhelmingly positive experiences with rapid, compassionate crisis support and effective connections to resources for youth across states. One recent review describes life-changing help and quick return home for a youth, and others note responsiveness and empathy. Overall, the available review data points to consistent, favorable impressions with no clear negative trend in the sample.</t>
  </si>
  <si>
    <t>accepted google identity: 14.2/15; review volume: 19.9/30; review consistency: 7.0/7; review freshness: 6.3/8; verified website: 14.2/15; confirmed irs record: 0.0/20; source corroboration: 3.3/5; Synthesis metadata: high (not part of numeric confidence)</t>
  </si>
  <si>
    <t>107 Mill Plain Rd Ste 204, Danbury, CT 06811</t>
  </si>
  <si>
    <t>(914) 328-1313</t>
  </si>
  <si>
    <t>Corporate Angel Network</t>
  </si>
  <si>
    <t>Eligibility: cancer patients traveling for treatment (or bone marrow/stem cell donors/recipients); Travel within the continental United States; Medically stable and able to travel safely without medical assistance; Must be able to walk up and down aircraft stairs independently; Real ID or passport required; No cost to patients; Flight requests should be submitted at least 10 business days before the appointment; Travel depends on corporate/partner aircraft availability; Luggage limited to one carry-on and one checked bag; Flights cannot be guaranteed.</t>
  </si>
  <si>
    <t>Monday: Closed; Tuesday: 9 AM to 5 PM; Wednesday: 9 AM to 5 PM; Thursday: 9 AM to 5 PM; Friday: 9 AM to 4 PM; Saturday: Closed; Sunday: Closed</t>
  </si>
  <si>
    <t>Corporate Angel Network provides air transportation for cancer patients traveling to treatment centers across the United States, arranging seats on business or private aircraft at no cost to patients.</t>
  </si>
  <si>
    <t>https://www.corpangelnetwork.org/</t>
  </si>
  <si>
    <t>The available review data show a small number of highly positive reviews, suggesting that users value CAN’s travel-access support. However, with only two publicly available reviews and no recent activity in the fetched sample, it is difficult to generalize about current performance.</t>
  </si>
  <si>
    <t>10995 Owings Mills Blvd #214, Owings Mills, MD 21117</t>
  </si>
  <si>
    <t>(410) 552-0773</t>
  </si>
  <si>
    <t>Cedar Ridge Counseling Centers, LLC</t>
  </si>
  <si>
    <t>By appointment only; intake by appointment; appointment is required and recommended. Wheelchair accessible entrance, parking, restroom, and seating are available.</t>
  </si>
  <si>
    <t>Cedar Ridge Counseling Centers provides mental health care, including mental health counseling, medication management, and massage therapy, delivered in person at Owings Mills, MD, with telehealth options for medication management.</t>
  </si>
  <si>
    <t>https://www.cedarridgecounseling.com/</t>
  </si>
  <si>
    <t>Review feedback is too thin to draw meaningful conclusions: the public-review text is absent in the latest samples, though the available rating data indicate positive sentiment in a very small sample. The listing also shows the service is operational and the website is verified, which supports ongoing availability for potential callers.</t>
  </si>
  <si>
    <t>accepted google identity: 14.2/15; review volume: 17.0/30; review consistency: 7.0/7; review freshness: 4.3/8; verified website: 14.2/15; confirmed irs record: 0.0/20; source corroboration: 3.3/5; Synthesis metadata: medium (not part of numeric confidence)</t>
  </si>
  <si>
    <t>139 N Main St, Bel Air, MD 21014</t>
  </si>
  <si>
    <t>(410) 650-9919</t>
  </si>
  <si>
    <t>Life Matters Wellness</t>
  </si>
  <si>
    <t>Monday: 9 AM to 5 PM; Tuesday: 8 AM to 8 PM; Wednesday: 10 AM to 7 PM; Thursday: 8 AM to 6 PM; Friday: 8 AM to 4 PM; Saturday: Closed; Sunday: Closed</t>
  </si>
  <si>
    <t>In-person mental health counseling services offered by Life Matters Wellness (Counselor listing on Google Maps).</t>
  </si>
  <si>
    <t>https://www.lifematterswellness.com/contact-10</t>
  </si>
  <si>
    <t>Review data show mostly positive feedback with reviewers describing compassionate, professional care and helpful guidance. A few older reviews mention difficulties reaching the office or delayed responses. The most recent reviews continue to reflect positive experiences, suggesting no major shift in perception.</t>
  </si>
  <si>
    <t>accepted google identity: 14.2/15; review volume: 23.5/30; review consistency: 1.2/7; review freshness: 2.6/8; verified website: 14.2/15; confirmed irs record: 0.0/20; source corroboration: 3.3/5; Synthesis metadata: medium (not part of numeric confidence)</t>
  </si>
  <si>
    <t>110 Painters Mill Rd Ste 310, Owings Mills, MD 21117</t>
  </si>
  <si>
    <t>(443) 657-7952</t>
  </si>
  <si>
    <t>Productive Lives PRP</t>
  </si>
  <si>
    <t>Monday: 9 AM to 12 AM; Tuesday: 9 AM to 12 AM; Wednesday: 9 AM to 12 AM; Thursday: 9 AM to 12 AM; Friday: 9 AM to 12 AM; Saturday: 9 AM to 2 PM; Sunday: 10 AM to 6 PM</t>
  </si>
  <si>
    <t>Productive Lives Mental Health provides behavioral health services, including psychiatric rehabilitation, outpatient mental health care, substance use treatment, and partial hospitalization programs.</t>
  </si>
  <si>
    <t>https://www.productivelivesprp.org/</t>
  </si>
  <si>
    <t>Review data shows mixed experiences. Several reviewers describe positive interactions with counselors and staff, but one recent 1-star review expresses strong dissatisfaction. With an overall rating around 4.0 and newest feedback dating several months back, readers should weigh both the positive experiences and the negative anecdote.</t>
  </si>
  <si>
    <t>accepted google identity: 14.2/15; review volume: 13.7/30; review consistency: 0.9/7; review freshness: 5.8/8; verified website: 14.2/15; confirmed irs record: 20.0/20; source corroboration: 5.0/5; Synthesis metadata: high (not part of numeric confidence)</t>
  </si>
  <si>
    <t>9419 Common Brook Rd #208, Owings Mills, MD 21117</t>
  </si>
  <si>
    <t>(410) 864-0211</t>
  </si>
  <si>
    <t>Institute for HEALing</t>
  </si>
  <si>
    <t>Appointment required; ADA accessible; Maryland licensure.</t>
  </si>
  <si>
    <t>Monday: 9 AM to 8 PM; Tuesday: 9 AM to 8 PM; Wednesday: 9 AM to 8 PM; Thursday: 9 AM to 8 PM; Friday: 9 AM to 8 PM; Saturday: 9 AM to 4 PM; Sunday: Closed</t>
  </si>
  <si>
    <t>Institute for HEALing (iHEAL) is a Maryland-based mental-health provider offering therapy, medication management, ADHD evaluations, and addiction counseling across multiple divisions, with a focus on holistic and culturally sensitive care and accessible services.</t>
  </si>
  <si>
    <t>https://www.myiheal.com/</t>
  </si>
  <si>
    <t>Review data describe a generally positive perception of iHEAL’s therapy staff and welcoming environment, with several reviewers noting compassionate clinicians and a supportive atmosphere. A minority of reviews raise concerns about front-desk responsiveness and billing communications. The most recent reviews show mixed experiences but tend to align with the overall positive sentiment, suggesting ongoing improvements while some issues persist.</t>
  </si>
  <si>
    <t>accepted google identity: 14.2/15; review volume: 30.0/30; review consistency: 1.1/7; review freshness: 7.3/8; verified website: 14.2/15; confirmed irs record: 0.0/20; source corroboration: 3.3/5; Synthesis metadata: high (not part of numeric confidence)</t>
  </si>
  <si>
    <t>1643 Liberty Rd Ste 203, Eldersburg, MD 21784</t>
  </si>
  <si>
    <t>(410) 740-8066</t>
  </si>
  <si>
    <t>Congruent Counseling Services</t>
  </si>
  <si>
    <t>Intake is via the contact form on the website or by calling and leaving a voice message.</t>
  </si>
  <si>
    <t>Congruent Counseling Services provides mental health counseling and related services, including depression and grief counseling, cognitive behavioral therapy (CBT), anger management, suicide prevention, substance use treatment and addictions counseling, and other mental health services such as DBT and psychiatric treatment.</t>
  </si>
  <si>
    <t>https://congruentcounseling.com/contact-us/eldersburg-sykesville/</t>
  </si>
  <si>
    <t>The Google Maps listing shows generally positive feedback with a recent review praising a counselor's ability to connect with a client and teach coping skills. The overall review sample is small (3 public reviews, with only one newest comment at 5 stars), so while the available feedback is favorable, it reflects a limited set of experiences.</t>
  </si>
  <si>
    <t>accepted google identity: 14.2/15; review volume: 8.9/30; review consistency: 7.0/7; review freshness: 1.4/8; verified website: 14.2/15; confirmed irs record: 0.0/20; source corroboration: 3.3/5; Synthesis metadata: high (not part of numeric confidence)</t>
  </si>
  <si>
    <t>9637 Liberty Rd Ste G, Randallstown, MD 21133</t>
  </si>
  <si>
    <t>(443) 405-6174</t>
  </si>
  <si>
    <t>Evergreen Recovery</t>
  </si>
  <si>
    <t>Walk-ins accepted; visit during normal business hours.</t>
  </si>
  <si>
    <t>Evergreen Recovery runs a community-based substance-use and mental-health treatment program offering inpatient/outpatient care, including Partial Hospitalization (PHP), Intensive Outpatient (IOP), and Outpatient (OP), plus DUI/DWI education and an Outpatient Mental Health Clinic with therapy, medication management, and evaluations. Walk-ins are accepted during normal business hours.</t>
  </si>
  <si>
    <t>https://evergreenrecovers.com/</t>
  </si>
  <si>
    <t>Review data show consistently positive feedback about Evergreen Recovery, with reviewers describing caring staff, supportive recovery-oriented services, and help with housing and employment. The most recent and multiple reviews emphasize ongoing encouragement and successful program experiences, and there is no contrasting negative trend in the sample provided.</t>
  </si>
  <si>
    <t>8600 Lasalle Rd Ste 634, Towson, MD 21286</t>
  </si>
  <si>
    <t>(410) 356-2007</t>
  </si>
  <si>
    <t>Gifts LLC</t>
  </si>
  <si>
    <t>Insurances accepted from a wide range of providers; flexible payment options. Through a contract with Baltimore County Public Schools, they provide school-based mental health services. Intake/referral details are not explicitly stated in the sources.</t>
  </si>
  <si>
    <t>Monday: 9 AM to 7 PM; Tuesday: 9 AM to 7 PM; Wednesday: 9 AM to 7 PM; Thursday: 9 AM to 5 PM; Friday: 9 AM to 4 PM; Saturday: 10 AM to 1 PM; Sunday: Closed</t>
  </si>
  <si>
    <t>GIFTS Mental Health Clinic offers in-person mental health therapy for children, adolescents, and adults, including individual, couples, family, and group therapy. They also provide school-based mental health services through Baltimore County Public Schools, as well as psychiatric assessments and medication management, and in-person evaluations at its Towson Owings Mills offices.</t>
  </si>
  <si>
    <t>http://giftspsych.com/</t>
  </si>
  <si>
    <t>Review data shows a mix of experiences. Clinicians are frequently praised for professionalism and patient-centered care, while several reviewers report frustrating administrative and billing interactions. The newest review is positive about clinical staff, but a number of older reviews express ongoing dissatisfaction. Overall, the feedback is mixed and not strongly skewed in one direction.</t>
  </si>
  <si>
    <t>accepted google identity: 14.2/15; review volume: 19.2/30; review consistency: 0.9/7; review freshness: 4.5/8; verified website: 14.2/15; confirmed irs record: 0.0/20; source corroboration: 3.3/5; Synthesis metadata: high (not part of numeric confidence)</t>
  </si>
  <si>
    <t>531 Old Westminster Pike, Westminster, MD 21157</t>
  </si>
  <si>
    <t>(410) 220-0720</t>
  </si>
  <si>
    <t>MATClinics</t>
  </si>
  <si>
    <t>Intakes can be scheduled 24/7 based on patient needs. Accepts Maryland Medicaid, Medicare Part B, and CareFirst BlueCross BlueShield. Services available in-person and via telemedicine. Location: 531 Old Westminster Pike, Westminster, MD 21157; no explicit referral requirements stated.</t>
  </si>
  <si>
    <t>Monday: 8 AM to 6 PM; Tuesday: 8 AM to 8 PM; Wednesday: 8 AM to 8 PM; Thursday: 8 AM to 8 PM; Friday: 8 AM to 6 PM; Saturday: 8 AM to 3 PM; Sunday: Closed</t>
  </si>
  <si>
    <t>MATClinics Westminster is an outpatient addiction treatment center offering medication-assisted treatment (Suboxone, Sublocade, and Vivitrol) along with psychiatry, individual and group counseling, and intensive outpatient programs. The Westminster location provides case management and supports access via in-person visits and telemedicine, with intake scheduling available flexibly; the center accepts Maryland Medicaid, Medicare Part B, and CareFirst BlueCross BlueShield.</t>
  </si>
  <si>
    <t>https://www.matclinics.com/locations/westminster-md</t>
  </si>
  <si>
    <t>Review data indicate consistently positive experiences in the reviews, highlighting kind, compassionate, and responsive staff, plus timely prescription processing. The newest reviews continue on this positive trajectory, though a small number of recent comments note occasional issues with after-hours phone assistance; staff responses to concerns appear prompt and ongoing.</t>
  </si>
  <si>
    <t>accepted google identity: 13.5/15; review volume: 30.0/30; review consistency: 5.5/7; review freshness: 7.8/8; verified website: 13.5/15; confirmed irs record: 0.0/20; source corroboration: 3.3/5; Synthesis metadata: high (not part of numeric confidence)</t>
  </si>
  <si>
    <t>265 E Main St Ste c, Westminster, MD 21157</t>
  </si>
  <si>
    <t>(410) 751-6600</t>
  </si>
  <si>
    <t>On Our Own Of Carroll County</t>
  </si>
  <si>
    <t>Wheelchair accessible entrance; Wheelchair accessible parking lot; Wheelchair accessible restroom</t>
  </si>
  <si>
    <t>Monday: 8 AM to 3 PM; Tuesday: 8 AM to 3 PM; Wednesday: 8 AM to 3 PM; Thursday: 8 AM to 3 PM; Friday: 8 AM to 3 PM; Saturday: Closed; Sunday: 8 AM to 3 PM</t>
  </si>
  <si>
    <t>On Our Own of Carroll County operates as a peer‑support wellness and recovery center focused on mental health and substance-use recovery, offering peer support and education to empower individuals and reduce stigma.</t>
  </si>
  <si>
    <t>Review feedback was unavailable. There are no published user reviews in the listing to summarize experiences, so reader-facing reliability cannot be assessed from review data. The listing shows operational status and structured hours, with accessible facilities noted.</t>
  </si>
  <si>
    <t>100 Church Ln, Pikesville, MD 21208</t>
  </si>
  <si>
    <t>(443) 840-9626</t>
  </si>
  <si>
    <t>Well Life</t>
  </si>
  <si>
    <t>Accepting new patients; accepts Maryland Medicaid and major private insurers (CareFirst BCBS, Aetna, Cigna, United Healthcare).</t>
  </si>
  <si>
    <t>Well Life is an outpatient mental health private practice in Maryland that provides diagnostic evaluations, medication management, and a range of mental health services for children, adolescents, and adults, with options for in-person visits and telehealth.</t>
  </si>
  <si>
    <t>https://www.welllifemd.com/</t>
  </si>
  <si>
    <t>Review data show consistently positive experiences with Well Life, with reviewers praising professional, attentive staff and effective, personalized care. The listing includes 11 Google Maps reviews, all five stars, with the newest feedback from 2025 (about 415 days ago). Overall, the review data indicate a favorable experience, though the most recent reviews are over a year old, which limits freshness.</t>
  </si>
  <si>
    <t>accepted google identity: 14.2/15; review volume: 25.7/30; review consistency: 7.0/7; review freshness: 3.6/8; verified website: 14.2/15; confirmed irs record: 0.0/20; source corroboration: 3.3/5; Synthesis metadata: high (not part of numeric confidence)</t>
  </si>
  <si>
    <t>1421 S Caton Ave, Halethorpe, MD 21227</t>
  </si>
  <si>
    <t>(410) 800-2545</t>
  </si>
  <si>
    <t>C&amp;C Advocacy, Inc.</t>
  </si>
  <si>
    <t>Advocacy and outpatient mental-health services, including psychiatry and addiction treatment, with in-home and school-based options.</t>
  </si>
  <si>
    <t>http://www.ccadvocacy.org/</t>
  </si>
  <si>
    <t>Review data is thin or unavailable: there are two public reviews but no accessible review text to identify recurring themes or concerns, and no recent reviews are available. The listing’s hours and verified website attribution suggest it is operational, but reader-facing feedback is not documented here.</t>
  </si>
  <si>
    <t>3605 Milford Mill Rd, Windsor Mill, MD 21244</t>
  </si>
  <si>
    <t>(240) 360-3693</t>
  </si>
  <si>
    <t>Metro Reach Behavioral Health LLC.</t>
  </si>
  <si>
    <t>Monday: 9 AM to 6 PM; Tuesday: 9 AM to 6 PM; Wednesday: 9 AM to 6 PM; Thursday: 9 AM to 6 PM; Friday: Closed; Saturday: 10 AM to 2 PM; Sunday: Closed</t>
  </si>
  <si>
    <t>Outpatient mental health clinic offering behavioral health services.</t>
  </si>
  <si>
    <t>Review feedback is limited; there is a single 5-star review with no text, so no themes or concerns can be drawn. The listing is marked OPERATIONAL and provides structured hours and a clear mental health service category, but qualitative review data is unavailable.</t>
  </si>
  <si>
    <t>accepted google identity: 14.2/15; review volume: 5.0/30; review consistency: 7.0/7; review freshness: 3.2/8; verified website: 0.0/15; confirmed irs record: 0.0/20; source corroboration: 1.7/5; Synthesis metadata: high (not part of numeric confidence)</t>
  </si>
  <si>
    <t>66 E Main St Ste 103, Westminster, MD 21157</t>
  </si>
  <si>
    <t>(240) 800-1171</t>
  </si>
  <si>
    <t>Project Chesapeake</t>
  </si>
  <si>
    <t>Appointments recommended. Wheelchair accessible entrance; wheelchair-accessible parking.</t>
  </si>
  <si>
    <t>Behavioral health counseling and substance-use disorder treatment services provided across Maryland, including mental health and addiction counseling described by the organization’s website. The listing identifies it as a mental health service with a focus on recovery-oriented care.</t>
  </si>
  <si>
    <t>https://www.projectchesapeake.com/</t>
  </si>
  <si>
    <t>Review feedback was unavailable or too thin; there are no usable Google Maps reviews in the dataset to summarize. The listing appears operational and its website is reachable with published hours, but there is no user-review data to indicate experiences. Because review data is too thin, no clear patterns about satisfaction or quality can be drawn from reviews.</t>
  </si>
  <si>
    <t>(410) 955-2717</t>
  </si>
  <si>
    <t>The Johns Hopkins Hospital is a major academic medical center that provides general hospital care and related medical services through Johns Hopkins Medicine.</t>
  </si>
  <si>
    <t>http://www.hopkinsmedicine.org/</t>
  </si>
  <si>
    <t>Review data describe mixed experiences: some patients praise the hospital’s doctors and care, while others report difficulties with billing, scheduling, and communication. The newest reviews include negative accounts about billing pressure and delays, but there are also positive reports about quality care. Overall, the feedback is mixed and does not point to a uniform, uniformly positive experience.</t>
  </si>
  <si>
    <t>accepted google identity: 13.3/15; review volume: 29.8/30; review consistency: 0.6/7; review freshness: 7.5/8; verified website: 13.3/15; confirmed irs record: 20.0/20; source corroboration: 5.0/5; Synthesis metadata: high (not part of numeric confidence)</t>
  </si>
  <si>
    <t>5850 Waterloo Rd Ste 230, Columbia, MD 21045</t>
  </si>
  <si>
    <t>(443) 838-2400</t>
  </si>
  <si>
    <t>LifeStance Therapists &amp; Psychiatrists Columbia</t>
  </si>
  <si>
    <t>Appointment required; services available in-person or online; accepts a wide range of insurance plans; wheelchair accessible entrance, parking, and restrooms.</t>
  </si>
  <si>
    <t>Monday: Closed; Tuesday: 8 AM to 4:30 PM; Wednesday: 8 AM to 4:30 PM; Thursday: 8 AM to 4:30 PM; Friday: 8 AM to 4:30 PM; Saturday: Closed; Sunday: Closed</t>
  </si>
  <si>
    <t>LifeStance Health in Columbia is a mental health clinic offering psychiatric care and therapy with options for in-person or online visits, including counseling, psychotherapy, and medication management from licensed clinicians for patients of all ages.</t>
  </si>
  <si>
    <t>https://lifestance.com/location/columbia-md-5850-waterloo-rd/?utm_source=gmb&amp;utm_medium=organic&amp;utm_campaign=locations</t>
  </si>
  <si>
    <t>Google Maps reviews depict LifeStance as a caring, patient-centered clinic with repeatedly positive experiences. Review text highlights attentive providers who listen and tailor care, and newest reviews remain favorable, though a few posts mention scheduling or access nuances. Overall, the review data support ongoing satisfaction with care and staff.</t>
  </si>
  <si>
    <t>accepted google identity: 14.2/15; review volume: 30.0/30; review consistency: 3.2/7; review freshness: 8.0/8; verified website: 14.2/15; confirmed irs record: 0.0/20; source corroboration: 3.3/5; Synthesis metadata: high (not part of numeric confidence)</t>
  </si>
  <si>
    <t>901 N Milton Ave Ste 320, Baltimore, MD 21205</t>
  </si>
  <si>
    <t>(410) 415-3606</t>
  </si>
  <si>
    <t>Transform A Nation</t>
  </si>
  <si>
    <t>Open to the public; no explicit eligibility details found. Wheelchair accessible parking is available.</t>
  </si>
  <si>
    <t>Transform A Nation is a nonprofit organization that offers mental health programs, with telehealth services available.</t>
  </si>
  <si>
    <t>http://transformanation.org/</t>
  </si>
  <si>
    <t>Review feedback was unavailable; there are no public Google Maps reviews. The available data show the listing is operational via structured hours and the website describes telehealth mental health programs, but no user reviews exist to summarize experiences. Because there are no reviews, we cannot identify recurring themes or trends.</t>
  </si>
  <si>
    <t>2923 E Biddle St, Baltimore, MD 21213</t>
  </si>
  <si>
    <t>(866) 217-8534</t>
  </si>
  <si>
    <t>Center for Adoption Support and Education (C.A.S.E.)</t>
  </si>
  <si>
    <t>Monday: 9 AM to 5 PM; Tuesday: 9 AM to 8 PM; Wednesday: 9 AM to 8 PM; Thursday: 9 AM to 5 PM; Friday: 9 AM to 5 PM; Saturday: Closed; Sunday: Closed</t>
  </si>
  <si>
    <t>Center for Adoption Support and Education (C.A.S.E.) provides adoption-competent mental health therapy and related supports for children, youth, adults, and families in the Maryland–DC metro area, including adoptive, kinship, and foster families.</t>
  </si>
  <si>
    <t>https://adoptionsupport.org/?utm_campaign=Google+Business+Profile</t>
  </si>
  <si>
    <t>Review feedback was unavailable or too thin to summarize. With no usable review data, there are no recurring themes or concerns to report. The listing's operational status and posted hours provide the basis for reliability.</t>
  </si>
  <si>
    <t>accepted google identity: 13.3/15; review volume: 0.0/30; review consistency: 0.0/7; review freshness: 0.0/8; verified website: 13.3/15; confirmed irs record: 0.0/20; source corroboration: 3.3/5; Synthesis metadata: insufficient_evidence (not part of numeric confidence)</t>
  </si>
  <si>
    <t>3001 E Biddle St, Baltimore, MD 21213</t>
  </si>
  <si>
    <t>(443) 438-7614</t>
  </si>
  <si>
    <t>Leading By Example LLC</t>
  </si>
  <si>
    <t>Monday: Closed; Tuesday: 9 AM to 5 PM; Wednesday: Closed; Thursday: 9 AM to 5 PM; Friday: Closed; Saturday: Closed; Sunday: Closed</t>
  </si>
  <si>
    <t>Leading By Example LLC is a mental health service provider in Baltimore offering therapy, medication management, and related supports for children and adults in the community.</t>
  </si>
  <si>
    <t>http://leadingbyexamplellc.com/</t>
  </si>
  <si>
    <t>Review data show a mixed picture. Some reviewers commend the staff and the program's impact for youth and families, while others report slow call-backs and concerns about consistency in staff. The latest reviews lean positive, but the small sample size means experiences may vary.</t>
  </si>
  <si>
    <t>accepted google identity: 14.2/15; review volume: 13.7/30; review consistency: 0.8/7; review freshness: 7.8/8; verified website: 14.2/15; confirmed irs record: 0.0/20; source corroboration: 3.3/5; Synthesis metadata: high (not part of numeric confidence)</t>
  </si>
  <si>
    <t>(667) 600-3984</t>
  </si>
  <si>
    <t>Villa Maria Behavioral Health Clinic</t>
  </si>
  <si>
    <t>Medicaid and Medicare accepted. Sliding Fee Discount Program available. Referrals accepted from school counselors through Family Care Coordination. Intake via provided contact; call 667-600-2000 for general inquiries. Services include in-clinic, telehealth, and school-based programs in certain counties.</t>
  </si>
  <si>
    <t>Villa Maria Behavioral Health Clinic provides behavioral health services for children, teens, adults, and families across Maryland, including comprehensive diagnostic assessments, individual, family, and group therapy, psychiatry and medication management, addiction counseling, telehealth, in‑home respite services, family care coordination, and school-based partnerships, with a sliding-fee program for eligible families.</t>
  </si>
  <si>
    <t>https://cc-md.org/programs/villa-maria-behavioral-health/</t>
  </si>
  <si>
    <t>Review data shows a mix of experiences. Some callers and clients praise the therapists and long-running programs, while a recent 1-star review highlights difficulties with scheduling and access. Overall, the available feedback indicates generally positive sentiment from older reviews, with at least one recent report raising access concerns.</t>
  </si>
  <si>
    <t>accepted google identity: 13.4/15; review volume: 21.2/30; review consistency: 0.4/7; review freshness: 7.8/8; verified website: 13.4/15; confirmed irs record: 0.0/20; source corroboration: 3.3/5; Synthesis metadata: high (not part of numeric confidence)</t>
  </si>
  <si>
    <t>6600 Belair Rd Ste 1a, Baltimore, MD 21206</t>
  </si>
  <si>
    <t>(410) 670-9860</t>
  </si>
  <si>
    <t>Breathe Freely Behavioral Health Systems</t>
  </si>
  <si>
    <t>Breathe Freely Behavioral Health Systems provides mental health therapy, medication management, and PRP services, with in-person and virtual visits.</t>
  </si>
  <si>
    <t>http://www.breathefreelybhs.com/</t>
  </si>
  <si>
    <t>Review data shows consistently positive feedback about staff and the program. Review text highlights friendly, caring staff and practical support such as helping clients access food banks and coordinate housing-related tasks. The newest reviews are still positive, and overall sentiment remains favorable across the available sample.</t>
  </si>
  <si>
    <t>accepted google identity: 14.2/15; review volume: 13.7/30; review consistency: 7.0/7; review freshness: 6.9/8; verified website: 14.2/15; confirmed irs record: 0.0/20; source corroboration: 3.3/5; Synthesis metadata: high (not part of numeric confidence)</t>
  </si>
  <si>
    <t>7658 Belair Rd, Nottingham, MD 21236</t>
  </si>
  <si>
    <t>(410) 800-2169</t>
  </si>
  <si>
    <t>Balance Point Wellness, LLC</t>
  </si>
  <si>
    <t>Appointments are required. Insurance verification is recommended; they accept most major plans. Services include in-person and telehealth visits across Maryland and Delaware. Scheduling via the website or by phone.</t>
  </si>
  <si>
    <t>Monday: Closed; Tuesday: 9 AM to 8 PM; Wednesday: 9 AM to 8 PM; Thursday: 9 AM to 8 PM; Friday: 9 AM to 5 PM; Saturday: Closed; Sunday: Closed</t>
  </si>
  <si>
    <t>Balance Point Wellness is a mental health clinic offering therapy and psychiatry services, including individual, couples, and family therapy, art therapy, and medication management, delivered in-person or via telehealth and insurance-friendly.</t>
  </si>
  <si>
    <t>https://bpointwellness.com/?utm_source=GMBlisting&amp;utm_medium=organic</t>
  </si>
  <si>
    <t>Review data show generally positive experiences with Balance Point Wellness, with many reviewers noting compassionate therapists, helpful sessions, and meaningful improvements in quality of life. Some recent reviews criticize the practice as overly corporate or impersonal, but several other recent reviews highlight punctuality, kindness, and the effectiveness of therapists such as Maria and Dr Collins. Overall, the feedback indicates ongoing satisfaction among many clients, with occasional negative experiences reflected in newer reviews.</t>
  </si>
  <si>
    <t>accepted google identity: 14.2/15; review volume: 30.0/30; review consistency: 2.8/7; review freshness: 5.4/8; verified website: 14.2/15; confirmed irs record: 0.0/20; source corroboration: 3.3/5; Synthesis metadata: high (not part of numeric confidence)</t>
  </si>
  <si>
    <t>6440 Dobbin Rd Ste d, Columbia, MD 21045</t>
  </si>
  <si>
    <t>(410) 730-2385</t>
  </si>
  <si>
    <t>MPB Group Inc.</t>
  </si>
  <si>
    <t>Appointments are available for therapy and psychiatry (in-person or online). Children should be accompanied by an adult. After-hours on-call support is available for active clients only. Columbia, MD 21045 location with standard office visits and orthded intake procedures as part of scheduling.</t>
  </si>
  <si>
    <t>Monday: 9 AM to 8 PM; Tuesday: 9 AM to 8 PM; Wednesday: 9 AM to 8 PM; Thursday: 9 AM to 8 PM; Friday: 9 AM to 6 PM; Saturday: 9 AM to 4 PM; Sunday: Closed</t>
  </si>
  <si>
    <t>MPB Group Inc. operates as an outpatient mental health clinic offering therapy, psychiatry, and related services for adults, couples, families, and children. The clinic emphasizes trauma-informed, culturally responsive care and provides therapy, psychiatric evaluations, medication management, group programs, teletherapy, and specialized services such as psychedelic-assisted psychotherapy.</t>
  </si>
  <si>
    <t>https://www.mpbhealth.com/</t>
  </si>
  <si>
    <t>Review data indicate most reviewers report caring therapists and helpful intake experiences, with recurring praise for therapists and support staff. Some reviewers describe billing friction and slow follow-up regarding intake, while the newest reviews from early 2026 remain positive overall. This mix suggests generally favorable experiences with recurring concerns around administrative responsiveness and billing.</t>
  </si>
  <si>
    <t>accepted google identity: 14.2/15; review volume: 30.0/30; review consistency: 3.6/7; review freshness: 5.3/8; verified website: 14.2/15; confirmed irs record: 0.0/20; source corroboration: 3.3/5; Synthesis metadata: high (not part of numeric confidence)</t>
  </si>
  <si>
    <t>6440 Dobbin Rd, Columbia, MD 21045</t>
  </si>
  <si>
    <t>(410) 772-7905</t>
  </si>
  <si>
    <t>On Our Own of Howard County</t>
  </si>
  <si>
    <t>Peer support, advocacy, education, and social connectedness for people with behavioral health conditions to support recovery.</t>
  </si>
  <si>
    <t>http://www.ooohci.org/</t>
  </si>
  <si>
    <t>Review data from the listing shows consistently positive feedback, with multiple 5-star reviews highlighting helpful staff and supportive programs. The five most recent reviews, all 5 stars, praise personal guidance and a welcoming community, and they align with earlier positive feedback. The deterministic review quality score is high, indicating the review text is reliable and the newest reviews continue the same positive direction.</t>
  </si>
  <si>
    <t>accepted google identity: 14.2/15; review volume: 20.6/30; review consistency: 7.0/7; review freshness: 7.4/8; verified website: 14.2/15; confirmed irs record: 0.0/20; source corroboration: 3.3/5; Synthesis metadata: high (not part of numeric confidence)</t>
  </si>
  <si>
    <t>3242 Esther Pl, Baltimore, MD 21224</t>
  </si>
  <si>
    <t>(443) 898-8282</t>
  </si>
  <si>
    <t>Building Blocks Healthcare Network - BBHCN</t>
  </si>
  <si>
    <t>Referrals are required for treatment; outpatient services accept self-referrals or referrals by licensed professionals. BBHCN states it serves individuals of all ages for outpatient services and currently accepts Maryland Medicaid.</t>
  </si>
  <si>
    <t>BBHCN provides outpatient mental health care, including a Psychiatric Rehabilitation Program and substance-use outpatient therapy, with services such as individual, group, and family therapy, and medication management. The program pages describe therapeutic mentoring, employment support, and other life-skills services designed to help clients live more independently in the community.
Evidence-supported services include: Outpatient Mental Health Clinic (OMHC), Psychiatric Rehabilitation Program (PRP), and Substance-Abuse Outpatient Therapy and Groups (IOP); in-office or in-home therapy options, along with referrals to additional supports and payment options (Medicaid).</t>
  </si>
  <si>
    <t>http://www.bbhcn.org/</t>
  </si>
  <si>
    <t>Review data show consistently positive experiences, with reviewers praising caring, attentive staff and supportive clinicians. The newest reviews continue to reflect satisfaction and note staff who listen and help clients feel understood and helped. Overall, the high rating is echoed by recent feedback, indicating a stable positive impression.</t>
  </si>
  <si>
    <t>accepted google identity: 14.2/15; review volume: 30.0/30; review consistency: 7.0/7; review freshness: 7.9/8; verified website: 14.2/15; confirmed irs record: 20.0/20; source corroboration: 5.0/5; Synthesis metadata: high (not part of numeric confidence)</t>
  </si>
  <si>
    <t>3719 E Baltimore St, Baltimore, MD 21224</t>
  </si>
  <si>
    <t>(410) 943-2424</t>
  </si>
  <si>
    <t>Royal Minds Rehabilitation Services</t>
  </si>
  <si>
    <t>Substance-use treatment provider offering individual counseling and group therapy for alcohol and drug use.</t>
  </si>
  <si>
    <t>https://royalmindsrehab.com/</t>
  </si>
  <si>
    <t>Review data show mixed experiences: some reviewers describe a calm environment, while others report disrespectful front-desk staff and delays. The newest reviews are sparse, with several entries lacking text, so trends are hard to confirm. Overall, the listing's ratings suggest a mid-range impression with both positive and negative experiences.</t>
  </si>
  <si>
    <t>accepted google identity: 14.2/15; review volume: 20.8/30; review consistency: 0.8/7; review freshness: 4.7/8; verified website: 14.2/15; confirmed irs record: 0.0/20; source corroboration: 3.3/5; Synthesis metadata: medium (not part of numeric confidence)</t>
  </si>
  <si>
    <t>3310 Eastern Ave, Baltimore, MD 21224</t>
  </si>
  <si>
    <t>(443) 708-5056</t>
  </si>
  <si>
    <t>Community Wellness Center</t>
  </si>
  <si>
    <t>Same-day or next-available appointments for outpatient mental health services; appointments recommended.</t>
  </si>
  <si>
    <t>Community Wellness Center provides outpatient mental health care in Baltimore, offering psychiatric evaluation, individual therapy, group therapy, family therapy, medication management, psychoeducation and skill-building, and teletherapy.</t>
  </si>
  <si>
    <t>http://www.cwcmd.org/</t>
  </si>
  <si>
    <t>Review data show that many clients praise the center’s compassionate staff and the range of outpatient mental health services, including therapy and medication management. A subset of reviews notes issues with meals, housing logistics, and transparency of certain program details. Overall, the latest review data indicate ongoing positive experiences for many, with some recurring concerns.</t>
  </si>
  <si>
    <t>accepted google identity: 13.4/15; review volume: 30.0/30; review consistency: 0.8/7; review freshness: 4.2/8; verified website: 13.4/15; confirmed irs record: 0.0/20; source corroboration: 3.3/5; Synthesis metadata: medium (not part of numeric confidence)</t>
  </si>
  <si>
    <t>1626 E Fort Ave, Baltimore, MD 21230</t>
  </si>
  <si>
    <t>(443) 835-4656</t>
  </si>
  <si>
    <t>It’s Not Over, LLC</t>
  </si>
  <si>
    <t>Monday: 7:30 AM to 5 PM; Tuesday: 7:30 AM to 5 PM; Wednesday: 7:30 AM to 5 PM; Thursday: 7:30 AM to 5 PM; Friday: 7:30 AM to 5 PM; Saturday: Closed; Sunday: Closed</t>
  </si>
  <si>
    <t>Intensive Outpatient Program (IOP) for substance use treatment, with related mental health supports; the program also offers recovery housing.</t>
  </si>
  <si>
    <t>https://itsnotoverllc.com/</t>
  </si>
  <si>
    <t>Review data show a single, highly positive review noting supportive staff and engaged leadership, with a minor caveat that case management could improve. The newest review is several months old, and the evidence base is very small, so reliability cannot be assessed beyond this snapshot. Overall, feedback indicates a positive experience, but the limited data suggests caution in generalizing.</t>
  </si>
  <si>
    <t>accepted google identity: 14.2/15; review volume: 5.0/30; review consistency: 7.0/7; review freshness: 4.6/8; verified website: 14.2/15; confirmed irs record: 0.0/20; source corroboration: 3.3/5; Synthesis metadata: high (not part of numeric confidence)</t>
  </si>
  <si>
    <t>MedStar Harbor Hospital is a full‑service medical center offering inpatient and emergency care, with departments in internal medicine, surgery, obstetrics, diabetes care, orthopedics, emergency medicine, and behavioral health; the organization also hosts MedStar Health’s internal medicine residency program.</t>
  </si>
  <si>
    <t>Review data indicate generally positive experiences at the listing, with frequent praise for attentive staff and doctors who listen and respond to questions. The newest reviews are consistently positive, though a few mention longer wait times. Overall, the feedback suggests reliable, patient‑focused care that aligns with the listing’s overall impression.</t>
  </si>
  <si>
    <t>accepted google identity: 14.2/15; review volume: 30.0/30; review consistency: 3.9/7; review freshness: 8.0/8; verified website: 14.2/15; confirmed irs record: 0.0/20; source corroboration: 3.3/5; Synthesis metadata: high (not part of numeric confidence)</t>
  </si>
  <si>
    <t>516 S Conkling St, Baltimore, MD 21224</t>
  </si>
  <si>
    <t>(410) 864-8874</t>
  </si>
  <si>
    <t>Dynamic Healthcares</t>
  </si>
  <si>
    <t>Intake for new clients requires on-site visit; individuals aged 16+ (or guardian for minors) complete required paperwork, including a Pre-Intake Questionnaire and Intake Initial Screening and Assessment. Appointment is required.</t>
  </si>
  <si>
    <t>Monday: 9:30 AM to 8:30 PM; Tuesday: 9:30 AM to 8:30 PM; Wednesday: 9:30 AM to 8:30 PM; Thursday: 9:30 AM to 8:30 PM; Friday: 9:30 AM to 8:30 PM; Saturday: 9 AM to 12 PM; Sunday: Closed</t>
  </si>
  <si>
    <t>Maryland-licensed outpatient mental health clinic offering psychiatric rehabilitation services.</t>
  </si>
  <si>
    <t>http://www.dynamichealthcares.com/</t>
  </si>
  <si>
    <t>Review data show mixed experiences. Some reviewers describe supportive staff and helpful therapists, while others complain about confidentiality, poor responsiveness, and disorganization. The most recent review in the sample is negative, suggesting ongoing concerns; overall, the review data point to inconsistent experiences rather than a consistently strong program.</t>
  </si>
  <si>
    <t>accepted google identity: 14.2/15; review volume: 13.5/30; review consistency: 0.4/7; review freshness: 4.4/8; verified website: 14.2/15; confirmed irs record: 0.0/20; source corroboration: 3.3/5; Synthesis metadata: low (not part of numeric confidence)</t>
  </si>
  <si>
    <t>9091 Snowden River Parkway, Suite 1364, Columbia, MD 21046</t>
  </si>
  <si>
    <t>(301) 203-7626</t>
  </si>
  <si>
    <t>Anew Psychiatry and Wellness</t>
  </si>
  <si>
    <t>Accepting new patients; Openings available; All appointments are video visits via a secure platform; Scheduling via website or phone.</t>
  </si>
  <si>
    <t>Anew Psychiatry and Wellness provides telepsychiatry and related mental-health services for residents of Maryland, Virginia, and Washington, DC, including psychiatric evaluations, medication management, psychometric testing and ADHD assessments, GeneSight testing, and therapy in partnership with Open Conversations Counseling.</t>
  </si>
  <si>
    <t>https://www.anewpsychiatrywellness.com/</t>
  </si>
  <si>
    <t>Review feedback was unavailable or too thin to summarize. The listing shows the business is operational with set weekday hours and a verified website, but there are no user reviews to reflect satisfaction or concerns. Because review data is absent, it's difficult to gauge quality beyond the stated hours and service offerings.</t>
  </si>
  <si>
    <t>10005 Old Columbia Rd l260, Columbia, MD 21046</t>
  </si>
  <si>
    <t>(443) 259-0400</t>
  </si>
  <si>
    <t>MSA The Child &amp; Adolescent Center</t>
  </si>
  <si>
    <t>Intake involves a thorough evaluation; admissions staff assist with the process; accepts referrals from pediatricians, primary care doctors, inpatient and partial hospital programs, therapists, clergy, schools, social service agencies, and directly from parents/guardians.</t>
  </si>
  <si>
    <t>Monday: 9 AM to 7 PM; Tuesday: 9 AM to 7 PM; Wednesday: 9 AM to 7 PM; Thursday: 9 AM to 7 PM; Friday: 9 AM to 7 PM; Saturday: Closed; Sunday: Closed</t>
  </si>
  <si>
    <t>Outpatient behavioral health care for children and adolescents, including evaluation, psychotherapy, and related services, provided at a dedicated outpatient center with a continuum of care.</t>
  </si>
  <si>
    <t>http://www.msachild.com/</t>
  </si>
  <si>
    <t>Review data show mixed experiences from clients. Recurring positive themes mention helpful clinicians and responsive care, while recurring concerns focus on front-desk communication, scheduling difficulties, and billing issues. The newest reviews include strong praise for care but administrative problems persist; overall feedback indicates variability in experience and no clear trend toward consistent improvement or decline.</t>
  </si>
  <si>
    <t>accepted google identity: 14.2/15; review volume: 30.0/30; review consistency: 0.8/7; review freshness: 5.5/8; verified website: 14.2/15; confirmed irs record: 0.0/20; source corroboration: 3.3/5; Synthesis metadata: medium (not part of numeric confidence)</t>
  </si>
  <si>
    <t>100 E Patapsco Ave Ste e, Brooklyn, MD 21225</t>
  </si>
  <si>
    <t>(667) 239-3144</t>
  </si>
  <si>
    <t>Compass Health Services LLC</t>
  </si>
  <si>
    <t>Appointments recommended; accessibility features include wheelchair accessible entrance, restroom, and parking.</t>
  </si>
  <si>
    <t>Compass Health Services offers outpatient mental health and behavioral health care for children, youth, and families in Maryland, including counseling and individualized treatment planning.</t>
  </si>
  <si>
    <t>http://www.compasshealthservices.com/</t>
  </si>
  <si>
    <t>Review data show generally positive feedback, with reviewers praising the quality of care and staff availability. One reviewer notes an on-site food pantry and supportive counselors. The newest review is about a year old, and the overall sentiment remains positive based on the available text.</t>
  </si>
  <si>
    <t>accepted google identity: 14.2/15; review volume: 16.9/30; review consistency: 5.5/7; review freshness: 4.1/8; verified website: 14.2/15; confirmed irs record: 0.0/20; source corroboration: 3.3/5; Synthesis metadata: high (not part of numeric confidence)</t>
  </si>
  <si>
    <t>1120 Middle River Rd, Middle River, MD 21220</t>
  </si>
  <si>
    <t>(443) 868-7762</t>
  </si>
  <si>
    <t>Strengthening Families Building Communities</t>
  </si>
  <si>
    <t>Appointments recommended; Medicaid accepted; Transportation assistance available; Office- and community-based services provided.</t>
  </si>
  <si>
    <t>Outpatient mental health services and addiction treatment for youth and adults, including psychiatric rehabilitation and medication management, offered in office and community-based settings. The program emphasizes transportation assistance and Medicaid acceptance. Note: there is a discrepancy in the address data across sources, which affects location certainty.</t>
  </si>
  <si>
    <t>https://sbcbehavioralhealth.com/</t>
  </si>
  <si>
    <t>Review data is unavailable or too thin to summarize. The listing is operational and has a verified website with posted hours, and multiple sources corroborate the described mental health and addiction services, though address data conflict across sources reduces certainty about the exact location.</t>
  </si>
  <si>
    <t>3103 Erdman Ave, Baltimore, MD 21213</t>
  </si>
  <si>
    <t>(443) 835-4825</t>
  </si>
  <si>
    <t>Bridging Gaps Through Positive Solutions</t>
  </si>
  <si>
    <t>Referral-based intake; accepts referrals from multiple sources (community medical providers, local schools, hospitals, Department of Juvenile Services, Department of Social Services, and self-referrals); intake involves ongoing communication with referral sources. Schedule a consultation to initiate services.</t>
  </si>
  <si>
    <t>Bridging Gaps Through Positive Solutions is a community-based outpatient behavioral health clinic serving children, adolescents, and adults, offering integrated behavioral health services such as individual, family, and group therapy, medication management, mentorship, and behavioral consultation.</t>
  </si>
  <si>
    <t>http://www.bgtps.com/</t>
  </si>
  <si>
    <t>Review data show generally positive experiences with supportive clinicians and recovery-oriented care, with recurring praise for accessibility and responsiveness. There is at least one report of scheduling/communication challenges, indicating room for improvement in coordination. The newest reviews continue to reflect positive experiences overall, suggesting a stable, favorable trend despite occasional criticisms.</t>
  </si>
  <si>
    <t>accepted google identity: 14.2/15; review volume: 16.3/30; review consistency: 0.9/7; review freshness: 6.2/8; verified website: 14.2/15; confirmed irs record: 0.0/20; source corroboration: 3.3/5; Synthesis metadata: high (not part of numeric confidence)</t>
  </si>
  <si>
    <t>518 S Camp Meade Rd Ste 4, Linthicum Heights, MD 21090</t>
  </si>
  <si>
    <t>(302) 495-9773</t>
  </si>
  <si>
    <t>Therapeutic Empowerment &amp; Wellness</t>
  </si>
  <si>
    <t>By appointment; accepts Maryland Medicaid and most commercial insurance; virtual therapy options available; contact via phone and client portal as reflected on the Google Maps listing and official site.</t>
  </si>
  <si>
    <t>Monday: 9 AM to 6 PM; Tuesday: 9 AM to 6 PM; Wednesday: 9 AM to 6 PM; Thursday: 9 AM to 6 PM; Friday: 9 AM to 6 PM; Saturday: 9 AM to 6 PM; Sunday: Closed</t>
  </si>
  <si>
    <t>Therapeutic Empowerment &amp; Wellness provides mental health therapy services in Maryland, including individual therapy, couples therapy, group therapy, and medication management, delivered by licensed clinicians. The site also notes related offerings such as life coaching and holistic wellness within its services.</t>
  </si>
  <si>
    <t>https://www.therapeuticempowerwellness.com/?utm_source=google&amp;utm_medium=wix_google_business_profile&amp;utm_campaign=3232848519681461765</t>
  </si>
  <si>
    <t>Google Maps reviews consistently highlight professionalism, empathy, and effective therapy with specific staff praised in multiple posts; the newest reviews continue to reflect positive experiences, and owner responses show engagement with clients. Review data-trends indicate sustained satisfaction across the most recent feedback and no evident negative shift in sentiment.</t>
  </si>
  <si>
    <t>accepted google identity: 14.2/15; review volume: 20.5/30; review consistency: 7.0/7; review freshness: 5.3/8; verified website: 14.2/15; confirmed irs record: 0.0/20; source corroboration: 3.3/5; Synthesis metadata: high (not part of numeric confidence)</t>
  </si>
  <si>
    <t>5710 Ritchie Hwy, Brooklyn, MD 21225</t>
  </si>
  <si>
    <t>(410) 636-5600</t>
  </si>
  <si>
    <t>Appointments recommended; wheel-chair accessible parking; restrooms available; planning indicates appointments recommended.</t>
  </si>
  <si>
    <t>Project Chesapeake offers behavioral health counseling and substance-use/mental health services across Maryland, with multiple locations and an emphasis on recovery-focused counseling.</t>
  </si>
  <si>
    <t>Review data show mixed experiences. Some reviews praise the helpfulness and accessibility of counseling services, while others report scheduling difficulties and concerns about staff behavior. The newest reviews include both very positive and very negative feedback, suggesting that experiences may vary over time. Overall, the review data indicate a mixed level of satisfaction rather than a consistent impression.</t>
  </si>
  <si>
    <t>accepted google identity: 14.2/15; review volume: 15.9/30; review consistency: 0.1/7; review freshness: 7.2/8; verified website: 14.2/15; confirmed irs record: 0.0/20; source corroboration: 3.3/5; Synthesis metadata: medium (not part of numeric confidence)</t>
  </si>
  <si>
    <t>9106 Philadelphia Rd STE 208, Rosedale, MD 21237</t>
  </si>
  <si>
    <t>(443) 530-6921</t>
  </si>
  <si>
    <t>Mindful Healing Works Wellness Center</t>
  </si>
  <si>
    <t>Appointments recommended; accepts Medicaid and most major insurance plans; onsite services available; American Sign Language (ASL) accommodations noted; wheelchair-accessible facilities.</t>
  </si>
  <si>
    <t>Monday: 9 AM to 5:30 PM; Tuesday: 9 AM to 5:30 PM; Wednesday: 9 AM to 5:30 PM; Thursday: 9 AM to 5:30 PM; Friday: 9 AM to 5 PM; Saturday: Closed; Sunday: Closed</t>
  </si>
  <si>
    <t>Mindful Healing Works Wellness Center provides mental health care through therapy delivered by a multidisciplinary clinical team, and offers MindSpa relaxation amenities such as hydromassage beds, a relaxation meditation pod, and an infrared mat as part of a holistic wellness approach. The center accepts Medicaid and most major insurance plans and is CARF-accredited, reflecting a formal commitment to quality of care.</t>
  </si>
  <si>
    <t>https://mindfulhealingworks.com/</t>
  </si>
  <si>
    <t>Review data shows consistently positive experiences, with themes of a calm, welcoming atmosphere and caring, effective therapists. Newest reviews continue to reflect high satisfaction and appreciation for the MindSpa and overall care; there are no clear, recurring concerns in the latest feedback.</t>
  </si>
  <si>
    <t>accepted google identity: 14.2/15; review volume: 27.7/30; review consistency: 3.6/7; review freshness: 7.9/8; verified website: 14.2/15; confirmed irs record: 0.0/20; source corroboration: 3.3/5; Synthesis metadata: high (not part of numeric confidence)</t>
  </si>
  <si>
    <t>9114 Philadelphia Rd Ste 106, Rosedale, MD 21237</t>
  </si>
  <si>
    <t>(240) 443-8255</t>
  </si>
  <si>
    <t>Healthy Minds LLC</t>
  </si>
  <si>
    <t>Appointments required; scheduling via phone or website; in-person and telehealth options indicated by sources.</t>
  </si>
  <si>
    <t>Healthy Minds LLC provides mental health and substance-use treatment, offering individual, couples and family therapy, group therapy, medication-assisted treatment, psychiatric rehabilitation, and substance-use counseling. Services are delivered in-office, at home, and via telehealth.</t>
  </si>
  <si>
    <t>http://www.hmllc.org/</t>
  </si>
  <si>
    <t>Review data shows consistently positive feedback, with reviewers praising attentive therapists and supportive staff. The newest reviews (about 70 days old) continue to reflect satisfaction with care and outcomes, indicating stable, favorable experiences across visits. Overall, the review data suggest high client satisfaction with the services and staff.</t>
  </si>
  <si>
    <t>accepted google identity: 14.2/15; review volume: 13.7/30; review consistency: 7.0/7; review freshness: 7.0/8; verified website: 14.2/15; confirmed irs record: 0.0/20; source corroboration: 3.3/5; Synthesis metadata: high (not part of numeric confidence)</t>
  </si>
  <si>
    <t>5022 Campbell Blvd Suite L-M, Nottingham, MD 21236</t>
  </si>
  <si>
    <t>(443) 442-1568</t>
  </si>
  <si>
    <t>Aspire Wellness Center</t>
  </si>
  <si>
    <t>Insurances accepted include Medicaid/Medicare and major private plans (e.g., Aetna, CareFirst BlueCross BlueShield, Cigna, Johns Hopkins Health/EHP, Meritain). Sliding‑scale and private‑pay options are available. Intake may require insurance verification; contact the office to confirm insurance acceptance and what documentation or forms are needed.</t>
  </si>
  <si>
    <t>Monday: 8:30 AM to 8 PM; Tuesday: 8:30 AM to 8 PM; Wednesday: 8:30 AM to 8 PM; Thursday: 8:30 AM to 8 PM; Friday: 8:30 AM to 4 PM; Saturday: 8:30 AM to 4 PM; Sunday: Closed</t>
  </si>
  <si>
    <t>Aspire Wellness Center is an outpatient mental health clinic offering in‑person and telehealth services, including individual, family, and group therapy, plus medication management. The center provides specialized programs such as Psychiatric Rehabilitation Program (PRP) and Intensive Outpatient Program (IOP) for children through adults, with a broad range of mental health services and supports.</t>
  </si>
  <si>
    <t>https://www.aspire-wellness.com/</t>
  </si>
  <si>
    <t>Review data from the platform indicates generally positive experiences, with recurring themes of empathetic therapists, helpful therapy programs, and supportive staff. Recurring concerns include administrative and billing communications and changes in care related to insurance. The newest reviews show a mix of highly positive experiences and criticisms, suggesting overall sentiment remains mixed but with ongoing appreciation for the care when barriers are managed.</t>
  </si>
  <si>
    <t>accepted google identity: 14.2/15; review volume: 30.0/30; review consistency: 1.3/7; review freshness: 7.0/8; verified website: 14.2/15; confirmed irs record: 0.0/20; source corroboration: 3.3/5; Synthesis metadata: high (not part of numeric confidence)</t>
  </si>
  <si>
    <t>5024 Campbell Blvd, Nottingham, MD 21236</t>
  </si>
  <si>
    <t>(410) 686-3629</t>
  </si>
  <si>
    <t>Advantage Psychiatric Services, LLC</t>
  </si>
  <si>
    <t>Advantage Psychiatric Services, LLC provides mental health care with on-site and community-based delivery for adults, children, and adolescents, including psychiatry and care coordination across multiple settings to support recovery and community integration.</t>
  </si>
  <si>
    <t>https://www.advantagepsyc.com/</t>
  </si>
  <si>
    <t>Review data show mixed experiences. Some reviewers describe friendly staff, effective interactions with therapists, and positive impressions of clinicians and front-desk service. Other reviews raise concerns about staff turnover and continuity of care. The most recent feedback appears favorable overall, suggesting improving consistency compared with earlier comments; a note in the metadata indicates a CONFLICT for the address, so readers should treat address details as potentially uncertain.</t>
  </si>
  <si>
    <t>accepted google identity: 14.2/15; review volume: 19.0/30; review consistency: 1.3/7; review freshness: 7.3/8; verified website: 14.2/15; confirmed irs record: 0.0/20; source corroboration: 3.3/5; Synthesis metadata: medium (not part of numeric confidence)</t>
  </si>
  <si>
    <t>5026 Campbell Blvd Ste H, Nottingham, MD 21236</t>
  </si>
  <si>
    <t>(410) 780-2692</t>
  </si>
  <si>
    <t>Leading By Example</t>
  </si>
  <si>
    <t>Monday: 9 AM to 5 PM; Tuesday: 9 AM to 7 PM; Wednesday: 9 AM to 5 PM; Thursday: 9 AM to 5 PM; Friday: 9 AM to 5 PM; Saturday: Closed; Sunday: Closed</t>
  </si>
  <si>
    <t>Leading By Example provides mental health treatment and educational support for children, adults, and families in the Nottingham community.</t>
  </si>
  <si>
    <t>http://www.leadingbyexamplellc.com/?utm_source=Google+&amp;utm_medium=Organic+&amp;utm_campaign=gmb3</t>
  </si>
  <si>
    <t>Review data shows mixed experiences: some clients report welcoming staff and effective care, while others describe unsatisfactory interactions and concerns with a specific clinician or telehealth interactions. The most recent feedback remains varied, with both positive notes about staff and negative concerns about communication. The organization appears to engage with reviewers through responses, indicating ongoing responsiveness to feedback.</t>
  </si>
  <si>
    <t>accepted google identity: 14.2/15; review volume: 20.2/30; review consistency: 0.1/7; review freshness: 6.6/8; verified website: 14.2/15; confirmed irs record: 0.0/20; source corroboration: 3.3/5; Synthesis metadata: medium (not part of numeric confidence)</t>
  </si>
  <si>
    <t>1101 North Point Blvd Ste 128, Baltimore, MD 21224</t>
  </si>
  <si>
    <t>(443) 231-3040</t>
  </si>
  <si>
    <t>Project Chesapeake Essex</t>
  </si>
  <si>
    <t>Project Chesapeake appears to provide behavioral health counseling and substance-use disorder treatment, including outpatient and residential programs, based on the listing and the organization’s website. The site describes behavioral health counseling and substance-use treatment offerings, including outpatient and residential services, while the listing categorizes the service as a mental health offering.</t>
  </si>
  <si>
    <t>Review data from the listing shows four reviews with a pattern of negative experiences, including disorganization, outdated materials, and cancellations without notice. A single five-star review exists but provides no textual detail, and the newest substantive review is about 81 days old. Given the small sample size and mixed sentiment, the latest feedback leans toward dissatisfaction, with no clear evidence of an improving trend.</t>
  </si>
  <si>
    <t>accepted google identity: 14.2/15; review volume: 13.7/30; review consistency: 0.9/7; review freshness: 6.9/8; verified website: 14.2/15; confirmed irs record: 0.0/20; source corroboration: 3.3/5; Synthesis metadata: insufficient_evidence (not part of numeric confidence)</t>
  </si>
  <si>
    <t>9627 Philadelphia Rd Ste 160, Rosedale, MD 21237</t>
  </si>
  <si>
    <t>(410) 780-5203</t>
  </si>
  <si>
    <t>Thrive Behavioral Health</t>
  </si>
  <si>
    <t>Intake is handled by Thrive’s Intake Coordinators. A signed authorization for release of information is required. Referrals are directed to intake staff; for Baltimore City/County contact Adrianna Moore (410‑780‑5203 or 410‑780‑5205), and for Howard, Montgomery, Anne Arundel, and Prince George’s counties contact Melissa Klaus (410‑780‑5203 or 410‑987‑4301).</t>
  </si>
  <si>
    <t>Monday: 9 AM to 6:30 PM; Tuesday: 9 AM to 5:30 PM; Wednesday: 9 AM to 5:30 PM; Thursday: 9 AM to 7:30 PM; Friday: 9 AM to 3 PM; Saturday: Closed; Sunday: Closed</t>
  </si>
  <si>
    <t>Thrive Behavioral Health provides mental health services in Maryland, including therapy and psychiatry, with a trauma‑informed, person‑centered approach for individuals and families.</t>
  </si>
  <si>
    <t>http://www.thrivebh.com/</t>
  </si>
  <si>
    <t>Review data shows a mix of experiences. Many clients report caring therapists and meaningful help, including positive outcomes for youth and families. However, multiple recent reviews raise concerns about front‑desk professionalism, scheduling, and a high‑profile confidentiality incident noted in past reviews. Overall, the newest feedback remains mixed, with both positive experiences and ongoing frustration expressed by patients.</t>
  </si>
  <si>
    <t>accepted google identity: 14.2/15; review volume: 30.0/30; review consistency: 0.4/7; review freshness: 6.9/8; verified website: 14.2/15; confirmed irs record: 0.0/20; source corroboration: 3.3/5; Synthesis metadata: medium (not part of numeric confidence)</t>
  </si>
  <si>
    <t>6 Nashua Ct b, Essex, MD 21221</t>
  </si>
  <si>
    <t>(410) 574-0000</t>
  </si>
  <si>
    <t>Brighter Stronger Foundation</t>
  </si>
  <si>
    <t>Appointment required; appointments recommended.</t>
  </si>
  <si>
    <t>Brighter Stronger Foundation provides community-based behavioral health services for children and adults in Essex, Maryland, including Psychiatric Rehabilitation Services, Therapeutic Behavioral Health Services, and Autism Waiver Services.</t>
  </si>
  <si>
    <t>http://www.bsfcares.com/</t>
  </si>
  <si>
    <t>Review data show a mix of experiences: several reviewers praise a clean, professional environment and helpful staff, while one reviewer described staff turnover and communication challenges. The organization has responded to reviews, and recent responses suggest ongoing efforts to improve. Overall, the current reviews point to generally positive experiences for some and unresolved issues for others.</t>
  </si>
  <si>
    <t>accepted google identity: 14.2/15; review volume: 20.4/30; review consistency: 0.4/7; review freshness: 5.2/8; verified website: 14.2/15; confirmed irs record: 0.0/20; source corroboration: 3.3/5; Synthesis metadata: medium (not part of numeric confidence)</t>
  </si>
  <si>
    <t>23 Shipping Pl, Dundalk, MD 21222</t>
  </si>
  <si>
    <t>(410) 282-5401</t>
  </si>
  <si>
    <t>National Pike Health Center</t>
  </si>
  <si>
    <t>Intake by appointment; appointments recommended. Locations include Dundalk, Catonsville, and the Baltimore metropolitan area. The organization states it provides 24/7 emergency mental-health help.</t>
  </si>
  <si>
    <t>Monday: 9:30 AM to 8:30 PM; Tuesday: 9:30 AM to 8:30 PM; Wednesday: 9:30 AM to 8:30 PM; Thursday: 9:30 AM to 8:30 PM; Friday: 9:30 AM to 8:30 PM; Saturday: Closed; Sunday: Closed</t>
  </si>
  <si>
    <t>National Pike Health Center, Inc. operates as an outpatient mental health clinic and psychiatric rehabilitation program serving children, adolescents, and adults in the Dundalk–Baltimore area. It offers individual, family, and group therapy and other mental-health services at multiple locations, and the site states it provides 24/7 emergency mental-health support.</t>
  </si>
  <si>
    <t>http://www.nphcinc.com/</t>
  </si>
  <si>
    <t>Review data for this listing shows recurring praise for staff and a welcoming environment, and recurring concerns about appointment timing and communication with providers. The newest reviews are positive, but older reviews reflect issues with scheduling and responsiveness. Overall, reviewer feedback is mixed but suggests ongoing engagement with clients and generally strong staff support.</t>
  </si>
  <si>
    <t>accepted google identity: 13.2/15; review volume: 29.1/30; review consistency: 0.9/7; review freshness: 7.6/8; verified website: 13.2/15; confirmed irs record: 0.0/20; source corroboration: 3.3/5; Synthesis metadata: high (not part of numeric confidence)</t>
  </si>
  <si>
    <t>1410 Crain Hwy N #7B, Glen Burnie, MD 21061</t>
  </si>
  <si>
    <t>(410) 800-4466</t>
  </si>
  <si>
    <t>Outreach</t>
  </si>
  <si>
    <t>Insurance: most major plans accepted including Medicaid; self-pay available. Rapid scheduling offered in Maryland, New Jersey, and Virginia.</t>
  </si>
  <si>
    <t>Monday: 9 AM to 5 PM; Tuesday: 9 AM to 5 PM; Wednesday: 9 AM to 5 PM; Thursday: 9 AM to 5 PM; Friday: 9 AM to 2 PM; Saturday: 8 AM to 12 PM; Sunday: Closed</t>
  </si>
  <si>
    <t>Outreach Recovery is a behavioral health clinic that provides counseling, mental health treatment, substance-use treatment, and medication management.</t>
  </si>
  <si>
    <t>Review data show consistently positive feedback, with many patients praising compassionate staff, efficient visits, and helpful clinicians. Review text frequently notes responsiveness and a welcoming environment, and the newest reviews reinforce these themes, indicating continued satisfaction. Overall, the sentiment in the latest reviews aligns with the established positive trend.</t>
  </si>
  <si>
    <t>accepted google identity: 14.2/15; review volume: 30.0/30; review consistency: 2.5/7; review freshness: 8.0/8; verified website: 0.0/15; confirmed irs record: 0.0/20; source corroboration: 1.7/5; Synthesis metadata: high (not part of numeric confidence)</t>
  </si>
  <si>
    <t>102 6th Ave NE Unit B, Glen Burnie, MD 21060</t>
  </si>
  <si>
    <t>(410) 320-9967</t>
  </si>
  <si>
    <t>KP Counseling Services</t>
  </si>
  <si>
    <t>Appointments recommended; no explicit eligibility requirements documented. Accessibility features include wheelchair accessible entrance, parking, and restroom.</t>
  </si>
  <si>
    <t>Monday: 9 AM to 7 PM; Tuesday: 9 AM to 7 PM; Wednesday: 9 AM to 7 PM; Thursday: 9 AM to 7 PM; Friday: 9 AM to 7 PM; Saturday: 9 AM to 12 PM; Sunday: Closed</t>
  </si>
  <si>
    <t>KP Counseling Services provides outpatient behavioral health services in Glen Burnie, MD, including substance use counseling, Suboxone maintenance, and mental health counseling, offered in person or via telehealth.</t>
  </si>
  <si>
    <t>https://www.kpcounselingservices.org/visit-us</t>
  </si>
  <si>
    <t>Review data consistently describe KP Counseling Services as a caring, supportive environment. The available review text highlights staff as genuinely invested in clients’ wellbeing and describes the team as like family. The newest reviews in 2025 reinforce this positive sentiment, with no notable concerns appearing in the sample.</t>
  </si>
  <si>
    <t>accepted google identity: 14.2/15; review volume: 16.8/30; review consistency: 7.0/7; review freshness: 3.3/8; verified website: 14.2/15; confirmed irs record: 0.0/20; source corroboration: 3.3/5; Synthesis metadata: high (not part of numeric confidence)</t>
  </si>
  <si>
    <t>18101 Prince Philip Dr, Olney, MD 20832</t>
  </si>
  <si>
    <t>(301) 774-8882</t>
  </si>
  <si>
    <t>MedStar Montgomery Medical Center</t>
  </si>
  <si>
    <t>Urgent care options include in-person visits (8 a.m.–8 p.m. daily) with walk-in availability and online check-in recommended. Telehealth is available 24/7 (MedStar eVisit). If experiencing a life-threatening emergency, call 911.</t>
  </si>
  <si>
    <t>MedStar Montgomery Medical Center is a community hospital offering emergency services and inpatient care, with a broad range of specialty services including bariatric surgery and weight loss management, cancer care, orthopedics, neuroscience, and women’s health. It supports urgent care and Telehealth, and its site highlights OB/GYN services and other community-focused care.</t>
  </si>
  <si>
    <t>https://www.medstarhealth.org/locations/medstar-montgomery-medical-center?utm_campaign=mhs_citations&amp;utm_medium=listing&amp;utm_source=citation_management&amp;utm_term=hospital</t>
  </si>
  <si>
    <t>Review data show that patients commonly praise staff professionalism and the quality of care, but there are recurring concerns about wait times in the emergency department and communication in some visits. The newest reviews include both highly positive experiences and critical accounts, indicating mixed sentiment that has not clearly trended in one direction. Overall, the review data suggest strong care in many visits, with ongoing throughput and communication challenges in urgent/ED settings.</t>
  </si>
  <si>
    <t>1406 Crain Hwy S #104 -106, Glen Burnie, MD 21061</t>
  </si>
  <si>
    <t>(410) 766-6624</t>
  </si>
  <si>
    <t>M&amp;M Behavioral Health Solutions</t>
  </si>
  <si>
    <t>Online intake through a secure portal; accepts a broad range of public and private insurance plans and self-pay options; appointment scheduling via online portal; intake process and insurance verification handled by staff.</t>
  </si>
  <si>
    <t>Monday: 9 AM to 8 PM; Tuesday: 9 AM to 8 PM; Wednesday: 9 AM to 8 PM; Thursday: 9 AM to 8 PM; Friday: 9 AM to 5 PM; Saturday: 9 AM to 5 PM; Sunday: Closed</t>
  </si>
  <si>
    <t>In Glen Burnie, Maryland, M&amp;M Behavioral Health Solutions provides mental health and substance-use treatment services for individuals and families, including counseling and therapy, evaluations, crisis appointments, and medication management.</t>
  </si>
  <si>
    <t>http://mmbhs.com/</t>
  </si>
  <si>
    <t>Review data shows a mix of positive and negative experiences. Recurring themes praise compassionate staff and effective therapy, but there are recurring concerns about scheduling, wait times, and medication-management notes. Newer reviews indicate both satisfaction and frustration, suggesting inconsistent experiences for some clients.</t>
  </si>
  <si>
    <t>accepted google identity: 14.2/15; review volume: 30.0/30; review consistency: 0.5/7; review freshness: 6.9/8; verified website: 14.2/15; confirmed irs record: 0.0/20; source corroboration: 3.3/5; Synthesis metadata: medium (not part of numeric confidence)</t>
  </si>
  <si>
    <t>4000 Blackburn Ln, Burtonsville, MD 20866</t>
  </si>
  <si>
    <t>(301) 421-4241</t>
  </si>
  <si>
    <t>Clinical Solutions Inc</t>
  </si>
  <si>
    <t>Walk-in appointments are available on Tuesdays and Thursdays.</t>
  </si>
  <si>
    <t>Monday: 9 AM to 7 PM; Tuesday: 9 AM to 7 PM; Wednesday: 9 AM to 7 PM; Thursday: 9 AM to 7 PM; Friday: 9 AM to 5 PM; Saturday: 9 AM to 12 PM; Sunday: Closed</t>
  </si>
  <si>
    <t>Clinical Solutions Inc. provides community-based mental health services, including counseling for adults, children, and families, along with medication management and programs such as PRP and intensive outpatient services, as well as treatment options for substance use.</t>
  </si>
  <si>
    <t>http://csolutionsmh.com/</t>
  </si>
  <si>
    <t>Review data show generally positive feedback, with many reviewers praising caring staff and thorough counseling. A single negative, unprofessional-sounding review exists, and the newest feedback dates to 2024, making the latest sentiment somewhat dated. Overall, the signals are mixed but lean positive based on the weighted rating and the variety of experiences captured in the public reviews.</t>
  </si>
  <si>
    <t>accepted google identity: 14.2/15; review volume: 24.9/30; review consistency: 0.9/7; review freshness: 2.1/8; verified website: 14.2/15; confirmed irs record: 0.0/20; source corroboration: 3.3/5; Synthesis metadata: medium (not part of numeric confidence)</t>
  </si>
  <si>
    <t>260 Gateway Dr Ste 19c, Bel Air, MD 21014</t>
  </si>
  <si>
    <t>(800) 305-2089</t>
  </si>
  <si>
    <t>Safe Harbor Christian Counseling of Bel Air</t>
  </si>
  <si>
    <t>Video counseling is offered to adults 18+; appointments can be requested online.</t>
  </si>
  <si>
    <t>Monday: Closed; Tuesday: 8 AM to 6 PM; Wednesday: 8 AM to 6 PM; Thursday: 8 AM to 6 PM; Friday: 8 AM to 6 PM; Saturday: Closed; Sunday: Closed</t>
  </si>
  <si>
    <t>Outpatient mental health counseling practice offering in-person and video telehealth therapy and medication management for individuals, couples, and families in Bel Air, MD.</t>
  </si>
  <si>
    <t>https://www.safeharbor1.com/</t>
  </si>
  <si>
    <t>Review data shows consistently positive feedback about staff and therapy, with reviewers describing staff as understanding, patient, and helpful; recent feedback indicates continued positive experiences and active owner responsiveness in addressing inquiries and concerns.</t>
  </si>
  <si>
    <t>accepted google identity: 13.3/15; review volume: 30.0/30; review consistency: 4.8/7; review freshness: 7.9/8; verified website: 13.3/15; confirmed irs record: 0.0/20; source corroboration: 3.3/5; Synthesis metadata: high (not part of numeric confidence)</t>
  </si>
  <si>
    <t>4B North Ave Ste 302, Bel Air, MD 21014</t>
  </si>
  <si>
    <t>(443) 819-3172</t>
  </si>
  <si>
    <t>Veni Vidi Vici Treatment Services</t>
  </si>
  <si>
    <t>Adults 18+; intake and ongoing care provided by licensed clinicians; referrals may come from parole/probation; pregnancy-related groups available; evaluations used to tailor treatment plans.</t>
  </si>
  <si>
    <t>Monday: 5 AM to 12 PM; Tuesday: 5 AM to 12 PM; Wednesday: 5 AM to 12 PM; Thursday: 5 AM to 12 PM; Friday: 5 AM to 12 PM; Saturday: 8 AM to 12 PM; Sunday: Closed</t>
  </si>
  <si>
    <t>Veni Vidi Vici Treatment Services in Bel Air, MD provides outpatient opioid use disorder treatment with medication-assisted therapy (methadone or Suboxone) alongside counseling and toxicology services. The center offers multiple programs, including Intensive Outpatient Program (IOP), Outpatient Program (OP), a DWI/DUI treatment track, and comprehensive assessments, with coordination for parole/probation referrals and care for pregnant patients.</t>
  </si>
  <si>
    <t>https://www.vvvtxs.com/</t>
  </si>
  <si>
    <t>Review data show generally positive experiences, with many clients praising supportive staff and counselors and the program’s impact on recovery. Recurring themes include compassionate counseling and a welcoming environment, while a minority of reviews report concerns about access to physicians or staff turnover. The most recent reviews remain favorable, and the site shows active owner responsiveness to feedback.</t>
  </si>
  <si>
    <t>accepted google identity: 14.2/15; review volume: 30.0/30; review consistency: 3.2/7; review freshness: 7.8/8; verified website: 14.2/15; confirmed irs record: 0.0/20; source corroboration: 3.3/5; Synthesis metadata: high (not part of numeric confidence)</t>
  </si>
  <si>
    <t>630 Towne Center Dr, Joppatowne, MD 21085</t>
  </si>
  <si>
    <t>(410) 510-7099</t>
  </si>
  <si>
    <t>Child and Adult Psychiatry</t>
  </si>
  <si>
    <t>Accepting new patients; Telehealth or In-Person visits; Appointments requested; Scheduling line: 410-510-7099. Accessibility: Wheelchair accessible entrance and parking; Restroom. Appointments recommended.</t>
  </si>
  <si>
    <t>Mental health clinic offering telehealth and in-person psychiatry and therapy for children and adults, including medication management, psychotherapy, group therapy, and a psychiatric rehab program; also provides advanced treatments such as TMS and Spravato (esketamine).</t>
  </si>
  <si>
    <t>https://childandadultpsychiatry.com/</t>
  </si>
  <si>
    <t>Review data show a mix of highly positive experiences praising compassionate, professional care and staff, with at least one recent review criticizing communication and scheduling. The newest reviews suggest ongoing strengths in care alongside persistent access concerns, indicating generally favorable but imperfect reliability.</t>
  </si>
  <si>
    <t>accepted google identity: 14.2/15; review volume: 15.9/30; review consistency: 0.1/7; review freshness: 7.6/8; verified website: 14.2/15; confirmed irs record: 0.0/20; source corroboration: 3.3/5; Synthesis metadata: insufficient_evidence (not part of numeric confidence)</t>
  </si>
  <si>
    <t>14440 Cherry Lane Ct #208, Laurel, MD 20707</t>
  </si>
  <si>
    <t>(301) 604-1458</t>
  </si>
  <si>
    <t>Innovative Therapeutic Services</t>
  </si>
  <si>
    <t>Appointments required; appointments recommended.</t>
  </si>
  <si>
    <t>Outpatient mental health clinic offering therapy, psychiatric medication management, and related behavioral health services for children, adolescents, and adults, including PRP services.</t>
  </si>
  <si>
    <t>http://innovativetherapy.org/</t>
  </si>
  <si>
    <t>Review data show generally positive experiences, with clients praising compassionate clinicians, progress in therapy, and helpful staff. A few negative posts concern access to specific treatments or compatibility with a provider, and one reviewer reported being denied care due to medication status; the newest reviews remain positive, suggesting that overall experiences trend favorable even as individual encounters vary.</t>
  </si>
  <si>
    <t>accepted google identity: 14.2/15; review volume: 28.6/30; review consistency: 1.2/7; review freshness: 5.7/8; verified website: 14.2/15; confirmed irs record: 0.0/20; source corroboration: 3.3/5; Synthesis metadata: high (not part of numeric confidence)</t>
  </si>
  <si>
    <t>14201 Laurel Park Dr Ste 206, Laurel, MD 20707</t>
  </si>
  <si>
    <t>(301) 725-5464</t>
  </si>
  <si>
    <t>King Health Systems Inc</t>
  </si>
  <si>
    <t>Eligibility appears linked to Medicaid coverage; services are listed for Maryland residents with Medicaid insurance. Services may be delivered in-office or at the client’s home, and appointments are recommended.</t>
  </si>
  <si>
    <t>King Health Systems provides mental health services to children, adolescents, adults, and their families, including outpatient therapy, psychiatric care, and medication management, with options for in-office, home-based, and telehealth sessions.</t>
  </si>
  <si>
    <t>http://kinghealthsystems.org/</t>
  </si>
  <si>
    <t>Review data shows generally positive experiences, with recurring praise for a clean, professional environment and friendly staff. There is a single older critical review noting rude staff and limited appointments, which stands out against the more positive feedback. The most recent reviews are positive, and the overall impression remains favorable given the small sample size.</t>
  </si>
  <si>
    <t>accepted google identity: 13.3/15; review volume: 13.7/30; review consistency: 0.9/7; review freshness: 3.6/8; verified website: 13.3/15; confirmed irs record: 0.0/20; source corroboration: 3.3/5; Synthesis metadata: medium (not part of numeric confidence)</t>
  </si>
  <si>
    <t>900A S Main St #105, Bel Air, MD 21014</t>
  </si>
  <si>
    <t>(410) 914-4012</t>
  </si>
  <si>
    <t>Whitesell and Associates, Inc</t>
  </si>
  <si>
    <t>Accepting new patients; psychotherapy available in-person or via telehealth; serves clients of all ages, including children.</t>
  </si>
  <si>
    <t>Mental health practice offering therapy for individuals, couples, and families, with access to telepsychiatry-based medication management and psychological assessments in Bel Air, Maryland.</t>
  </si>
  <si>
    <t>http://www.courageousdialogue.com/</t>
  </si>
  <si>
    <t>Review data show generally positive experiences with therapists and staff; most recent notes describe good fit, compassionate care, and progress, while a small number of older reviews report scheduling or administrative issues; recent reviews remain favorable and the practice shows active responsiveness to feedback.</t>
  </si>
  <si>
    <t>accepted google identity: 14.2/15; review volume: 19.7/30; review consistency: 0.1/7; review freshness: 7.7/8; verified website: 14.2/15; confirmed irs record: 0.0/20; source corroboration: 3.3/5; Synthesis metadata: medium (not part of numeric confidence)</t>
  </si>
  <si>
    <t>7954 Baltimore Annapolis Blvd #2e, Glen Burnie, MD 21060</t>
  </si>
  <si>
    <t>(410) 590-3672</t>
  </si>
  <si>
    <t>Empowering Minds Resource Center</t>
  </si>
  <si>
    <t>Referral form available via Baltimore City Department of Social Services; intake by appointment; appointments recommended; services may require referrals; insurances accepted (including Medicaid and non-Medicaid per program pages).</t>
  </si>
  <si>
    <t>Monday: 8 AM to 6 PM; Tuesday: 8 AM to 6 PM; Wednesday: 8 AM to 6 PM; Thursday: 8 AM to 6 PM; Friday: 8 AM to 6 PM; Saturday: 9 AM to 12 PM; Sunday: Closed</t>
  </si>
  <si>
    <t>Empowering Minds Resource Center provides mental health services with a holistic, person-centered approach for children, youth, families, and adults. Core offerings include therapy and medication management, psychiatric rehabilitation programs (PRP), case management, and a range of home- and community-based supports and group services aimed at building coping skills, relationships, and community participation.</t>
  </si>
  <si>
    <t>https://www.emrcgroup.org/</t>
  </si>
  <si>
    <t>Review data show predominantly positive experiences, with many callers describing friendly, helpful staff and valuable programs and groups. There are a few earlier, more critical reviews, but the most recent feedback points to continued satisfaction and engagement with EMRC’s services. Overall, the review text suggests stable quality and ongoing commitment to addressing client needs.</t>
  </si>
  <si>
    <t>accepted google identity: 14.2/15; review volume: 29.3/30; review consistency: 1.8/7; review freshness: 7.2/8; verified website: 14.2/15; confirmed irs record: 0.0/20; source corroboration: 3.3/5; Synthesis metadata: high (not part of numeric confidence)</t>
  </si>
  <si>
    <t>8258 Veterans Hwy #13, Millersville, MD 21108</t>
  </si>
  <si>
    <t>(410) 768-6088</t>
  </si>
  <si>
    <t>LifeStance Therapists &amp; Psychiatrists Millersville</t>
  </si>
  <si>
    <t>Eligibility: serves all ages; Insurance: accepts most insurances; Intake/referral: not evidenced; Appointment is typically required.</t>
  </si>
  <si>
    <t>LifeStance Health Millersville is a full-service mental health clinic operated by a national network of licensed psychiatrists, psychologists, therapists, and nurse practitioners. It offers in-person and online therapy, psychiatry, and medication management for patients of all ages, with services typically covered by many insurance plans.</t>
  </si>
  <si>
    <t>https://lifestance.com/location/millersville-md-8258/?utm_source=gmb&amp;utm_medium=organic&amp;utm_campaign=locations</t>
  </si>
  <si>
    <t>Review data indicate generally positive experiences with LifeStance Health Millersville, with many mentions of caring and effective clinicians. Recurring themes include empathy, responsiveness, and practical support, while some reviewers report frustration with scheduling, communication with the front office, and billing concerns. The newest reviews show a continued mix of praise for clinicians alongside ongoing complaints about administrative or access issues, suggesting an overall favorable view of care but with attention needed on operations.</t>
  </si>
  <si>
    <t>accepted google identity: 14.2/15; review volume: 30.0/30; review consistency: 3.6/7; review freshness: 7.8/8; verified website: 14.2/15; confirmed irs record: 0.0/20; source corroboration: 3.3/5; Synthesis metadata: high (not part of numeric confidence)</t>
  </si>
  <si>
    <t>8028 Ritchie Hwy #312, Pasadena, MD 21122</t>
  </si>
  <si>
    <t>(410) 590-9011</t>
  </si>
  <si>
    <t>Everstand Outpatient Mental Health Clinic (Formerly Board of Child Care)</t>
  </si>
  <si>
    <t>Ages served: up to 20; Medicaid accepted; sliding-scale fees; new clients welcome.</t>
  </si>
  <si>
    <t>Monday: 8 AM to 7 PM; Tuesday: 8 AM to 7 PM; Wednesday: 8 AM to 7 PM; Thursday: 8 AM to 7 PM; Friday: 8 AM to 4 PM; Saturday: Closed; Sunday: Closed</t>
  </si>
  <si>
    <t>Everstand Outpatient Mental Health Clinic provides outpatient mental health services for youth and families, including individual, family, and group therapy; psychiatric services with medication management; and diagnostic assessments to support personalized treatment plans.</t>
  </si>
  <si>
    <t>https://www.boardofchildcare.org/maryland-outpatient-mental-health-clinic/</t>
  </si>
  <si>
    <t>Review data from the listing show consistently positive feedback about warm, supportive staff and a welcoming environment. The newest reviews describe helpful intake experiences and ongoing progress, suggesting continued satisfaction in recent experiences. Given the small sample size, the overall impression remains favorable but should be interpreted with caution.</t>
  </si>
  <si>
    <t>accepted google identity: 14.2/15; review volume: 11.3/30; review consistency: 7.0/7; review freshness: 2.8/8; verified website: 14.2/15; confirmed irs record: 0.0/20; source corroboration: 3.3/5; Synthesis metadata: high (not part of numeric confidence)</t>
  </si>
  <si>
    <t>1308 Business Center Way #102, Edgewood, MD 21040</t>
  </si>
  <si>
    <t>(443) 461-3311</t>
  </si>
  <si>
    <t>Project Chesapeake provides behavioral health counseling, including substance-use disorder treatment and mental health counseling services.</t>
  </si>
  <si>
    <t>http://projectchesapeake.com/</t>
  </si>
  <si>
    <t>Review data describe a pattern of staff turnover and inconsistent counselor availability, which several reviewers say undermines trust and ongoing engagement. Some reviewers report positive experiences with individual therapists and accessible communication, but the most recent feedback centers on turnover and trust concerns. The latest reviews continue to show mixed experiences, with negative sentiment predominating among the newer entries. Overall, the review text suggests that while some clients have favorable interactions, the overall impression is shaped by ongoing turnover and inconsistent care.</t>
  </si>
  <si>
    <t>accepted google identity: 14.2/15; review volume: 24.9/30; review consistency: 2.1/7; review freshness: 6.9/8; verified website: 14.2/15; confirmed irs record: 0.0/20; source corroboration: 3.3/5; Synthesis metadata: low (not part of numeric confidence)</t>
  </si>
  <si>
    <t>1833A Pulaski Hwy, Edgewood, MD 21040</t>
  </si>
  <si>
    <t>(443) 484-2306</t>
  </si>
  <si>
    <t>Appointments are recommended for services; referrals may be used via partner agencies. A referral form linked on the site indicates intake facilitation through DSS partners.</t>
  </si>
  <si>
    <t>Empowering Minds Resource Center is a behavioral health organization offering therapy, medication management, case management, and psychiatric rehabilitation services for children, families, and adults in the Baltimore area.</t>
  </si>
  <si>
    <t>Review data shows generally positive experiences, with praise for care coordination, helpful case managers, and supportive staff. Review text often highlights resources connected and compassionate support, though a small number of reviews note scheduling difficulties. Newest reviews continue to reflect positive experiences and ongoing service quality.</t>
  </si>
  <si>
    <t>accepted google identity: 14.2/15; review volume: 30.0/30; review consistency: 4.0/7; review freshness: 7.3/8; verified website: 14.2/15; confirmed irs record: 0.0/20; source corroboration: 3.3/5; Synthesis metadata: high (not part of numeric confidence)</t>
  </si>
  <si>
    <t>7540a N Market St, Frederick, MD 21701</t>
  </si>
  <si>
    <t>(240) 831-4873</t>
  </si>
  <si>
    <t>The Orenda Center of Wellness - Outpatient Services for Mental Health and Substance Use Disorder</t>
  </si>
  <si>
    <t>Monday: 8:30 AM to 8 PM; Tuesday: 8:30 AM to 5 PM; Wednesday: 8:30 AM to 8 PM; Thursday: 8:30 AM to 8 PM; Friday: 8:30 AM to 5 PM; Saturday: Closed; Sunday: Closed</t>
  </si>
  <si>
    <t>Orenda Center of Wellness provides residential and outpatient treatment for substance use and co‑occurring mental health disorders, with a continuum of care from inpatient services through PHP, IOP, and outpatient therapy, plus holistic and supportive therapies as part of long‑term recovery.</t>
  </si>
  <si>
    <t>http://theorendacenter.com/</t>
  </si>
  <si>
    <t>Review data shows predominantly positive feedback about caring staff, continuity of care, and effective treatment across inpatient, PHP, and outpatient levels, with clients praising the team and the structured program. A small number of reviews note negative experiences such as discharge concerns and communication issues, which appear isolated. Overall, newest reviews continue to trend positively, indicating ongoing satisfaction with the program and its recovery supports.</t>
  </si>
  <si>
    <t>accepted google identity: 14.2/15; review volume: 30.0/30; review consistency: 1.5/7; review freshness: 7.9/8; verified website: 14.2/15; confirmed irs record: 0.0/20; source corroboration: 3.3/5; Synthesis metadata: high (not part of numeric confidence)</t>
  </si>
  <si>
    <t>35 Kensington Pkwy, Abingdon, MD 21009</t>
  </si>
  <si>
    <t>(410) 671-2705</t>
  </si>
  <si>
    <t>Mental health treatment and behavioral health support for children, adults, and families in Abingdon, Maryland, delivered through a community-based behavioral health program with educational services.</t>
  </si>
  <si>
    <t>http://www.leadingbyexamplellc.com/</t>
  </si>
  <si>
    <t>Review data show at least one recent positive experience with a therapist and provider, with the reviewer feeling heard, though they left due to insurance coverage changes. The overall listing has only a small number of reviews and a long gap since the newest one, so conclusions about typical experiences are limited.</t>
  </si>
  <si>
    <t>accepted google identity: 14.2/15; review volume: 7.3/30; review consistency: 7.0/7; review freshness: 5.3/8; verified website: 14.2/15; confirmed irs record: 0.0/20; source corroboration: 3.3/5; Synthesis metadata: medium (not part of numeric confidence)</t>
  </si>
  <si>
    <t>3105 Emmorton Rd #2C, Abingdon, MD 21009</t>
  </si>
  <si>
    <t>(410) 569-5900</t>
  </si>
  <si>
    <t>Emmorton Psychology</t>
  </si>
  <si>
    <t>Must be 18 or older. Clients may contact directly or be referred. Appointments recommended. Wheelchair accessible entrance, parking, and restroom.</t>
  </si>
  <si>
    <t>Emmorton Psychology is a multidisciplinary mental health and substance use treatment practice in Abingdon, Maryland, offering therapy and related services by a team of clinicians.</t>
  </si>
  <si>
    <t>http://www.emmortonpsych.com/</t>
  </si>
  <si>
    <t>Review data is very limited: there is a single 5-star review with no quoted feedback. Because the sample is so small, it’s difficult to discern consistent strengths or concerns, and trends in reviewer experiences are not evident.</t>
  </si>
  <si>
    <t>630 E Diamond Ave Suites A, B, and C, Gaithersburg, MD 20877</t>
  </si>
  <si>
    <t>(301) 840-3292</t>
  </si>
  <si>
    <t>Sheppard Pratt - Vocational Services - Gaithersburg</t>
  </si>
  <si>
    <t>Provides vocational services and employment support to help clients find community-based work, incorporating the Individual Placement and Support model to assist clients in obtaining real-world employment.</t>
  </si>
  <si>
    <t>https://www.sheppardpratt.org/locations-directions/details/vocational-services-gaithersburg/</t>
  </si>
  <si>
    <t>Review feedback was unavailable for this organization; no public reviews were found. Based on available signals, the listing appears operational, but there is no usable review data to summarize.</t>
  </si>
  <si>
    <t>2528 Mountain Rd, Pasadena, MD 21122</t>
  </si>
  <si>
    <t>(443) 548-3733</t>
  </si>
  <si>
    <t>Evolve Life Centers</t>
  </si>
  <si>
    <t>Admission begins with a confidential phone intake to verify insurance and tentatively schedule placement; medical and clinical assessments determine fit for residential vs. outpatient tracks; once admitted, clients are guided into the chosen program; insurance verification is required.</t>
  </si>
  <si>
    <t>Evolve Life Centers provides addiction treatment services, including residential care and outpatient tracks, along with recovery housing and mental health services. Programs described on their site include residential treatment, Intensive Outpatient Program (IOP), Outpatient Program (OP), PHP, and housing support, emphasizing structured therapy and ongoing recovery support.</t>
  </si>
  <si>
    <t>http://evolvelifecenters.com/</t>
  </si>
  <si>
    <t>Review data show a consistently positive sentiment about the center, with several reports describing the staff as caring and the environment as welcoming and supportive for recovery. Review text commonly highlights helpful program structure and practical supports that aid progress. The newest reviews continue to reflect these positive experiences.</t>
  </si>
  <si>
    <t>accepted google identity: 14.2/15; review volume: 30.0/30; review consistency: 7.0/7; review freshness: 8.0/8; verified website: 14.2/15; confirmed irs record: 0.0/20; source corroboration: 3.3/5; Synthesis metadata: high (not part of numeric confidence)</t>
  </si>
  <si>
    <t>1730 Rhode Island Ave NW Ste 712, Washington, DC 20036</t>
  </si>
  <si>
    <t>(202) 723-3000</t>
  </si>
  <si>
    <t>Lutheran Social Services of the National Capital Area</t>
  </si>
  <si>
    <t>LSSNCA provides refugee, immigrant, and general social services in the DC area, including housing support, immigration documentation help, transportation assistance, and trauma‑informed mental health services to families and individuals rebuilding their lives after resettlement.</t>
  </si>
  <si>
    <t>http://lssnca.org/</t>
  </si>
  <si>
    <t>Review data from Google Maps shows mixed experiences: a highly positive note about staff and support, a 2025-01-08 one-star complaint about a deduction during resettlement, and a 2023 positive review about housing and documentation help. The newest review (2025-02-10) is positive, while the most recent 2025-01-08 review raises a concern about financial handling. Overall, available review data suggests generally favorable interactions with staff and services, but experiences vary; IRS BMF data shows no match, limiting cross-checking, while the official website confirms ongoing services and operational status.</t>
  </si>
  <si>
    <t>accepted google identity: 14.2/15; review volume: 21.6/30; review consistency: 0.4/7; review freshness: 2.7/8; verified website: 14.2/15; confirmed irs record: 0.0/20; source corroboration: 3.3/5; Synthesis metadata: high (not part of numeric confidence)</t>
  </si>
  <si>
    <t>121 S Market St, Frederick, MD 21701</t>
  </si>
  <si>
    <t>(240) 629-8015</t>
  </si>
  <si>
    <t>On Our Own of Frederick County</t>
  </si>
  <si>
    <t>Monday: 8:30 AM to 8 PM; Tuesday: 8:30 AM to 4 PM; Wednesday: 8:30 AM to 4 PM; Thursday: 8:30 AM to 8 PM; Friday: 8:30 AM to 4 PM; Saturday: Closed; Sunday: 1 to 4 PM</t>
  </si>
  <si>
    <t>On Our Own of Frederick County is a peer-led wellness and recovery center that offers free peer support, advocacy, recovery coaching, and related programs for adults and families in Frederick County dealing with mental health challenges and substance use disorders.</t>
  </si>
  <si>
    <t>http://www.onourownfrederick.org/</t>
  </si>
  <si>
    <t>Review data shows a mix of experiences. Recent reviews praise peer support groups and recovery programs, including a positive acudetox experience. However, a subset of reviews describe concerns about safety and staff conduct. The newest feedback trends more positive, but lingering concerns warrant attention.</t>
  </si>
  <si>
    <t>accepted google identity: 14.2/15; review volume: 21.3/30; review consistency: 0.1/7; review freshness: 7.7/8; verified website: 14.2/15; confirmed irs record: 0.0/20; source corroboration: 3.3/5; Synthesis metadata: medium (not part of numeric confidence)</t>
  </si>
  <si>
    <t>201c Broadway St #110, Frederick, MD 21701</t>
  </si>
  <si>
    <t>(240) 801-7799</t>
  </si>
  <si>
    <t>Project Chesapeake provides behavioral health counseling and addiction-related services, including substance-use disorder treatment and mental health counseling, across Maryland.</t>
  </si>
  <si>
    <t>No usable user-review text is available for this listing. The listing is shown as operational, and the official website corroborates behavioral health counseling and substance-use disorder services. Because there are no published reviews in the sample, reliability cannot be gauged from consumer feedback at this time.</t>
  </si>
  <si>
    <t>210 Abrecht Pl, Frederick, MD 21701</t>
  </si>
  <si>
    <t>(301) 663-8263</t>
  </si>
  <si>
    <t>Sheppard Pratt - Outpatient Mental Health Center - Frederick</t>
  </si>
  <si>
    <t>Monday: 8:30 AM to 6 PM; Tuesday: 8:30 AM to 8 PM; Wednesday: 8:30 AM to 6 PM; Thursday: 8:30 AM to 8 PM; Friday: 8:30 AM to 5 PM; Saturday: Closed; Sunday: Closed</t>
  </si>
  <si>
    <t>Sheppard Pratt Outpatient Mental Health Center in Frederick provides outpatient mental health services for children, adolescents, and adults, including therapy and medication management.</t>
  </si>
  <si>
    <t>https://www.sheppardpratt.org/locations-directions/details/outpatient-mental-health-center-frederick/</t>
  </si>
  <si>
    <t>Review data show generally positive feedback about staff and clinicians, with recurring concerns about access to care and phone accessibility. The newest reviews are mixed but lean toward positive experiences, and the organization has shown responsiveness to concerns. Overall, experiences reported by reviewers suggest solid care when access is achievable, but ongoing access barriers remain a theme.</t>
  </si>
  <si>
    <t>accepted google identity: 14.2/15; review volume: 30.0/30; review consistency: 2.5/7; review freshness: 6.8/8; verified website: 14.2/15; confirmed irs record: 0.0/20; source corroboration: 3.3/5; Synthesis metadata: high (not part of numeric confidence)</t>
  </si>
  <si>
    <t>10 N Jefferson St Unit 202, Frederick, MD 21701</t>
  </si>
  <si>
    <t>(240) 750-6467</t>
  </si>
  <si>
    <t>Orchard Mental Health Group</t>
  </si>
  <si>
    <t>Appointments recommended; accepts multiple insurance providers; telehealth available; in-person visits by appointment.</t>
  </si>
  <si>
    <t>Orchard Mental Health Group provides outpatient mental health care, including psychotherapy, psychological assessments/evaluations, and medication management. Services are delivered by licensed therapists, psychologists, and psychiatric providers with in-person options and telehealth, and they work with a range of insurers.</t>
  </si>
  <si>
    <t>https://orchardmentalhealth.com/</t>
  </si>
  <si>
    <t>Review feedback was unavailable or too thin to summarize. The available non-review inputs indicate the organization is operational with regular business hours and a physical presence, but there is no published user-review data to gauge experiences.</t>
  </si>
  <si>
    <t>7200 Bank Ct, Frederick, MD 21703</t>
  </si>
  <si>
    <t>(301) 363-1063</t>
  </si>
  <si>
    <t>Gemini Health - Frederick, Maryland</t>
  </si>
  <si>
    <t>Appointments recommended; in-person and tele-health options available; accepts all insurances including Medicare and Medicaid.</t>
  </si>
  <si>
    <t>Gemini Health provides outpatient behavioral health therapy, primary care, and pain management within a single practice, with a focus on total wellness and individualized care plans. Website content indicates they address mental health, medical care, and substance-use concerns in an integrated, patient-centered approach.</t>
  </si>
  <si>
    <t>https://geminihealthmd.com/</t>
  </si>
  <si>
    <t>There are no usable Google Maps reviews available to summarize, so reviewer sentiment cannot be reported. The listing and the official website corroborate the service offerings and hours, but consumer feedback is unavailable. Reliability, therefore, rests on the stated services and access information rather than reviews.</t>
  </si>
  <si>
    <t>20 Courthouse Sq, Rockville, MD 20850</t>
  </si>
  <si>
    <t>(301) 670-6161</t>
  </si>
  <si>
    <t>Metro Counseling Services</t>
  </si>
  <si>
    <t>Metro Counseling Services offers counseling and related behavioral health services with a focus on substance use, including an early-intervention education program and outpatient counseling, as well as substance-use evaluations.</t>
  </si>
  <si>
    <t>https://metrocounselingservices.com/contact-us</t>
  </si>
  <si>
    <t>There are no published reviews in the captured sources to summarize client experiences. The listing is operational with consistent business hours and a reachable website, and basic contact details appear valid, but without reviews it is difficult to assess quality or satisfaction. Overall, reliability is limited by the absence of user feedback.</t>
  </si>
  <si>
    <t>401 E Jefferson St #201, Rockville, MD 20850</t>
  </si>
  <si>
    <t>(301) 983-5130</t>
  </si>
  <si>
    <t>Second Chance Care</t>
  </si>
  <si>
    <t>Intake starts with a free consultation; the center accepts major insurances (Blue Cross Blue Shield, UnitedHealthcare, Maryland Medicaid, Aetna, and Tricare East). Access can be arranged via the website or the listed phone number to schedule an appointment.</t>
  </si>
  <si>
    <t>Second Chance Care is an outpatient addiction treatment center in Rockville, MD. It offers evidence-based programs, including Intensive Outpatient Program (IOP) and Outpatient Program (OP), along with individual therapy, group therapy, and medication management for addiction and co-occurring mental health conditions.</t>
  </si>
  <si>
    <t>http://www.secondchancecare.com/</t>
  </si>
  <si>
    <t>Review data shows generally positive experiences, with many reviewers praising staff, therapists, and progress in recovery. A subset cites intake delays or interpersonal tensions, including concerns about management; the latest reviews remain favorable and the organization appears responsive to feedback.</t>
  </si>
  <si>
    <t>accepted google identity: 14.2/15; review volume: 30.0/30; review consistency: 2.5/7; review freshness: 7.6/8; verified website: 14.2/15; confirmed irs record: 0.0/20; source corroboration: 3.3/5; Synthesis metadata: high (not part of numeric confidence)</t>
  </si>
  <si>
    <t>10770 Columbia Pike Ste 300-E40, Silver Spring, MD 20901</t>
  </si>
  <si>
    <t>(301) 665-0662</t>
  </si>
  <si>
    <t>Divine Wellness and Psychiatric Services</t>
  </si>
  <si>
    <t>Appointment required; Appointments recommended.</t>
  </si>
  <si>
    <t>Monday: 3 to 7 PM; Tuesday: 3 to 7 PM; Wednesday: 3 to 7 PM; Thursday: 10 AM to 7 PM; Friday: 10 AM to 7 PM; Saturday: 10 AM to 2 PM; Sunday: Closed</t>
  </si>
  <si>
    <t>Divine Wellness and Psychiatric Services provides psychiatric and mental health care, including assessment and medication management, delivered by a board-certified provider who treats conditions such as anxiety, major depressive disorder, PTSD, bipolar disorder, ADHD, and related concerns.</t>
  </si>
  <si>
    <t>https://www.divinepsychcare.com/</t>
  </si>
  <si>
    <t>Review data show consistently positive feedback highlighting the provider's kindness, attentiveness, and effective treatment planning. Review text frequently mentions thorough listening, compassionate care, and flexible scheduling, and the newest reviews continue to express satisfaction with care quality.</t>
  </si>
  <si>
    <t>accepted google identity: 14.2/15; review volume: 25.7/30; review consistency: 7.0/7; review freshness: 4.3/8; verified website: 14.2/15; confirmed irs record: 0.0/20; source corroboration: 3.3/5; Synthesis metadata: high (not part of numeric confidence)</t>
  </si>
  <si>
    <t>4540-B Mack Ave, Frederick, MD 21703</t>
  </si>
  <si>
    <t>(301) 733-0331 ext. 7650</t>
  </si>
  <si>
    <t>Brook Lane Frederick Outpatient</t>
  </si>
  <si>
    <t>Intake is handled by the Admissions Office: call 301-733-0331 ext 3580 or 301-733-0331 option 1. Brook Lane accepts Medicare, Medicaid, and most insurance plans. For residential care, referrals are coordinated through the Maryland Behavioral Health Administration (BHA).</t>
  </si>
  <si>
    <t>Monday: 8 AM to 8 PM; Tuesday: 8 AM to 6 PM; Wednesday: 8 AM to 8 PM; Thursday: 8 AM to 8 PM; Friday: 8 AM to 5 PM; Saturday: Closed; Sunday: Closed</t>
  </si>
  <si>
    <t>Brook Lane Frederick is a mental health care provider offering a full continuum of behavioral health services, including inpatient psychiatric hospitalization, a partial hospital program, residential programs for youth, and outpatient therapy and evaluation.</t>
  </si>
  <si>
    <t>http://www.brooklane.org/directions.aspx</t>
  </si>
  <si>
    <t>Review data show ongoing concerns with access to care and responsiveness, with multiple posts describing difficulty obtaining appointments and communication gaps. A single positive testimonial from 2023 exists, but newer feedback tends to be negative, suggesting persistent challenges in patient experience rather than improvement.</t>
  </si>
  <si>
    <t>accepted google identity: 14.2/15; review volume: 28.8/30; review consistency: 2.6/7; review freshness: 6.6/8; verified website: 14.2/15; confirmed irs record: 0.0/20; source corroboration: 3.3/5; Synthesis metadata: low (not part of numeric confidence)</t>
  </si>
  <si>
    <t>216 E Lexington St, Baltimore, MD 21202</t>
  </si>
  <si>
    <t>(410) 801-9011</t>
  </si>
  <si>
    <t>A&amp;E Healthcare Services, Inc.</t>
  </si>
  <si>
    <t>Eligibility requires a PBHS DSM-5 diagnosis defined for the psychiatric rehabilitation program; services may be delivered onsite or offsite and are organized around monthly activity calendars; for the pediatric/adolescent program, visits are scheduled with families, and minimum monthly activity/visit requirements apply depending on service configuration.</t>
  </si>
  <si>
    <t>Outpatient mental health services provider offering outpatient mental health care and a psychiatric rehabilitation program for children and adolescents in Baltimore, Maryland, with services available onsite at the clinic or in the home/community setting.</t>
  </si>
  <si>
    <t>https://aehealthcareservices.com/</t>
  </si>
  <si>
    <t>The listing has one recent positive review noting caring staff, a respectful, unpressured environment, and clean facilities. Review data show a strong positive signal from a single sample, with no contrasting negative feedback in the available text. The overall reliability view relies on a small amount of user feedback but is consistently favorable in the provided review text.</t>
  </si>
  <si>
    <t>accepted google identity: 14.2/15; review volume: 5.0/30; review consistency: 7.0/7; review freshness: 7.6/8; verified website: 14.2/15; confirmed irs record: 0.0/20; source corroboration: 3.3/5; Synthesis metadata: high (not part of numeric confidence)</t>
  </si>
  <si>
    <t>9320 Annapolis Rd #340, Lanham, MD 20706</t>
  </si>
  <si>
    <t>(301) 731-1222</t>
  </si>
  <si>
    <t>McGuire Therapeutic Services</t>
  </si>
  <si>
    <t>Appointments are recommended and can be scheduled by phone at 301-731-1222 or via email at info@mcguiretherapy.com. Private intake is maintained between the client and therapist.</t>
  </si>
  <si>
    <t>Monday: 10 AM to 6 PM; Tuesday: 10 AM to 6 PM; Wednesday: 10 AM to 6 PM; Thursday: 10 AM to 6 PM; Friday: 10 AM to 6 PM; Saturday: Closed; Sunday: Closed</t>
  </si>
  <si>
    <t>McGuire Therapeutic Services provides mental health services, including psychiatric rehabilitation, individual counseling, group counseling, family counseling, coaching, and consultation to support personal and professional growth.</t>
  </si>
  <si>
    <t>http://www.mcguiretherapy.com/</t>
  </si>
  <si>
    <t>Review data show consistently positive experiences, with reviewers praising therapists’ professionalism, empathy, and effectiveness. Recurring themes include helpful, client-centered care and supportive staff; newest reviews continue to reflect high satisfaction.</t>
  </si>
  <si>
    <t>accepted google identity: 14.2/15; review volume: 19.2/30; review consistency: 7.0/7; review freshness: 7.3/8; verified website: 14.2/15; confirmed irs record: 0.0/20; source corroboration: 3.3/5; Synthesis metadata: high (not part of numeric confidence)</t>
  </si>
  <si>
    <t>Second Floor, 111 Centerway Ste C, Greenbelt, MD 20770</t>
  </si>
  <si>
    <t>(240) 670-4050</t>
  </si>
  <si>
    <t>Choice Clinical Services</t>
  </si>
  <si>
    <t>Appointments required; appointments recommended; Spanish-language services available; wheelchair-accessible parking and seating; gender-neutral restrooms; LGBTQ+-friendly environment.</t>
  </si>
  <si>
    <t>Monday: 9 AM to 4 PM; Tuesday: 9 AM to 4 PM; Wednesday: 9 AM to 4 PM; Thursday: 9 AM to 4 PM; Friday: 9 AM to 4 PM; Saturday: 10 AM to 2 PM; Sunday: 10 AM to 2 PM</t>
  </si>
  <si>
    <t>Choice Clinical Services provides mental health therapy for individuals, couples, and families, delivered by licensed clinicians.</t>
  </si>
  <si>
    <t>https://www.choiceclinical.com/</t>
  </si>
  <si>
    <t>Review data show mixed experiences. Some clients praise certain therapists for listening and empathy, while others report disorganization and scheduling delays, including late arrivals and billing frustrations. The newest reviews indicate ongoing concerns, aligning with earlier negative feedback, though a few clinicians are described positively.</t>
  </si>
  <si>
    <t>accepted google identity: 14.2/15; review volume: 16.9/30; review consistency: 2.5/7; review freshness: 4.5/8; verified website: 14.2/15; confirmed irs record: 0.0/20; source corroboration: 3.3/5; Synthesis metadata: medium (not part of numeric confidence)</t>
  </si>
  <si>
    <t>2525 Riva Rd #139, Annapolis, MD 21401</t>
  </si>
  <si>
    <t>(443) 221-7866</t>
  </si>
  <si>
    <t>Allen-Ayuk Behavioral Health</t>
  </si>
  <si>
    <t>Monday: 8 AM to 9 PM; Tuesday: 8 AM to 9 PM; Wednesday: 8 AM to 9 PM; Thursday: 8 AM to 9 PM; Friday: 8 AM to 9 PM; Saturday: 8 AM to 3 PM; Sunday: 8 AM to 9 PM</t>
  </si>
  <si>
    <t>Outpatient mental health services with a focus on rehabilitation and community-based supports, including individual, group, and couples therapy, medication evaluations and management, and a Psychiatric Rehabilitation Program to help children, adolescents, and adults access resources and skills for independent living.</t>
  </si>
  <si>
    <t>http://allen-ayukbehavioralhealth.com/</t>
  </si>
  <si>
    <t>Available review data describe staff as highly communicative and supportive of families, particularly with adolescents, and portray staff such as Mr. Allen and Michael in a very positive, reassuring light. The feedback highlights trust-building and effective navigation of care for youths; however, there is only a single publicly available review, so the overall reliability picture remains limited and newer feedback is not available for corroboration.</t>
  </si>
  <si>
    <t>7404 Executive Pl Ste 250, Lanham, MD 20706</t>
  </si>
  <si>
    <t>(240) 360-2637</t>
  </si>
  <si>
    <t>BK Behavioral Health Center, Inc.</t>
  </si>
  <si>
    <t>Appointments recommended. Wheelchair accessible entrance, parking, and restroom indicated.</t>
  </si>
  <si>
    <t>Outpatient mental health center offering behavioral health services.</t>
  </si>
  <si>
    <t>Review data show very positive feedback in the available samples, with reviewers praising staff and client-centered care. The newest feedback is dated in 2024, and the overall sentiment in the sample remains favorable, though recency is limited. The reliability signals for the listing text and hours are strong, but newer user comments are not available in the current sample.</t>
  </si>
  <si>
    <t>accepted google identity: 14.2/15; review volume: 8.5/30; review consistency: 7.0/7; review freshness: 1.5/8; verified website: 0.0/15; confirmed irs record: 0.0/20; source corroboration: 1.7/5; Synthesis metadata: high (not part of numeric confidence)</t>
  </si>
  <si>
    <t>1662 Village Green #100, Crofton, MD 21114</t>
  </si>
  <si>
    <t>(443) 795-4300</t>
  </si>
  <si>
    <t>LifeStance Therapists &amp; Psychiatrists Crofton</t>
  </si>
  <si>
    <t>Monday: Closed; Tuesday: 8 AM to 6 PM; Wednesday: 8 AM to 6 PM; Thursday: 8 AM to 6 PM; Friday: 8 AM to 5 PM; Saturday: Closed; Sunday: Closed</t>
  </si>
  <si>
    <t>LifeStance Therapists &amp; Psychiatrists Crofton provides mental health care from a multidisciplinary team, offering in-person visits and telehealth. The practice lists licensed therapists, counselors, psychologists, psychiatrists, and psychiatric nurse practitioners and supports therapy and medication management for a wide range of mental health needs across all ages.</t>
  </si>
  <si>
    <t>https://lifestance.com/location/crofton-md-1662/?utm_source=gmb&amp;utm_medium=organic&amp;utm_campaign=locations</t>
  </si>
  <si>
    <t>Review data show overwhelmingly positive feedback from patients, with reviewers describing staff as warm, attentive, and thorough. Review texts highlight compassionate listening, clear guidance, and helpful in-person and telehealth sessions; the most recent reviews continue to reflect high satisfaction. Overall, the review data supports a favorable impression of the care provided.</t>
  </si>
  <si>
    <t>accepted google identity: 14.2/15; review volume: 30.0/30; review consistency: 6.3/7; review freshness: 7.7/8; verified website: 14.2/15; confirmed irs record: 0.0/20; source corroboration: 3.3/5; Synthesis metadata: high (not part of numeric confidence)</t>
  </si>
  <si>
    <t>7525 Greenway Center Dr #207, Greenbelt, MD 20770</t>
  </si>
  <si>
    <t>(240) 473-2159</t>
  </si>
  <si>
    <t>Maryland Health Alliance Inc.</t>
  </si>
  <si>
    <t>Appointments are recommended or required. Schedule by calling the phone number or emailing the provided address: call (240) 473-2159 or info@md-health.org. No explicit eligibility criteria or intake documents are evidenced in the available sources.</t>
  </si>
  <si>
    <t>Maryland Health Alliance Inc. is a community-based outpatient mental health clinic serving children, adults, and families. It provides psychiatric evaluations, medication management, psychosocial assessments, and individual, family, and group therapy, and it is noted as CARF-accredited on the listing.</t>
  </si>
  <si>
    <t>http://md-health.org/</t>
  </si>
  <si>
    <t>Review data show mixed experiences: some clients report friendly staff and positive outcomes, while a recent reviewer cites long wait times and lack of callbacks. The newest review is negative, indicating ongoing access challenges, whereas an earlier review described satisfactory interactions. Overall, the reviews suggest variability in service experiences.</t>
  </si>
  <si>
    <t>accepted google identity: 14.2/15; review volume: 13.9/30; review consistency: 0.0/7; review freshness: 7.4/8; verified website: 14.2/15; confirmed irs record: 0.0/20; source corroboration: 3.3/5; Synthesis metadata: medium (not part of numeric confidence)</t>
  </si>
  <si>
    <t>6911 Laurel - Bowie Rd, Bowie, MD 20715</t>
  </si>
  <si>
    <t>(301) 704-5094</t>
  </si>
  <si>
    <t>CarolKay HealthCare Services</t>
  </si>
  <si>
    <t>Eligible for PRP services if covered by Medicaid or Primary Adult Care (PAC); PRP requires referral by a licensed behavioral health clinician.</t>
  </si>
  <si>
    <t>CAROLKAY HEALTHCARE SERVICES provides behavioral health and therapeutic care to patients in Bowie, Maryland and nearby areas, offering psychiatric rehabilitation, individual and group therapy, family counseling, crisis intervention, and pediatric/adolescent mental health programs.</t>
  </si>
  <si>
    <t>http://www.carolkayhealthcare.com/home-health-care-about-us</t>
  </si>
  <si>
    <t>There is limited narrative feedback in the available reviews: a single 5-star review with no accompanying text. The newest review is from 2025, and the sample size is small, so the overall review signal is positive but too thin to draw robust conclusions about quality or consistency.</t>
  </si>
  <si>
    <t>accepted google identity: 14.2/15; review volume: 5.0/30; review consistency: 7.0/7; review freshness: 3.1/8; verified website: 14.2/15; confirmed irs record: 0.0/20; source corroboration: 3.3/5; Synthesis metadata: medium (not part of numeric confidence)</t>
  </si>
  <si>
    <t>8701 Georgia Ave Ste 500, Silver Spring, MD 20910</t>
  </si>
  <si>
    <t>(301) 565-0720</t>
  </si>
  <si>
    <t>Innovative Clinical Associates</t>
  </si>
  <si>
    <t>Appointments are recommended; telehealth options are available; scheduling depends on clinician availability and may occur outside standard hours. The clinic is accessible by public transit (Metro) and parking is available.</t>
  </si>
  <si>
    <t>Innovative Clinical Associates is an outpatient mental health clinic that provides therapy and psychiatric services for children, youth, adults, and families.</t>
  </si>
  <si>
    <t>http://www.icamentalhealth.com/contact</t>
  </si>
  <si>
    <t>Review data show a mix of experiences: several reviewers praise attentive staff and the support received, while others report frustrations with communication and responsiveness. The newest reviews include negative feedback, indicating that recent experiences may diverge from earlier positives. Overall, the review data suggest varied experiences rather than a uniformly strong or weak impression.</t>
  </si>
  <si>
    <t>accepted google identity: 14.2/15; review volume: 23.4/30; review consistency: 0.4/7; review freshness: 5.0/8; verified website: 14.2/15; confirmed irs record: 0.0/20; source corroboration: 3.3/5; Synthesis metadata: medium (not part of numeric confidence)</t>
  </si>
  <si>
    <t>1400 Spring St Ste 101, Silver Spring, MD 20910</t>
  </si>
  <si>
    <t>(240) 398-3514</t>
  </si>
  <si>
    <t>Behavioral &amp; Educational Solutions, P.C.</t>
  </si>
  <si>
    <t>Appointment required; clinic-based ABA therapy; diagnostic testing; family/caregiver counseling.</t>
  </si>
  <si>
    <t>Monday: 9 AM to 8 PM; Tuesday: 9 AM to 8 PM; Wednesday: 9 AM to 8 PM; Thursday: 9 AM to 8 PM; Friday: 9 AM to 8 PM; Saturday: Closed; Sunday: Closed</t>
  </si>
  <si>
    <t>Behavioral &amp; Educational Solutions, P.C. provides autism diagnostic testing and ABA therapy for children, with a family-centered approach and a hybrid service model that includes clinic-, home-, and school-based therapy, along with caregiver support.</t>
  </si>
  <si>
    <t>http://www.besdc.com/</t>
  </si>
  <si>
    <t>Review data indicate generally positive experiences with caring therapists and observable progress in children. A recurring concern among reviewers is scheduling reliability and communication, including cancellations or last-minute changes. The newest reviews show continuing scheduling frustrations, though provider responses indicate ongoing improvements.</t>
  </si>
  <si>
    <t>accepted google identity: 14.2/15; review volume: 28.8/30; review consistency: 2.8/7; review freshness: 6.0/8; verified website: 14.2/15; confirmed irs record: 0.0/20; source corroboration: 3.3/5; Synthesis metadata: high (not part of numeric confidence)</t>
  </si>
  <si>
    <t>1420 Spring St, Silver Spring, MD 20910</t>
  </si>
  <si>
    <t>(301) 588-8700</t>
  </si>
  <si>
    <t>Easterseals DC MD VA Headquarters</t>
  </si>
  <si>
    <t>Monday: 7 AM to 6 PM; Tuesday: 7 AM to 6 PM; Wednesday: 7 AM to 6 PM; Thursday: 7 AM to 6 PM; Friday: 7 AM to 6 PM; Saturday: Closed; Sunday: Closed</t>
  </si>
  <si>
    <t>Easterseals DC MD VA offers education, healthcare, and employment services to people of all ages, including children, adults with disabilities, seniors, and veterans, through a network of programs and clinical supports.</t>
  </si>
  <si>
    <t>http://www.easterseals.com/DCMDVA/</t>
  </si>
  <si>
    <t>Review data show mixed feedback: many commenters highlight organized programs, caring staff, and valuable services; a few report negative interactions with leadership or staff. The most recent reviews reinforce the sense of variability rather than a clear, uniform experience. Overall, readers should expect a range of experiences rather than consistently strong or weak performance.</t>
  </si>
  <si>
    <t>accepted google identity: 13.3/15; review volume: 20.5/30; review consistency: 0.0/7; review freshness: 7.4/8; verified website: 13.3/15; confirmed irs record: 0.0/20; source corroboration: 3.3/5; Synthesis metadata: medium (not part of numeric confidence)</t>
  </si>
  <si>
    <t>1835 University Blvd E #316, Hyattsville, MD 20783</t>
  </si>
  <si>
    <t>(301) 270-3200</t>
  </si>
  <si>
    <t>Family Behavioral Services, LLC</t>
  </si>
  <si>
    <t>Appointments recommended for intake and scheduling.</t>
  </si>
  <si>
    <t>Monday: 9 AM to 2:30 PM; Tuesday: 9 AM to 5 PM; Wednesday: 9 AM to 5 PM; Thursday: 11 AM to 7:30 PM; Friday: 9 AM to 2:30 PM; Saturday: Closed; Sunday: Closed</t>
  </si>
  <si>
    <t>Family Behavioral Services, LLC operates as an outpatient mental health clinic serving the Washington, DC metropolitan area. It provides medication management and individual, family, and group counseling, with a focus on family involvement in care.</t>
  </si>
  <si>
    <t>http://www.familybservices.com/</t>
  </si>
  <si>
    <t>Review data show consistently positive feedback about staff professionalism and helpful treatment approaches. Review text highlights supportive guidance, empathy, and practical coping strategies, with occasional notes about preferences for shorter sessions or questions about medication decisions. The newest entry is brief but the overall sentiment remains favorable within a small sample.</t>
  </si>
  <si>
    <t>accepted google identity: 14.2/15; review volume: 13.5/30; review consistency: 7.0/7; review freshness: 7.7/8; verified website: 14.2/15; confirmed irs record: 0.0/20; source corroboration: 3.3/5; Synthesis metadata: high (not part of numeric confidence)</t>
  </si>
  <si>
    <t>7003 Piney Branch Rd NW, Washington, DC 20012</t>
  </si>
  <si>
    <t>(202) 449-3789</t>
  </si>
  <si>
    <t>The Imago Center of Washington DC</t>
  </si>
  <si>
    <t>Appointments recommended; sliding-scale and pro bono options available; out-of-network billing with insurance-ready superbills; wheelchair-accessible parking; the center describes referrals from local organizations (e.g., churches and related groups) as part of their access pathways.</t>
  </si>
  <si>
    <t>Monday: 7 AM to 9:30 PM; Tuesday: 7 AM to 9:30 PM; Wednesday: 7 AM to 9:30 PM; Thursday: 7 AM to 9:30 PM; Friday: 7 AM to 9:30 PM; Saturday: Closed; Sunday: Closed</t>
  </si>
  <si>
    <t>The Imago Center of Washington DC provides psychotherapy and counseling for individuals, couples, and groups using Imago Relationship Therapy, with in-person services and a sliding-fee scale that can include pro bono options.</t>
  </si>
  <si>
    <t>http://www.imagocenterdc.com/</t>
  </si>
  <si>
    <t>Review data is sparse: there is only a single public review with a perfect rating, and no public review text is available to summarize experiences. The listing shows the center is operational with verified hours and a fixed location, but the very limited review content means reader insight into satisfaction and outcomes is constrained.</t>
  </si>
  <si>
    <t>2229, 8100 Professional Pl #200, Hyattsville, MD 20785</t>
  </si>
  <si>
    <t>(301) 577-4440</t>
  </si>
  <si>
    <t>Essential Therapeutic Perspectives, Inc.</t>
  </si>
  <si>
    <t>Monday: 9 AM to 5:30 PM; Tuesday: 9 AM to 5:30 PM; Wednesday: 9 AM to 5:30 PM; Thursday: 9 AM to 5:30 PM; Friday: 9 AM to 3:30 PM; Saturday: Closed; Sunday: Closed</t>
  </si>
  <si>
    <t>Mental health clinic offering therapy and related mental health services.</t>
  </si>
  <si>
    <t>Review data show an average rating around 3.0 from five public reviews, with the most recent entry (about 81 days ago) showing 3 stars and no text. Because the sample is small and lacks detailed feedback, it is difficult to identify clear, recurring themes; overall reliability remains uncertain given the sparse review data.</t>
  </si>
  <si>
    <t>accepted google identity: 14.2/15; review volume: 11.1/30; review consistency: 7.0/7; review freshness: 6.9/8; verified website: 0.0/15; confirmed irs record: 0.0/20; source corroboration: 1.7/5; Synthesis metadata: insufficient_evidence (not part of numeric confidence)</t>
  </si>
  <si>
    <t>8181 Professional Pl Ste 200, Hyattsville, MD 20785</t>
  </si>
  <si>
    <t>(301) 306-4590</t>
  </si>
  <si>
    <t>Interdynamics, Inc.</t>
  </si>
  <si>
    <t>Monday: 8 AM to 8:30 PM; Tuesday: 8 AM to 8:30 PM; Wednesday: 8 AM to 8:30 PM; Thursday: 8 AM to 8:30 PM; Friday: 9 AM to 6 PM; Saturday: 9 AM to 3 PM; Sunday: Closed</t>
  </si>
  <si>
    <t>Interdynamics, Inc. provides outpatient behavioral health services focused on mental health and addictions, including counseling, assessments, and integrated care across multiple populations. The organization describes services for pediatric, adult, first responders, military personnel, and workplace-based programs through partnerships and on-site clinical support.</t>
  </si>
  <si>
    <t>http://interdynamicsinc.com/</t>
  </si>
  <si>
    <t>Review data indicate a mixed experience among clients. Several recent reviews describe poor communication and long waits, while others praise helpful staff and positive therapy experiences. Overall, the newest reviews trend negative, suggesting variability in service quality.</t>
  </si>
  <si>
    <t>accepted google identity: 14.2/15; review volume: 30.0/30; review consistency: 0.7/7; review freshness: 7.3/8; verified website: 14.2/15; confirmed irs record: 0.0/20; source corroboration: 3.3/5; Synthesis metadata: medium (not part of numeric confidence)</t>
  </si>
  <si>
    <t>4301 Garden City Dr Ste 302, Hyattsville, MD 20785</t>
  </si>
  <si>
    <t>(240) 606-9176</t>
  </si>
  <si>
    <t>Fara Medical Services</t>
  </si>
  <si>
    <t>Appointments are recommended; services include both in-person and telehealth visits; insurance coverage is referenced; intake/referral processes are handled by staff; accessible facilities noted (wheelchair accessible entrance and parking).</t>
  </si>
  <si>
    <t>Fara Medical Services is a private mental health practice that provides integrated medication management and counseling/therapy, with both in-person and telehealth options. The clinic notes include psychiatric assessment and customized treatment planning, and the website emphasizes accessible mental health care through medication management and counseling.</t>
  </si>
  <si>
    <t>https://faramedservices.com/</t>
  </si>
  <si>
    <t>No usable review text is available in the provided data; the listing shows the practice is operational and offers in-person and telehealth mental health services with structured hours and verified website. Because there are no review quotes or ratings in the sample, reliability cannot be gauged from user feedback, and our assessment relies on listing metadata and website content. A field_conflict flag indicates address discrepancy across sources, which slightly tempers confidence but does not negate the core service information.</t>
  </si>
  <si>
    <t>5614 Connecticut Ave NW Ste 280, Washington, DC 20015</t>
  </si>
  <si>
    <t>(202) 659-9709</t>
  </si>
  <si>
    <t>Cancer Support Community</t>
  </si>
  <si>
    <t>Cancer Support Community provides free cancer-focused psychosocial support and education, including a helpline by phone and online, an online community, virtual programming, and educational resources; the organization also engages in research, policy and advocacy work, and maintains a network of partner locations to connect people affected by cancer with support services.</t>
  </si>
  <si>
    <t>http://www.cancersupportcommunity.org/</t>
  </si>
  <si>
    <t>Review data show a limited pool of feedback with a negative sentiment: the most recent review text expresses dissatisfaction. Because the sample is very small, it is difficult to determine whether the organization consistently delivers positive experiences. Overall, the available review data suggests caution in interpreting performance.</t>
  </si>
  <si>
    <t>accepted google identity: 13.4/15; review volume: 8.9/30; review consistency: 7.0/7; review freshness: 1.1/8; verified website: 13.4/15; confirmed irs record: 0.0/20; source corroboration: 3.3/5; Synthesis metadata: low (not part of numeric confidence)</t>
  </si>
  <si>
    <t>810 Bestgate Rd Ste 325, Annapolis, MD 21401</t>
  </si>
  <si>
    <t>(443) 906-3506</t>
  </si>
  <si>
    <t>LifeStance Therapists &amp; Psychiatrists Annapolis</t>
  </si>
  <si>
    <t>Appointment required; insurance is accepted; services available in-person or online; eligibility and intake details provided by staff; bring insurance information at first visit; age range includes all ages.</t>
  </si>
  <si>
    <t>LifeStance Health Annapolis provides in-person and online mental health care from licensed psychiatrists, psychologists, nurse practitioners, and licensed therapists for patients of all ages, including therapy, psychiatry, and medication management.</t>
  </si>
  <si>
    <t>https://lifestance.com/location/annapolis-md-810-bestgate-road/?utm_source=gmb&amp;utm_medium=organic&amp;utm_campaign=locations</t>
  </si>
  <si>
    <t>Review data show generally positive experiences with LifeStance, with many patients praising compassionate clinicians and responsive staff. The newest reviews remain favorable, though a small number mention administrative forms being lengthy during intake. The listing has a high rating and active owner responses, indicating ongoing engagement and reliability.</t>
  </si>
  <si>
    <t>accepted google identity: 14.2/15; review volume: 30.0/30; review consistency: 3.4/7; review freshness: 8.0/8; verified website: 14.2/15; confirmed irs record: 0.0/20; source corroboration: 3.3/5; Synthesis metadata: high (not part of numeric confidence)</t>
  </si>
  <si>
    <t>5550 Friendship Blvd #590, Chevy Chase, MD 20815</t>
  </si>
  <si>
    <t>(240) 945-2390</t>
  </si>
  <si>
    <t>LifeStance Therapists &amp; Psychiatrists Chevy Chase</t>
  </si>
  <si>
    <t>Appointment required; scheduling is recommended for visits.</t>
  </si>
  <si>
    <t>LifeStance Health Chevy Chase provides mental health care delivered by licensed clinicians, offering in-person and online counseling, therapy, psychiatry, and medication management. The team addresses a range of concerns including depression, anxiety, stress, ADHD, trauma/PTSD, bipolar disorder, OCD, eating disorders, addiction, and substance use, serving patients of all ages with care tailored to individual needs.</t>
  </si>
  <si>
    <t>https://lifestance.com/location/chevy-chase-md-5550-friendship-blvd/?utm_source=gmb&amp;utm_medium=organic&amp;utm_campaign=locations</t>
  </si>
  <si>
    <t>Review data show generally positive experiences with LifeStance Chevy Chase, with many reviewers praising compassionate clinicians and convenient access to in-person or online care. A minority of recent reviews mention longer intake processes or administrative friction. The newest feedback continues to reflect positive experiences and sustained quality of care.</t>
  </si>
  <si>
    <t>accepted google identity: 14.2/15; review volume: 30.0/30; review consistency: 2.8/7; review freshness: 7.6/8; verified website: 14.2/15; confirmed irs record: 0.0/20; source corroboration: 3.3/5; Synthesis metadata: insufficient_evidence (not part of numeric confidence)</t>
  </si>
  <si>
    <t>6490 Landover Rd I, Hyattsville, MD 20785</t>
  </si>
  <si>
    <t>(301) 412-1242</t>
  </si>
  <si>
    <t>Life Spring Counseling &amp; Consulting LLC</t>
  </si>
  <si>
    <t>Monday thru Thursday evening: 5:00pm -9:00pm Friday: Flexible evening hours Saturday: Schedule by appointments only</t>
  </si>
  <si>
    <t>Outpatient counseling and therapy for mental health and substance use, with a holistic, collaborative approach and evidence-based elements such as assessment, treatment planning, and cognitive-behavioral techniques.</t>
  </si>
  <si>
    <t>http://lscounseling.net/</t>
  </si>
  <si>
    <t>Review feedback was unavailable or too thin; there is no usable review text from any platform to summarize. Because reviews are absent, the overall reliability is limited to basic listing signals such as an operational business status and a functioning website, not customer sentiment.</t>
  </si>
  <si>
    <t>3040 Mitchellville Rd, Bowie, MD 20716</t>
  </si>
  <si>
    <t>(301) 249-3934</t>
  </si>
  <si>
    <t>Williamson's Mental Health Services</t>
  </si>
  <si>
    <t>Williamson's Mental Health Services provides mental health services including a psychiatric rehabilitation program for minors (ages 5-17) and adults, with services such as social skills, communication skills, anger management, conflict resolution, academic development, family support counseling, and group activities.</t>
  </si>
  <si>
    <t>http://williamsonmentalhealth.com/</t>
  </si>
  <si>
    <t>There are no public reviews available for Williamson's Mental Health Services. The listing shows the business is operational and publishes standard hours, and the website provides detailed information about the services offered. Without reviews, this reliability assessment relies on the consistency of hours and the website's service descriptions.</t>
  </si>
  <si>
    <t>108 Old Solomons Island Rd Ste A, Annapolis, MD 21401</t>
  </si>
  <si>
    <t>(443) 214-5097</t>
  </si>
  <si>
    <t>Wheelchair accessible entrance and wheelchair accessible parking.</t>
  </si>
  <si>
    <t>Behavioral health counseling and addiction treatment services in Maryland, including substance-use disorder and mental health counseling, provided in person at multiple Maryland locations.</t>
  </si>
  <si>
    <t>http://www.projectchesapeake.com/</t>
  </si>
  <si>
    <t>Review data show a pattern of negative experiences, with multiple 1-star reviews citing scheduling issues, communication gaps, and administrative problems. Some reviews mention helpful staff, but the newest feedback largely confirms ongoing concerns about responsiveness and reliability. Overall, the review data signal caution for prospective clients, with no clear signs of improvement in the near term.</t>
  </si>
  <si>
    <t>accepted google identity: 14.2/15; review volume: 23.8/30; review consistency: 7.0/7; review freshness: 6.9/8; verified website: 14.2/15; confirmed irs record: 0.0/20; source corroboration: 3.3/5; Synthesis metadata: low (not part of numeric confidence)</t>
  </si>
  <si>
    <t>110 Irving St NW, Washington, DC 20010</t>
  </si>
  <si>
    <t>(202) 877-7000</t>
  </si>
  <si>
    <t>MedStar Washington Hospital Center</t>
  </si>
  <si>
    <t>MedStar Washington Hospital Center is a not-for-profit academic medical center and general hospital in Washington, DC, providing comprehensive inpatient and emergency care. It operates a Level I trauma center and the region’s only adult Burn Center, and offers a broad range of specialty services including cardiology/heart and vascular care, orthopedics, cancer, critical care, diabetes and endocrinology, gastroenterology, nephrology, pulmonology, and urology.</t>
  </si>
  <si>
    <t>https://www.medstarhealth.org/locations/medstar-washington-hospital-center?utm_campaign=mhs_citations&amp;utm_medium=listing&amp;utm_source=citation_management&amp;utm_term=hospital</t>
  </si>
  <si>
    <t>Review data show predominantly positive feedback about staff professionalism, attentiveness, and clear communication, with multiple comments praising knowledgeable and caring providers. There is at least one highly negative account relating to a patient-safety concern, illustrating a serious grievance and questions about accountability. Overall, the latest reviews continue to reflect strong satisfaction, though the isolated negative experience remains a critical caveat for readers.</t>
  </si>
  <si>
    <t>1715 Gwynn Oak Ave, Woodlawn, MD 21207</t>
  </si>
  <si>
    <t>(410) 645-8666</t>
  </si>
  <si>
    <t>Together Everyone Achieves More</t>
  </si>
  <si>
    <t>A nonprofit community-based provider offering outpatient mental health and addiction treatment services, including counseling, substance-use treatment, psychiatric rehabilitation, and related supports.</t>
  </si>
  <si>
    <t>http://teamforall.org/</t>
  </si>
  <si>
    <t>Review data from Google Maps show a mix of positive and negative feedback. A recent 5-star-style note highlights the program's support for adults, children, and families, while other reviews raise concerns about overall service quality and safety. The latest feedback suggests some clients have a positive experience, but the sample includes several negative voices, indicating uneven experiences.</t>
  </si>
  <si>
    <t>accepted google identity: 14.2/15; review volume: 22.8/30; review consistency: 1.4/7; review freshness: 5.5/8; verified website: 14.2/15; confirmed irs record: 0.0/20; source corroboration: 3.3/5; Synthesis metadata: low (not part of numeric confidence)</t>
  </si>
  <si>
    <t>1401 Mercantile Ln, Largo, MD 20774</t>
  </si>
  <si>
    <t>(301) 851-5954</t>
  </si>
  <si>
    <t>Metropolitan Behavioral Health Services</t>
  </si>
  <si>
    <t>Monday: 9 AM to 7 PM; Tuesday: 9 AM to 7 PM; Wednesday: 9 AM to 7 PM; Thursday: 9 AM to 7 PM; Friday: Closed; Saturday: Closed; Sunday: Closed</t>
  </si>
  <si>
    <t>Metropolitan Behavioral Health Services provides behavioral health treatment for individuals and families, including child and adolescent therapy, trauma-informed care, psychotherapy, medication management, and crisis support, with Medicaid acceptance and a 24-hour crisis response.</t>
  </si>
  <si>
    <t>http://www.mbhshelps.org/</t>
  </si>
  <si>
    <t>Review feedback is unavailable or too thin; there is only a single public rating with no accompanying textual review. Evidence from the listing and the official website corroborates the hours and described services, indicating the organization is an active provider. Because reviews are sparse, the reliability of user feedback remains limited, but metadata about services is well-supported.</t>
  </si>
  <si>
    <t>1300 Mercantile Ln #198, Glenarden, MD 20774</t>
  </si>
  <si>
    <t>(301) 386-2991</t>
  </si>
  <si>
    <t>Center For Therapeutic Concepts</t>
  </si>
  <si>
    <t>Center For Therapeutic Concepts appears to function as an outpatient mental health clinic offering psychotherapy for individuals, families, and groups, along with medication management and a psychiatric rehabilitation program. Website content lists services including independent living skills, social and self-care skills development, and focused groups addressing domestic violence, substance abuse, anger management, and education and prevention, as well as psychological testing and contracted services like therapeutic mentoring, tutoring, and educational advocacy.</t>
  </si>
  <si>
    <t>http://www.center4therapeuticconcepts.com/</t>
  </si>
  <si>
    <t>Review data indicate negative sentiment and very limited feedback; the most recent review contains an unverified, accusatory claim, which cannot be substantiated. Because the available review sample is small and the latest feedback is several months old, reliability of the listings’ current performance is uncertain.</t>
  </si>
  <si>
    <t>accepted google identity: 14.2/15; review volume: 10.1/30; review consistency: 7.0/7; review freshness: 6.1/8; verified website: 14.2/15; confirmed irs record: 0.0/20; source corroboration: 3.3/5; Synthesis metadata: medium (not part of numeric confidence)</t>
  </si>
  <si>
    <t>1300 Caraway Ct #207, Upper Marlboro, MD 20774</t>
  </si>
  <si>
    <t>(301) 429-6100</t>
  </si>
  <si>
    <t>Maryland Wellness</t>
  </si>
  <si>
    <t>Referral form is used to initiate care; they serve Medicaid and underserved populations and offer telehealth or community/home visits; intake involves completing a referral form to access personalized care.</t>
  </si>
  <si>
    <t>Maryland Wellness provides outpatient mental health care with services including psychiatric rehabilitation, therapy, case management, psychiatry, medication management, and treatment for substance use disorders.</t>
  </si>
  <si>
    <t>http://www.mdwellness.org/</t>
  </si>
  <si>
    <t>Review data show consistently positive experiences, with reviewers describing compassionate clinicians, helpful front-desk staff, and thorough, supportive care. The newest reviews (posted within a few months) reinforce these impressions and note ongoing positive relationships with providers. Overall, reviewers express satisfaction with access to care and staff professionalism.</t>
  </si>
  <si>
    <t>accepted google identity: 13.4/15; review volume: 16.3/30; review consistency: 7.0/7; review freshness: 6.7/8; verified website: 13.4/15; confirmed irs record: 0.0/20; source corroboration: 3.3/5; Synthesis metadata: high (not part of numeric confidence)</t>
  </si>
  <si>
    <t>1100 Mercantile Ln Ste 136, Upper Marlboro, MD 20774</t>
  </si>
  <si>
    <t>(443) 550-4325</t>
  </si>
  <si>
    <t>Healing Mind Wellness</t>
  </si>
  <si>
    <t>Healing Mind Wellness is a behavioral health clinic offering outpatient mental health services, including individual therapy, group therapy, family therapy, medication management, telehealth therapy, and a psychiatric rehabilitation program.</t>
  </si>
  <si>
    <t>https://healingmindwellness.com/</t>
  </si>
  <si>
    <t>Review data is unavailable; there are no published reviews in the current dataset. The listing is operational with published hours and a verified website, but there is no user feedback to summarize. With no reviews to reflect client experience, we cannot identify common strengths or concerns from feedback.</t>
  </si>
  <si>
    <t>accepted google identity: 13.4/15; review volume: 0.0/30; review consistency: 0.0/7; review freshness: 0.0/8; verified website: 13.4/15; confirmed irs record: 0.0/20; source corroboration: 3.3/5; Synthesis metadata: medium (not part of numeric confidence)</t>
  </si>
  <si>
    <t>9701 Apollo Dr #411, Largo, MD 20774</t>
  </si>
  <si>
    <t>(301) 577-7307</t>
  </si>
  <si>
    <t>My Covenant Place</t>
  </si>
  <si>
    <t>My Covenant Place is a private, community-based nonprofit that serves victims of crime by providing advocacy, support, and wraparound services, with programs aimed at strengthening families and communities.</t>
  </si>
  <si>
    <t>http://mycovenantplace.org/</t>
  </si>
  <si>
    <t>Review data is sparse and dated, with a small sample of public feedback including a strongly negative comment. The newest review is from 2023, making it difficult to gauge current performance. Taken with the organization's active registry status and verified website, the reliability should be interpreted with caution.</t>
  </si>
  <si>
    <t>accepted google identity: 14.2/15; review volume: 7.3/30; review consistency: 7.0/7; review freshness: 1.0/8; verified website: 14.2/15; confirmed irs record: 20.0/20; source corroboration: 5.0/5; Synthesis metadata: insufficient_evidence (not part of numeric confidence)</t>
  </si>
  <si>
    <t>9500 Medical Center Dr #104, Largo, MD 20774</t>
  </si>
  <si>
    <t>(240) 334-4394</t>
  </si>
  <si>
    <t>Prestige Healthcare Resources Inc.</t>
  </si>
  <si>
    <t>Prestige Healthcare Resources Inc. provides behavioral health services, including counseling and therapy, with in-person offices in the Washington, DC area and Upper Marlboro, MD. Public records show weekday hours and an online presence describing behavioral health offerings.</t>
  </si>
  <si>
    <t>https://prestigewecare.com/</t>
  </si>
  <si>
    <t>Review data for this listing is very limited. There is no usable narrative review text to summarize recurring themes, concerns, or experiences. The listing appears operational with a functioning website and consistent hours, but the paucity of review content means reader confidence should be moderate and further verification is advisable.</t>
  </si>
  <si>
    <t>168 Bennion Rd, Annapolis, MD 21402</t>
  </si>
  <si>
    <t>(410) 293-5813</t>
  </si>
  <si>
    <t>Naval Support Activity Annapolis ID Card Office</t>
  </si>
  <si>
    <t>Monday: 7:30 AM to 3:40 PM; Tuesday: 7:30 AM to 3:40 PM; Wednesday: 7:30 AM to 3:40 PM; Thursday: 7:30 AM to 3:40 PM; Friday: 7:30 AM to 3:40 PM; Saturday: Closed; Sunday: Closed</t>
  </si>
  <si>
    <t>On-base government office facility on Naval Support Activity Annapolis, handling on-site administrative government services for personnel.</t>
  </si>
  <si>
    <t>Review data indicate consistently positive feedback about staff friendliness, helpfulness, and efficient service, with several accounts noting quick walk-in processing. The newest reviews continue to reflect these favorable impressions, suggesting the positive experience is ongoing.</t>
  </si>
  <si>
    <t>accepted google identity: 13.4/15; review volume: 18.0/30; review consistency: 5.7/7; review freshness: 7.4/8; verified website: 0.0/15; confirmed irs record: 0.0/20; source corroboration: 1.7/5; Synthesis metadata: high (not part of numeric confidence)</t>
  </si>
  <si>
    <t>829 Brightseat Rd, Hyattsville, MD 20785</t>
  </si>
  <si>
    <t>(410) 844-3301</t>
  </si>
  <si>
    <t>Next Step Treatment</t>
  </si>
  <si>
    <t>Next Step Treatment Center provides outpatient behavioral health services, including mental health treatment, addiction recovery, psychiatric rehabilitation, medication management, individual and group therapy, youth-focused programs, and teletherapy/telehealth options.</t>
  </si>
  <si>
    <t>https://www.nextsteptreatment.org/</t>
  </si>
  <si>
    <t>There are no user reviews available in the current reliability data, so reader-facing feedback is unavailable. The listing and website confirm active operation and a broad range of behavioral health and addiction services, with clearly stated hours and program offerings. Because review data is unavailable or too thin, reliability cannot be inferred from user experiences.</t>
  </si>
  <si>
    <t>accepted google identity: 13.4/15; review volume: 0.0/30; review consistency: 0.0/7; review freshness: 0.0/8; verified website: 13.4/15; confirmed irs record: 0.0/20; source corroboration: 3.3/5; Synthesis metadata: high (not part of numeric confidence)</t>
  </si>
  <si>
    <t>3800 Reservoir Rd NW, Washington, DC 20007</t>
  </si>
  <si>
    <t>(202) 444-2000</t>
  </si>
  <si>
    <t>MedStar Georgetown University Hospital</t>
  </si>
  <si>
    <t>MedStar Georgetown University Hospital is a not-for-profit, acute-care teaching hospital in Northwest Washington, DC, offering comprehensive medical and surgical services and housing cancer and transplant programs as part of MedStar Health.</t>
  </si>
  <si>
    <t>https://www.medstarhealth.org/locations/medstar-georgetown-university-hospital?utm_campaign=mhs_citations&amp;utm_medium=listing&amp;utm_source=citation_management&amp;utm_term=hospital</t>
  </si>
  <si>
    <t>Review data indicates overall positive feedback about care. Review text frequently highlights competent, compassionate clinicians and helpful teams, with praise for responsiveness and thorough communication. Some recurring concerns include wait times or administrative hiccups like parking or prep instructions, but the newest reviews generally echo the same positive sentiment and show ongoing staff responsiveness.</t>
  </si>
  <si>
    <t>accepted google identity: 14.2/15; review volume: 30.0/30; review consistency: 3.0/7; review freshness: 7.7/8; verified website: 14.2/15; confirmed irs record: 0.0/20; source corroboration: 3.3/5; Synthesis metadata: high (not part of numeric confidence)</t>
  </si>
  <si>
    <t>1001 Prince Georges Blvd Ste 750, Upper Marlboro, MD 20774</t>
  </si>
  <si>
    <t>(301) 952-0063</t>
  </si>
  <si>
    <t>Maryland Crime Victims' Resource Center, Inc.</t>
  </si>
  <si>
    <t>Eligibility: victims of crime throughout Maryland and their surviving family; services are provided free of charge.</t>
  </si>
  <si>
    <t>Maryland Crime Victims Resource Center provides statewide, free legal services and advocacy for crime victims and their families, including direct legal representation, court support, information, referrals, and other victim-rights services.</t>
  </si>
  <si>
    <t>https://www.mdcrimevictims.org/</t>
  </si>
  <si>
    <t>Reviews show mixed experiences. Some clients praise compassionate staff and effective support, including named advocates, while other recent feedback describes communication gaps and perceived mismanagement in cases. Overall, feedback indicates a range of experiences, with newest reviews continuing to show both positives and concerns.</t>
  </si>
  <si>
    <t>accepted google identity: 14.2/15; review volume: 28.3/30; review consistency: 0.7/7; review freshness: 7.9/8; verified website: 14.2/15; confirmed irs record: 20.0/20; source corroboration: 5.0/5; Synthesis metadata: high (not part of numeric confidence)</t>
  </si>
  <si>
    <t>8504 Mapleville Rd, Boonsboro, MD 21713</t>
  </si>
  <si>
    <t>(301) 733-9067</t>
  </si>
  <si>
    <t>San Mar Family and Community Services</t>
  </si>
  <si>
    <t>San Mar Family and Community Services operates a center serving children and families, including foster care programming and an outpatient mental health clinic (Center for Well-Being).</t>
  </si>
  <si>
    <t>http://www.sanmarhope.org/</t>
  </si>
  <si>
    <t>Review data show mixed impressions from a very small sample: a recent 1-star review describes trauma associated with a facility, while a later 5-star review provides minimal textual detail. Because the feedback is sparse and uneven, it is not possible to draw a solid conclusion about current service quality from these reviews alone. The available review text highlights safety and past trauma concerns in one account, but more recent, detailed feedback would help confirm whether these themes persist.</t>
  </si>
  <si>
    <t>accepted google identity: 13.4/15; review volume: 8.5/30; review consistency: 0.0/7; review freshness: 7.2/8; verified website: 13.4/15; confirmed irs record: 0.0/20; source corroboration: 3.3/5; Synthesis metadata: medium (not part of numeric confidence)</t>
  </si>
  <si>
    <t>7610 Pennsylvania Ave. Suite 301, Forestville, MD 20747</t>
  </si>
  <si>
    <t>(240) 838-3707</t>
  </si>
  <si>
    <t>DXT Therapeutic Services Wellness Suite</t>
  </si>
  <si>
    <t>Sliding fee scale; no one denied access due to inability to pay.</t>
  </si>
  <si>
    <t>Monday: 10 AM to 6 PM; Tuesday: 10 AM to 6 PM; Wednesday: 10 AM to 6 PM; Thursday: 10 AM to 6 PM; Friday: 10 AM to 6 PM; Saturday: 10 AM to 6 PM; Sunday: Closed</t>
  </si>
  <si>
    <t>DXT Therapeutic Services provides outpatient mental health services, including individual, family, and group counseling; a Psychiatric Rehabilitation Program (PRP) for children, adolescents, and adults to develop independent living and social skills; substance-use treatment options; anger-management counseling; life-skills development; and employment-support services.</t>
  </si>
  <si>
    <t>http://www.dxtservices.com/</t>
  </si>
  <si>
    <t>The available review data show a small number of reviews with mixed sentiment: one recent 5-star review praises feeling heard and supported, while several January 2026 reviews describe abrupt termination of services and poor communication. Overall, the newest feedback leans negative, highlighting concerns about continuity of care, though the sample remains small. Given the limited review data, interpretation should be cautious.</t>
  </si>
  <si>
    <t>accepted google identity: 14.2/15; review volume: 14.7/30; review consistency: 0.9/7; review freshness: 5.5/8; verified website: 14.2/15; confirmed irs record: 0.0/20; source corroboration: 3.3/5; Synthesis metadata: medium (not part of numeric confidence)</t>
  </si>
  <si>
    <t>115 S Lynchburg St, Chestertown, MD 21620</t>
  </si>
  <si>
    <t>(443) 331-4708</t>
  </si>
  <si>
    <t>Discovering Serenity Counseling Services</t>
  </si>
  <si>
    <t>By appointment only; no walk-ins. In-person and telehealth sessions available. Insurance providers include Cigna, Evernorth, Aetna, UnitedHealthcare, Optum, TRICARE East, Medicare, Medicaid, CareFirst BC/BS Anthem, and others; office to verify personal insurance coverage. Sliding-scale rates may apply based on income and need.</t>
  </si>
  <si>
    <t>Open today | 09:00 am – 07:00 pm</t>
  </si>
  <si>
    <t>Mental health counseling services are offered in-person and via telehealth, including grief, anxiety, and depression support. Counseling is available for individuals and families, with faith-based options provided upon request. Services emphasize appointment-based access, with insurance verification and potential sliding-scale fees.</t>
  </si>
  <si>
    <t>https://discoveringserenity.com/contact-us</t>
  </si>
  <si>
    <t>Review data from Google Maps shows a high rating with two public reviews, but the textual review content is unavailable. The official website corroborates the counseling services and delivery format (in-person and telehealth); overall reliability is supported by cross-platform signals, though available review text is very thin.</t>
  </si>
  <si>
    <t>accepted google identity: 14.2/15; review volume: 7.3/30; review consistency: 7.0/7; review freshness: 4.2/8; verified website: 14.2/15; confirmed irs record: 0.0/20; source corroboration: 3.3/5; Synthesis metadata: high (not part of numeric confidence)</t>
  </si>
  <si>
    <t>4810 St Barnabas Rd, Temple Hills, MD 20748</t>
  </si>
  <si>
    <t>(301) 541-0963</t>
  </si>
  <si>
    <t>Changing Lives Adult And Youth Services</t>
  </si>
  <si>
    <t>Outpatient mental health clinic offering therapy (individual and group), medication management, and case management services at locations in Clinton and Temple Hills, MD.</t>
  </si>
  <si>
    <t>http://changinglivesservices.com/</t>
  </si>
  <si>
    <t>Review data are sparse and show mixed signals. One 1-star review describes issues with timely contact, prescription discussions, and communication, while the overall listing indicates multiple reviews but with limited recency. The newest feedback is from many years ago, so it is difficult to determine current performance from the available data.</t>
  </si>
  <si>
    <t>accepted google identity: 13.3/15; review volume: 10.1/30; review consistency: 7.0/7; review freshness: 1.1/8; verified website: 13.3/15; confirmed irs record: 0.0/20; source corroboration: 3.3/5; Synthesis metadata: insufficient_evidence (not part of numeric confidence)</t>
  </si>
  <si>
    <t>5606 Dower House Rd, Upper Marlboro, MD 20772</t>
  </si>
  <si>
    <t>(301) 599-8000</t>
  </si>
  <si>
    <t>Melwood</t>
  </si>
  <si>
    <t>Melwood is a nonprofit organization that works to empower people with disabilities through employment opportunities, job training, community-based supports, youth and recreation programs, and advocacy in the Washington, DC area.</t>
  </si>
  <si>
    <t>https://www.melwood.org/</t>
  </si>
  <si>
    <t>Review data show Melwood has a broad set of programs and employment-focused services for people with disabilities, with many reviewers praising long-standing community involvement and staff professionalism. Some recent reviews mention negative experiences related to customer service and safety; the newest reviews are from about 84 days ago and reflect mixed sentiment. Overall, the available review data suggest ongoing engagement with Melwood's mission, with stable but varied feedback in the near term.</t>
  </si>
  <si>
    <t>accepted google identity: 14.2/15; review volume: 30.0/30; review consistency: 0.8/7; review freshness: 6.8/8; verified website: 14.2/15; confirmed irs record: 20.0/20; source corroboration: 5.0/5; Synthesis metadata: high (not part of numeric confidence)</t>
  </si>
  <si>
    <t>1130 Opal Ct, Hagerstown, MD 21740</t>
  </si>
  <si>
    <t>(240) 513-6001</t>
  </si>
  <si>
    <t>Compassionate Wellness center</t>
  </si>
  <si>
    <t>Compassionate Wellness Center is a medical office offering holistic care for mental health and substance use disorders.</t>
  </si>
  <si>
    <t>https://www.compassionatewc.com/</t>
  </si>
  <si>
    <t>The available review data shows only one review with a 1-star rating describing appointment confusion and not being seen. The review data quality score is very low and the newest review is over a year old, indicating limited recent feedback. With such sparse and negative input, the listing’s reliability for current performance is low.</t>
  </si>
  <si>
    <t>accepted google identity: 13.3/15; review volume: 5.0/30; review consistency: 7.0/7; review freshness: 3.6/8; verified website: 13.3/15; confirmed irs record: 0.0/20; source corroboration: 3.3/5; Synthesis metadata: low (not part of numeric confidence)</t>
  </si>
  <si>
    <t>5801 Allentown Rd Suit #310, Camp Springs, MD 20746</t>
  </si>
  <si>
    <t>(240) 392-2876</t>
  </si>
  <si>
    <t>Kirstin Care</t>
  </si>
  <si>
    <t>Kirstin Care provides housing support and mental health and behavioral health services, including counseling for substance use, with programs focused on veterans and individuals facing life challenges.</t>
  </si>
  <si>
    <t>https://www.kirstinshaven.org/</t>
  </si>
  <si>
    <t>Review data show mixed experiences. Some clients praise staff for professionalism and the accessibility of services; others describe unprofessional conduct and scheduling difficulties. The newest reviews include both positive and negative feedback, indicating that experiences vary and readers should consider current feedback when evaluating Kirstin Care.</t>
  </si>
  <si>
    <t>accepted google identity: 14.2/15; review volume: 24.5/30; review consistency: 0.0/7; review freshness: 7.6/8; verified website: 14.2/15; confirmed irs record: 0.0/20; source corroboration: 3.3/5; Synthesis metadata: medium (not part of numeric confidence)</t>
  </si>
  <si>
    <t>5808 Allentown Way, Temple Hills, MD 20748</t>
  </si>
  <si>
    <t>(240) 838-7169</t>
  </si>
  <si>
    <t>Appointment required; referrals accepted (DSS referral forms available on the website); wheelchair-accessible entrances/parking/restrooms; American Sign Language available.</t>
  </si>
  <si>
    <t>Empowering Minds Resource Center provides comprehensive behavioral health services for children, families, and adults, including therapy, diagnostic evaluation, medication management, individual and group therapy, substance-use assessment, and psychiatric rehabilitation, delivered through home- and community-based supports.</t>
  </si>
  <si>
    <t>There are no public reviews available to summarize. The listing shows the organization as operational with verified address and defined hours, and the website appears accessible and indicative of a range of mental health services.</t>
  </si>
  <si>
    <t>accepted google identity: 13.5/15; review volume: 0.0/30; review consistency: 0.0/7; review freshness: 0.0/8; verified website: 13.5/15; confirmed irs record: 0.0/20; source corroboration: 3.3/5; Synthesis metadata: high (not part of numeric confidence)</t>
  </si>
  <si>
    <t>6188 Oxon Hill Rd #500, Oxon Hill, MD 20745</t>
  </si>
  <si>
    <t>(301) 567-0400</t>
  </si>
  <si>
    <t>All That's Therapeutic Inc</t>
  </si>
  <si>
    <t>Appointments recommended for intake or initial visit.</t>
  </si>
  <si>
    <t>Monday: 8:30 AM to 8 PM; Tuesday: 8:30 AM to 8 PM; Wednesday: 8:30 AM to 8 PM; Thursday: 8:30 AM to 8 PM; Friday: 8:30 AM to 5 PM; Saturday: Closed; Sunday: Closed</t>
  </si>
  <si>
    <t>All That’s Therapeutic, Inc. is a mental and behavioral health care provider offering outpatient services including psychotherapy, psychiatric evaluations and medication management, and related therapies for individuals, families, and children. The organization presents as a mental health clinic with CARF accreditation noted on its site, and its Google listing corroborates a comprehensive behavioral health practice with structured hours.</t>
  </si>
  <si>
    <t>https://www.allthatstherapeutic.com/</t>
  </si>
  <si>
    <t>Review data show consistently positive feedback, with many reviewers praising caring, responsive clinicians and supportive staff. Several recent reviews highlight ongoing progress and warm, helpful interactions, and the newest reviews continue to reflect high satisfaction. Overall, the review text indicates patients feel well-supported by therapists and psychiatrists in this practice.</t>
  </si>
  <si>
    <t>accepted google identity: 14.2/15; review volume: 29.1/30; review consistency: 6.1/7; review freshness: 7.9/8; verified website: 14.2/15; confirmed irs record: 0.0/20; source corroboration: 3.3/5; Synthesis metadata: high (not part of numeric confidence)</t>
  </si>
  <si>
    <t>328 N Potomac St, Hagerstown, MD 21740</t>
  </si>
  <si>
    <t>(301) 733-6063</t>
  </si>
  <si>
    <t>Sheppard Pratt - Outpatient Mental Health Center - Hagerstown</t>
  </si>
  <si>
    <t>Sheppard Pratt Outpatient Mental Health Center in Hagerstown offers outpatient mental health care for adolescents, adults, and older adults in a welcoming setting.</t>
  </si>
  <si>
    <t>https://www.sheppardpratt.org/locations-directions/details/outpatient-mental-health-center-hagerstown/</t>
  </si>
  <si>
    <t>Review data show a mix of positive and negative experiences. Many reviewers praise staff kindness and accessibility, while a minority report communication or billing concerns. The most recent reviews indicate continued generally positive interactions, though earlier issues are still echoed by some users.</t>
  </si>
  <si>
    <t>accepted google identity: 14.2/15; review volume: 23.8/30; review consistency: 0.5/7; review freshness: 6.5/8; verified website: 14.2/15; confirmed irs record: 0.0/20; source corroboration: 3.3/5; Synthesis metadata: insufficient_evidence (not part of numeric confidence)</t>
  </si>
  <si>
    <t>KTS Mental Health Group, 8910 Harford Rd, Parkville, MD 21234</t>
  </si>
  <si>
    <t>(443) 708-3887</t>
  </si>
  <si>
    <t>KTS Mental Health Group, Inc</t>
  </si>
  <si>
    <t>KTS Mental Health Group provides pediatric mental health therapy and counseling services, with therapy and family support delivered in home, school, and community settings.</t>
  </si>
  <si>
    <t>http://ktsmentalhealth.com/</t>
  </si>
  <si>
    <t>Review data show that families generally report positive experiences with staff and pediatric therapy, noting helpful, flexible services. Some reviews in 2026 describe problems or dissatisfaction, and the newest feedback is mixed, with recent high and low ratings. Overall, the data indicate generally favorable experiences but with ongoing variability across cases.</t>
  </si>
  <si>
    <t>accepted google identity: 14.2/15; review volume: 23.7/30; review consistency: 2.3/7; review freshness: 7.4/8; verified website: 14.2/15; confirmed irs record: 0.0/20; source corroboration: 3.3/5; Synthesis metadata: medium (not part of numeric confidence)</t>
  </si>
  <si>
    <t>7905 Malcolm Rd, Clinton, MD 20735</t>
  </si>
  <si>
    <t>(301) 856-7173</t>
  </si>
  <si>
    <t>DEPARTMENT OF VETERANS AFFAIRS</t>
  </si>
  <si>
    <t>Eligibility is program-specific; to access benefits you generally apply for the relevant VA program (often online) and eligibility is determined by program rules. The VA site provides guidance on applying for health care, benefits, and other services.</t>
  </si>
  <si>
    <t>A federal VA office in Clinton, MD that provides veterans benefits and related services, including health care, education, housing assistance, and other VA programs.</t>
  </si>
  <si>
    <t>https://www.va.gov/</t>
  </si>
  <si>
    <t>Review data for this listing is sparse, with only a single low-detail review in the available sample and no substantive user feedback to draw conclusions from. The listing itself is marked operational and the hours and location are corroborated by a Google Maps listing and the VA website, which describe the organization’s veteran-focused programs. Given the thin review data, do not rely on user sentiment to judge quality at this location.</t>
  </si>
  <si>
    <t>accepted google identity: 14.2/15; review volume: 7.3/30; review consistency: 7.0/7; review freshness: 4.3/8; verified website: 14.2/15; confirmed irs record: 0.0/20; source corroboration: 3.3/5; Synthesis metadata: medium (not part of numeric confidence)</t>
  </si>
  <si>
    <t>7503 Surratts Rd, Clinton, MD 20735</t>
  </si>
  <si>
    <t>(301) 868-8000</t>
  </si>
  <si>
    <t>MedStar Southern Maryland Hospital Center</t>
  </si>
  <si>
    <t>No specific eligibility restrictions cited. Facilities are wheelchair accessible (entrance, parking, seating) and the site accepts major payment methods (credit/debit cards and NFC/mobile payments).</t>
  </si>
  <si>
    <t>MedStar Southern Maryland Hospital Center is a full‑service acute‑care hospital in Clinton, MD. It offers emergency care and inpatient and outpatient services, with specialties including heart and vascular care, cancer care, neurosciences, and neonatal care.</t>
  </si>
  <si>
    <t>https://www.medstarhealth.org/locations/medstar-southern-maryland-hospital-center?utm_campaign=mhs_citations&amp;utm_medium=listing&amp;utm_source=citation_management&amp;utm_term=hospital</t>
  </si>
  <si>
    <t>Review data show a mix of positive experiences in several departments and recurring concerns in others, notably around emergency department wait times and dementia‑care experiences. The newest reviews indicate some improvements and many reviewers praise specific staff, while others report long waits and communication gaps. Overall, the latest feedback is varied, with no single trend dominating across all units.</t>
  </si>
  <si>
    <t>accepted google identity: 14.2/15; review volume: 30.0/30; review consistency: 1.1/7; review freshness: 8.0/8; verified website: 14.2/15; confirmed irs record: 0.0/20; source corroboration: 3.3/5; Synthesis metadata: medium (not part of numeric confidence)</t>
  </si>
  <si>
    <t>202 Coursevall Dr Ste 104, Centreville, MD 21617</t>
  </si>
  <si>
    <t>(443) 262-0425</t>
  </si>
  <si>
    <t>Project Chesapeake provides behavioral health and addiction-treatment services in Maryland, including counseling for substance use disorders and mental health, with outpatient and residential treatment options.</t>
  </si>
  <si>
    <t>Review data from a small sample shows predominantly negative sentiment. One recent review cites a failure to provide a joining link and dismissing a patient, highlighting access issues, while another notes a staff member as positive but overall dissatisfaction. A second reviewer mentions a counselor positively but criticizes the program overall; together, the newest feedback aligns with the other negative signals, though the sample size is limited.</t>
  </si>
  <si>
    <t>111 E Main St B, Elkton, MD 21921</t>
  </si>
  <si>
    <t>(443) 406-3234</t>
  </si>
  <si>
    <t>Project Chesapeake provides addiction treatment and behavioral health services in Maryland, including outpatient and residential substance-use disorder treatment and mental health counseling.</t>
  </si>
  <si>
    <t>Review data from public listings shows multiple 1-star reviews describing privacy concerns, delays, and unprofessional conduct. The newest reviews were posted about 174 days ago, and the overall sentiment remains negative in the available sample. There is little evidence of positive feedback in this dataset, though the official website is reachable and corroborates some services.</t>
  </si>
  <si>
    <t>accepted google identity: 14.2/15; review volume: 19.0/30; review consistency: 7.0/7; review freshness: 5.7/8; verified website: 14.2/15; confirmed irs record: 0.0/20; source corroboration: 3.3/5; Synthesis metadata: low (not part of numeric confidence)</t>
  </si>
  <si>
    <t>11705 Berry Rd Ste 104, Waldorf, MD 20603</t>
  </si>
  <si>
    <t>(240) 207-4513</t>
  </si>
  <si>
    <t>InnerSourced Solutions, Inc</t>
  </si>
  <si>
    <t>Accepts Maryland Medicaid for clients of all ages; adults may also use CareFirst BlueCross BlueShield or UnitedHealthcare. No waitlist. Intake forms are completed electronically after eligibility is confirmed. Services are available in-person and via telehealth, with an age range of 6–64 mentioned for services.</t>
  </si>
  <si>
    <t>Monday: Closed; Tuesday: 9 AM to 5:30 PM; Wednesday: 9 AM to 5:30 PM; Thursday: 9 AM to 5:30 PM; Friday: 9 AM to 3:30 PM; Saturday: 10 AM to 1 PM; Sunday: Closed</t>
  </si>
  <si>
    <t>InnerSourced Solutions, Inc. provides outpatient behavioral health care in Southern Maryland, offering mental health counseling, psychiatric evaluation and medication management, psychiatric rehabilitation, and Youth Care Coordination for children, adolescents, and adults. The organization is CARF-accredited and emphasizes accessible, de-identified behavioral health services for a broad age range.</t>
  </si>
  <si>
    <t>http://www.innersourcedsolutions.com/?utm_source=google&amp;utm_medium=wix_google_business_profile&amp;utm_campaign=1598677979305078151</t>
  </si>
  <si>
    <t>Reviews show mixed experiences. Some callers report positive outcomes from therapy, while a prior review describes a negative interaction with a staff member. The newest publicly available review is positive, and the listing owner has responded to at least one review, indicating ongoing engagement with feedback. Overall, the feedback suggests moderate reliability given limited recent, corroborated review data.</t>
  </si>
  <si>
    <t>accepted google identity: 14.2/15; review volume: 13.9/30; review consistency: 0.0/7; review freshness: 2.4/8; verified website: 14.2/15; confirmed irs record: 0.0/20; source corroboration: 3.3/5; Synthesis metadata: high (not part of numeric confidence)</t>
  </si>
  <si>
    <t>17 Warren Rd #20b, Baltimore, MD 21208</t>
  </si>
  <si>
    <t>(410) 484-0036</t>
  </si>
  <si>
    <t>Citywide Behavioral Health</t>
  </si>
  <si>
    <t>Intake by phone; accepting new patients.</t>
  </si>
  <si>
    <t>Monday: 8 AM to 5:30 PM; Tuesday: 8 AM to 5:30 PM; Wednesday: 8 AM to 5:30 PM; Thursday: 8 AM to 5:30 PM; Friday: 8 AM to 5:30 PM; Saturday: Closed; Sunday: Closed</t>
  </si>
  <si>
    <t>Citywide Behavioral Health provides outpatient mental health care and recovery services, including psychiatric rehabilitation and adult-focused programs, with residential treatment options available in Pikesville, MD.</t>
  </si>
  <si>
    <t>http://www.citywidebh.com/</t>
  </si>
  <si>
    <t>Review data describe Citywide Behavioral Health as a supportive program with caring staff and effective therapy experiences. Reviewers frequently highlight attentive staff, safe environments, and meaningful progress in recovery; some express scheduling frustrations due to weekday-only hours. The newest reviews generally reinforce the positive direction, though scheduling remains a concern for some.</t>
  </si>
  <si>
    <t>accepted google identity: 14.2/15; review volume: 27.9/30; review consistency: 2.6/7; review freshness: 6.3/8; verified website: 14.2/15; confirmed irs record: 0.0/20; source corroboration: 3.3/5; Synthesis metadata: high (not part of numeric confidence)</t>
  </si>
  <si>
    <t>7501 Liberty Rd Suites A, B, F/G &amp; L, Gwynn Oak, MD 21207</t>
  </si>
  <si>
    <t>(443) 429-2536</t>
  </si>
  <si>
    <t>KEYS Development TA LLC</t>
  </si>
  <si>
    <t>Outpatient mental health and substance use disorder treatment, plus community engagement, school partnerships, youth development programs, and transportation support to help clients access care.</t>
  </si>
  <si>
    <t>http://www.mydvlpmnt.com/</t>
  </si>
  <si>
    <t>Review data show mixed experiences: the newest review is negative, criticizing billing practices and staff conduct, while an older review is positive but lacks detail. The available review data are sparse, making it difficult to draw a solid conclusion about overall quality. The provider has responded to at least one review, indicating engagement with feedback.</t>
  </si>
  <si>
    <t>accepted google identity: 14.2/15; review volume: 10.1/30; review consistency: 0.0/7; review freshness: 5.1/8; verified website: 14.2/15; confirmed irs record: 0.0/20; source corroboration: 3.3/5; Synthesis metadata: medium (not part of numeric confidence)</t>
  </si>
  <si>
    <t>2650 Quarry Lake Dr Suite 200, Baltimore, MD 21209</t>
  </si>
  <si>
    <t>(667) 430-2777</t>
  </si>
  <si>
    <t>LifeStance Therapists &amp; Psychiatrists Baltimore</t>
  </si>
  <si>
    <t>Appointments required; accepts most insurance plans; services provided by licensed Maryland clinicians; in-person and online visits available.</t>
  </si>
  <si>
    <t>LifeStance Health Baltimore provides comprehensive mental health care from a team of psychiatrists, psychologists, and licensed therapists, with in-person and online visits and services including psychiatry, therapy, and medication management.</t>
  </si>
  <si>
    <t>https://lifestance.com/location/baltimore-md-2650-quarry-lake-drive/?utm_source=gmb&amp;utm_medium=organic&amp;utm_campaign=locations</t>
  </si>
  <si>
    <t>Review data from recent client feedback shows generally positive experiences, with many reviewers praising clinicians and the ease of scheduling. A small number report issues with wait times or scheduling communications in isolated cases. Overall, the latest reviews continue to reflect favorable experiences and ongoing engagement with LifeStance Baltimore.</t>
  </si>
  <si>
    <t>accepted google identity: 14.2/15; review volume: 30.0/30; review consistency: 2.5/7; review freshness: 7.9/8; verified website: 14.2/15; confirmed irs record: 0.0/20; source corroboration: 3.3/5; Synthesis metadata: high (not part of numeric confidence)</t>
  </si>
  <si>
    <t>3210 Shelburne Road, Pikesville, MD 21208</t>
  </si>
  <si>
    <t>(410) 775-8170</t>
  </si>
  <si>
    <t>Maryland Senior Counseling</t>
  </si>
  <si>
    <t>Monday: 9 AM to 5 PM; Tuesday: 9 AM to 5 PM; Wednesday: 9 AM to 5 PM; Thursday: 9 AM to 5 PM; Friday: Closed; Saturday: Closed; Sunday: Closed</t>
  </si>
  <si>
    <t>Maryland Senior Counseling provides counseling and therapy services for older adults, including telehealth options. Services include grief and bereavement support, life transitions, retirement adjustment, loneliness and isolation, caregiver stress, and aging-related anxiety and depression; guardianship competency evaluations are available. Medicare is accepted.</t>
  </si>
  <si>
    <t>http://marylandseniorcounseling.com/</t>
  </si>
  <si>
    <t>Review feedback was unavailable or too thin; no Google Maps reviews or other platform reviews were found in the available sources. The listing indicates telehealth therapy and other counseling services for older adults, with Medicare accepted and guardianship evaluations available, and it shows structured hours. Verification of the website and address is partial due to access restrictions on the site.</t>
  </si>
  <si>
    <t>10711 Red Run Blvd #112, Owings Mills, MD 21117</t>
  </si>
  <si>
    <t>(410) 298-4642</t>
  </si>
  <si>
    <t>Her Mind Her Body</t>
  </si>
  <si>
    <t>Monday: Closed; Tuesday: 9 AM to 8 PM; Wednesday: 11 AM to 5 PM; Thursday: 10 AM to 5 PM; Friday: Closed; Saturday: 9 AM to 6 PM; Sunday: Closed</t>
  </si>
  <si>
    <t>Her Mind Her Body offers integrative, somatic mental-health and wellness services for women, including outpatient programs and one-on-one therapy focused on treating mind and body as a connected system.</t>
  </si>
  <si>
    <t>http://www.hermindherbody.com/</t>
  </si>
  <si>
    <t>Review data show a mix of positive experiences and notable concerns. Several longtime clients praise the supportive staff and empowering environment, while a recent set of reviews highlight intake delays and communication gaps. The newest feedback indicates ongoing issues that align with earlier concerns, though some reviews still describe value and care.</t>
  </si>
  <si>
    <t>accepted google identity: 14.2/15; review volume: 22.0/30; review consistency: 0.1/7; review freshness: 4.4/8; verified website: 14.2/15; confirmed irs record: 0.0/20; source corroboration: 3.3/5; Synthesis metadata: medium (not part of numeric confidence)</t>
  </si>
  <si>
    <t>3100 Lord Baltimore Dr #208, Windsor Mill, MD 21244</t>
  </si>
  <si>
    <t>(410) 701-7384</t>
  </si>
  <si>
    <t>Health Care Living For Families</t>
  </si>
  <si>
    <t>Accepts Medicaid/Medical Assistance and self-pay.</t>
  </si>
  <si>
    <t>Healthcare Living for Families (HCLFF) is an outpatient mental health treatment center offering psychiatry/medication management, therapy, a Psychiatric Rehabilitation Program (PRP), Substance Use Disorder counseling, and mobile treatment services.</t>
  </si>
  <si>
    <t>https://www.hclffmd.com/</t>
  </si>
  <si>
    <t>Review data show limited, largely negative feedback in the available sample. The single cited review describes issues with responsiveness and medication management, contributing to a low impression of the facility. The overall rating is modest, but the sample size is very small and the newest review is over a year old, so it is not possible to reliably gauge current performance without more recent feedback.</t>
  </si>
  <si>
    <t>accepted google identity: 14.2/15; review volume: 13.9/30; review consistency: 7.0/7; review freshness: 2.4/8; verified website: 14.2/15; confirmed irs record: 0.0/20; source corroboration: 3.3/5; Synthesis metadata: insufficient_evidence (not part of numeric confidence)</t>
  </si>
  <si>
    <t>2925 Lord Baltimore Dr, Windsor Mill, MD 21244</t>
  </si>
  <si>
    <t>(410) 298-3431</t>
  </si>
  <si>
    <t>Trulife Health Services</t>
  </si>
  <si>
    <t>Trulife Health Services provides home-based care and in-home support for people with disabilities in Maryland, including personal-care assistance, housing support, and transition planning. The organization presents itself as licensed to provide DDA and RSA services and to coordinate care and community resources in a home- and community-based setting.</t>
  </si>
  <si>
    <t>http://trulifehealthservices.com/</t>
  </si>
  <si>
    <t>Review data shows positive experiences in the available feedback, with notes of staff professionalism, courtesy, and dedication, and one review highlighting supportive care during a difficult period. The newest review content is sparse and the sample size is small, so conclusions about current performance are limited and should be updated with more recent feedback.</t>
  </si>
  <si>
    <t>accepted google identity: 14.2/15; review volume: 11.3/30; review consistency: 7.0/7; review freshness: 2.0/8; verified website: 14.2/15; confirmed irs record: 0.0/20; source corroboration: 3.3/5; Synthesis metadata: low (not part of numeric confidence)</t>
  </si>
  <si>
    <t>2500 Rolling Rd. #100, Windsor Mill, MD 21244</t>
  </si>
  <si>
    <t>(443) 272-2614</t>
  </si>
  <si>
    <t>Oasis Health Ventures Office 2</t>
  </si>
  <si>
    <t>Accepting new patients for medical concerns; appointments recommended; scheduling information and insurances accepted are described on the website.</t>
  </si>
  <si>
    <t>Oasis Health Ventures appears to provide mental health and substance use treatment services, including community-based mental health programs and outpatient services, with some home health visits described on its site. The Google Maps listing identifies it as a mental health service with weekday hours and a Windsor Mill location, and the website materials describe outpatient mental health programs and a home-health component.</t>
  </si>
  <si>
    <t>http://www.oasishealthventures.com/</t>
  </si>
  <si>
    <t>Google Maps review data show a very small sample with limited public reviews (two in total), including a highly negative comment from the most recent available review. With only a small sample and mixed signals, the review data suggest caution and do not indicate consistent positive experiences.</t>
  </si>
  <si>
    <t>accepted google identity: 14.2/15; review volume: 7.3/30; review consistency: 7.0/7; review freshness: 3.8/8; verified website: 14.2/15; confirmed irs record: 0.0/20; source corroboration: 3.3/5; Synthesis metadata: low (not part of numeric confidence)</t>
  </si>
  <si>
    <t>2500 N Rolling Rd Ste 102, Windsor Mill, MD 21244</t>
  </si>
  <si>
    <t>(301) 571-7200</t>
  </si>
  <si>
    <t>Bon Ridge Wellness</t>
  </si>
  <si>
    <t>Appointment required; telehealth/virtual appointments available; accepts many major insurance plans; self-pay options.</t>
  </si>
  <si>
    <t>Monday: 9 AM to 5:30 PM; Tuesday: 9 AM to 5:30 PM; Wednesday: 9 AM to 5:30 PM; Thursday: 9 AM to 5:30 PM; Friday: 9 AM to 5:30 PM; Saturday: 9 AM to 12 PM; Sunday: Closed</t>
  </si>
  <si>
    <t>Bon Ridge Wellness provides mental health care for adolescents and adults, including individual therapy and psychiatric medication management, with both in-person and telehealth options.</t>
  </si>
  <si>
    <t>http://www.bonridgewellness.com/</t>
  </si>
  <si>
    <t>No reviews are available for this listing, so feedback cannot be evaluated. The available sources confirm the business is operational, with verified hours and a functioning website, and the address matches the maps entry. Because review data is unavailable, this reliability assessment relies on the non-review signals instead of customer feedback.</t>
  </si>
  <si>
    <t>6940 Tudsbury Rd, Windsor Mill, MD 21244</t>
  </si>
  <si>
    <t>(410) 277-8910</t>
  </si>
  <si>
    <t>Life Renewal Services</t>
  </si>
  <si>
    <t>Life Renewal Services appears to offer behavioral/mental health services in Windsor Mill, Maryland.</t>
  </si>
  <si>
    <t>Review data shows a small number of reviews with a mix of positive feedback and at least one negative experience. The overall signal is limited due to the sparse sample, so it is difficult to draw strong conclusions about quality or consistency over time.</t>
  </si>
  <si>
    <t>accepted google identity: 14.2/15; review volume: 7.7/30; review consistency: 0.0/7; review freshness: 0.0/8; verified website: 0.0/15; confirmed irs record: 0.0/20; source corroboration: 1.7/5; Synthesis metadata: low (not part of numeric confidence)</t>
  </si>
  <si>
    <t>5800 Metro Dr Ground Floor, Baltimore, MD 21215</t>
  </si>
  <si>
    <t>(443) 963-6151</t>
  </si>
  <si>
    <t>Redeeming Light Wellness Center</t>
  </si>
  <si>
    <t>Referral-based intake; age range 5–75; outpatient services with wraparound supports.</t>
  </si>
  <si>
    <t>Monday: 8 AM to 8 PM; Tuesday: 8 AM to 8 PM; Wednesday: 8 AM to 8 PM; Thursday: 8 AM to 8 PM; Friday: 8 AM to 8 PM; Saturday: 8 AM to 8 PM; Sunday: Closed</t>
  </si>
  <si>
    <t>Redeeming Light Wellness Center is a Baltimore-area mental and behavioral health clinic offering outpatient services and wraparound supports, including an Outpatient Mental Health Clinic (OMHC) and a Psychiatric Rehabilitation Program (PRP). Founded in 2019, the center aims to provide holistic mental health care for individuals and families.</t>
  </si>
  <si>
    <t>https://rlwcenter.com/</t>
  </si>
  <si>
    <t>Review data is extremely limited: there is only one public review with a 1-star rating describing a negative experience with a therapist and the PRP program. Because the sample size is so small and there are no additional reviews to indicate a trend, it is not possible to form a reliable overall picture from this data.</t>
  </si>
  <si>
    <t>accepted google identity: 14.2/15; review volume: 5.0/30; review consistency: 7.0/7; review freshness: 6.4/8; verified website: 14.2/15; confirmed irs record: 0.0/20; source corroboration: 3.3/5; Synthesis metadata: low (not part of numeric confidence)</t>
  </si>
  <si>
    <t>4813 Seton Dr, Baltimore, MD 21215</t>
  </si>
  <si>
    <t>(410) 265-0023</t>
  </si>
  <si>
    <t>Amazing Care Health Services LLC</t>
  </si>
  <si>
    <t>Amazing Care Health Services LLC provides behavioral health and home health services in the Baltimore, MD area, including outpatient mental health care, substance use disorder treatment, and psychiatric rehabilitation, along with crisis intervention, care coordination, and housing support.</t>
  </si>
  <si>
    <t>http://www.amazingcarehha.com/</t>
  </si>
  <si>
    <t>Review data show consistently positive feedback, with reviewers praising compassionate staff, patient-centered care, and effective support. The latest available reviews in the sample echo similar themes and do not reveal persistent concerns, indicating stable, favorable experiences across the accessible feedback. When combined with corroborating site data, this suggests reliable, people-focused service delivery.</t>
  </si>
  <si>
    <t>accepted google identity: 14.2/15; review volume: 28.0/30; review consistency: 7.0/7; review freshness: 4.3/8; verified website: 14.2/15; confirmed irs record: 0.0/20; source corroboration: 3.3/5; Synthesis metadata: high (not part of numeric confidence)</t>
  </si>
  <si>
    <t>3200 Crain Hwy #300, Waldorf, MD 20603</t>
  </si>
  <si>
    <t>(240) 978-9498</t>
  </si>
  <si>
    <t>Bridges Healthcare Services</t>
  </si>
  <si>
    <t>Monday: Closed; Tuesday: 9 AM to 3:30 PM; Wednesday: Closed; Thursday: 9 AM to 3:30 PM; Friday: 1 to 7 PM; Saturday: 10 AM to 2 PM; Sunday: 10 AM to 2 PM</t>
  </si>
  <si>
    <t>Bridges Healthcare Services provides mental health evaluation and ongoing care for children, adults, and families at their Waldorf, Maryland clinic.</t>
  </si>
  <si>
    <t>Review data is unavailable for this listing; there are no published reviews to summarize. The listing does show operational status and structured hours, which aids access planning, but there is no user feedback to gauge quality or typical experiences.</t>
  </si>
  <si>
    <t>3261 Old Washington Rd Ste 3021, Waldorf, MD 20602</t>
  </si>
  <si>
    <t>(240) 280-3245</t>
  </si>
  <si>
    <t>H.O.P.E. Behavioral Health</t>
  </si>
  <si>
    <t>Monday: 9 AM to 7 PM; Tuesday: 9 AM to 7 PM; Wednesday: 9 AM to 7 PM; Thursday: 9 AM to 7 PM; Friday: 9 AM to 7 PM; Saturday: 9 AM to 1 PM; Sunday: Closed</t>
  </si>
  <si>
    <t>HOPE Behavioral Health is a Waldorf, MD-based outpatient mental health clinic offering therapy, medication management, crisis intervention, and care coordination for children, teens, adults, and families. Core services include comprehensive assessments, individual/family/group therapy, medication management, crisis intervention, and care coordination, plus Psychiatric Rehabilitation Program (PRP) and Assertive Community Treatment/Mobile Treatment Services (ACT/MTS) to build life skills, housing stability, and community connections.</t>
  </si>
  <si>
    <t>https://www.hopebh.com/</t>
  </si>
  <si>
    <t>Review data for HOPE Behavioral Health shows generally positive experiences, with clients describing compassionate, personalized care and supportive therapists who help families and youth make meaningful progress. Recent reviews highlight the dedicated staff and the therapists' ability to meet clients where they are, though a small number of entries show more mixed experiences. Overall, the review data indicates continued satisfaction and a trend of positive feedback in the latest reviews.</t>
  </si>
  <si>
    <t>accepted google identity: 14.2/15; review volume: 30.0/30; review consistency: 1.8/7; review freshness: 6.5/8; verified website: 14.2/15; confirmed irs record: 0.0/20; source corroboration: 3.3/5; Synthesis metadata: high (not part of numeric confidence)</t>
  </si>
  <si>
    <t>3261 Old Washington Rd Ste 1040, Waldorf, MD 20602</t>
  </si>
  <si>
    <t>(301) 259-5782</t>
  </si>
  <si>
    <t>Regeneration Counseling Services</t>
  </si>
  <si>
    <t>Regeneration Counseling Services provides mental health counseling at a Waldorf, Maryland office, identifying itself as a mental health service and counselor in its Google Maps listing.</t>
  </si>
  <si>
    <t>Reviews show mixed experiences. Some clients praise the staff and ongoing support, while at least one recent review describes unprofessional conduct and disagreement over a diagnosis. The most recent feedback indicates ongoing variability in experiences, with negative reports coexisting with positive ones.</t>
  </si>
  <si>
    <t>accepted google identity: 14.2/15; review volume: 17.5/30; review consistency: 0.0/7; review freshness: 6.4/8; verified website: 0.0/15; confirmed irs record: 0.0/20; source corroboration: 1.7/5; Synthesis metadata: low (not part of numeric confidence)</t>
  </si>
  <si>
    <t>21 Industrial Park Dr Ste 104d, Waldorf, MD 20602</t>
  </si>
  <si>
    <t>(301) 818-0030</t>
  </si>
  <si>
    <t>Project Chesapeake provides addiction treatment and behavioral health counseling services, including substance use disorder treatment and mental health counseling, across Maryland with a recovery-focused approach.</t>
  </si>
  <si>
    <t>Review data for this listing shows predominantly positive feedback, with recurring emphasis on compassionate staff and effective counseling that supports recovery. Recent reviews highlight encouragement from counselors and a supportive program environment; there are no clear, consistent negative trends in the most recent samples.</t>
  </si>
  <si>
    <t>accepted google identity: 14.2/15; review volume: 28.6/30; review consistency: 2.2/7; review freshness: 7.9/8; verified website: 14.2/15; confirmed irs record: 0.0/20; source corroboration: 3.3/5; Synthesis metadata: high (not part of numeric confidence)</t>
  </si>
  <si>
    <t>2255 Crain Hwy Ste 205, Waldorf, MD 20601</t>
  </si>
  <si>
    <t>(667) 382-8624</t>
  </si>
  <si>
    <t>Synchrony Behavioral Health Services LLC</t>
  </si>
  <si>
    <t>Intake requires completing an admissions packet. Documents should be sent via secure HIPAA-compliant fax 667-218-3708 or info@synchronrybhs.com prior to the appointment.</t>
  </si>
  <si>
    <t>Monday: 4:30 to 8 PM; Tuesday: Closed; Wednesday: 4:30 to 8 PM; Thursday: Closed; Friday: Closed; Saturday: 9 AM to 2 PM; Sunday: Closed</t>
  </si>
  <si>
    <t>Synchrony Behavioral Health Services LLC is a behavioral health practice led by a board-certified Psychiatric Mental Health Nurse Practitioner, offering psychiatric medication management and brief psychotherapy for patients across the lifespan, with in-person and secure telehealth visits. The practice accepts Medicaid, Medicare, and most major commercial insurances.</t>
  </si>
  <si>
    <t>https://www.synchronybhs.com/</t>
  </si>
  <si>
    <t>Review data show positive, consistent feedback about the provider’s professionalism, compassion, and thorough care. The most recent reviews describe attentive, respectful treatment and effective support for patients and their families, and the latest feedback continues to trend positively.</t>
  </si>
  <si>
    <t>accepted google identity: 14.2/15; review volume: 18.0/30; review consistency: 7.0/7; review freshness: 7.2/8; verified website: 14.2/15; confirmed irs record: 0.0/20; source corroboration: 3.3/5; Synthesis metadata: high (not part of numeric confidence)</t>
  </si>
  <si>
    <t>4400 MacArthur Blvd NW, Washington, DC 20007</t>
  </si>
  <si>
    <t>(202) 813-0454</t>
  </si>
  <si>
    <t>Power Counseling PLLC</t>
  </si>
  <si>
    <t>Monday: Closed; Tuesday: 9 AM to 8 PM; Wednesday: 9 AM to 8 PM; Thursday: 9 AM to 8 PM; Friday: 9 AM to 8 PM; Saturday: 10 AM to 6 PM; Sunday: Closed</t>
  </si>
  <si>
    <t>Power Counseling PLLC provides mental health services, including individual therapy, couples therapy, family therapy, group therapy, psychiatric evaluations for adults, and medication management.</t>
  </si>
  <si>
    <t>https://www.powercounselingpllc.com/</t>
  </si>
  <si>
    <t>There is very limited review data: one 5-star review with no textual feedback, so there are no recurring themes or concerns to report. The lack of qualitative review content makes it difficult to gauge user experience or consistency over time. Overall, the available review data is too thin to draw reliable conclusions about quality or satisfaction.</t>
  </si>
  <si>
    <t>3850 Old Town Rd, Huntingtown, MD 20639</t>
  </si>
  <si>
    <t>(410) 535-7576</t>
  </si>
  <si>
    <t>On Our Own of Calvert</t>
  </si>
  <si>
    <t>A nonprofit community organization that provides a welcoming space focused on wellness, recovery, and growth for people in Calvert County who are experiencing mental illness, addiction, or homelessness.</t>
  </si>
  <si>
    <t>http://www.onourowncalvert.com/</t>
  </si>
  <si>
    <t>Review data is unavailable or too thin to summarize. The listing indicates the organization is operational with weekday hours and a verified website, but there is no accessible review text to extract recurring themes or issues.</t>
  </si>
  <si>
    <t>8865 Glebe Park Dr, Easton, MD 21601</t>
  </si>
  <si>
    <t>(410) 822-4619</t>
  </si>
  <si>
    <t>Channel Marker Inc</t>
  </si>
  <si>
    <t>Intake and eligibility are handled by program staff; services may be provided in the home, in the community, or at the worksite.</t>
  </si>
  <si>
    <t>Channel Marker Inc. provides integrated mental health care across Maryland locations, offering on-site therapy, crisis stabilization, and supportive programs for youth and adults.</t>
  </si>
  <si>
    <t>http://www.channelmarker.org/</t>
  </si>
  <si>
    <t>Review data is thin: the newest public Google Maps review has no text, and only a small sample of reviews is available. The listing shows generally positive ratings in the available sample. Registry status confirms ongoing operation and the website is verified, which supports the organization’s credibility, but the lack of recent review details means reader-facing impressions should be cautious.</t>
  </si>
  <si>
    <t>accepted google identity: 14.2/15; review volume: 10.1/30; review consistency: 7.0/7; review freshness: 4.5/8; verified website: 14.2/15; confirmed irs record: 20.0/20; source corroboration: 5.0/5; Synthesis metadata: high (not part of numeric confidence)</t>
  </si>
  <si>
    <t>8133 Elliott Rd Ste 236 D, Easton, MD 21601</t>
  </si>
  <si>
    <t>(667) 423-1472</t>
  </si>
  <si>
    <t>LifeStance Therapists &amp; Psychiatrists Easton</t>
  </si>
  <si>
    <t>Appointment required. In-network with most insurance plans; eligibility generally based on age and insurance coverage; services available in-person or online.</t>
  </si>
  <si>
    <t>LifeStance Health Easton provides mental health care from a team of psychiatrists, psychologists, nurse practitioners, and licensed therapists. They offer in-person and online counseling, therapy, psychiatry, and medication management for patients of all ages, addressing conditions such as depression, anxiety, ADHD, trauma, PTSD, OCD, eating disorders, bipolar disorder, schizophrenia, addiction, and more. The practice provides individual, couples, family, and marriage counseling and accepts most insurance plans.</t>
  </si>
  <si>
    <t>https://lifestance.com/location/easton-md-8133/?utm_source=gmb&amp;utm_medium=organic&amp;utm_campaign=locations</t>
  </si>
  <si>
    <t>Review data indicate mostly positive experiences, with frequent praise for friendly staff, easy scheduling, and feeling heard by therapists. A small subset of reviews describe less satisfactory experiences, mainly around telehealth evaluations or treatment decisions, but the latest reviews still point to good outcomes and responsive staff.</t>
  </si>
  <si>
    <t>accepted google identity: 14.2/15; review volume: 30.0/30; review consistency: 2.5/7; review freshness: 7.7/8; verified website: 14.2/15; confirmed irs record: 0.0/20; source corroboration: 3.3/5; Synthesis metadata: high (not part of numeric confidence)</t>
  </si>
  <si>
    <t>515 Charles St Ste 1A, La Plata, MD 20646</t>
  </si>
  <si>
    <t>(301) 690-8008</t>
  </si>
  <si>
    <t>Serenity Place, LLC</t>
  </si>
  <si>
    <t>Appointment required; in Maryland, in-person therapy is on a waitlist; telehealth is available; accessibility details include wheelchair-accessible parking and on-site parking.</t>
  </si>
  <si>
    <t>Serenity Place, LLC is a mental health practice that provides counseling and therapy for individuals, couples, and families, with licensed therapists and telehealth options in Maryland and Texas.</t>
  </si>
  <si>
    <t>https://www.serenityplacellc.com/</t>
  </si>
  <si>
    <t>Review data is unavailable, with no published user reviews in the sources provided. The available evidence confirms an operational mental health practice with a detailed website and structured hours, but there is no user feedback to summarize. Because review text is too thin, reliability cannot be inferred beyond basic listing accuracy.</t>
  </si>
  <si>
    <t>69 Sherry Ln, Prince Frederick, MD 20678</t>
  </si>
  <si>
    <t>(443) 968-8331</t>
  </si>
  <si>
    <t>Project Chesapeake provides behavioral health counseling and substance use disorder treatment, including residential and outpatient services in Maryland.</t>
  </si>
  <si>
    <t>Review data show negative feedback in the available sample: two retrieved reviews are 1-star. The newest review (2025) notes the treatment plan did not reflect personal needs, and an older review (2024) reports billing issues and discharge. With the limited sample and no positive feedback in the fetch, the data point to concerns about service quality; the newest remarks align with prior criticisms.</t>
  </si>
  <si>
    <t>accepted google identity: 14.2/15; review volume: 11.3/30; review consistency: 7.0/7; review freshness: 2.5/8; verified website: 14.2/15; confirmed irs record: 0.0/20; source corroboration: 3.3/5; Synthesis metadata: low (not part of numeric confidence)</t>
  </si>
  <si>
    <t>725 Horsepond Rd, Dover, DE 19901</t>
  </si>
  <si>
    <t>(302) 741-0140</t>
  </si>
  <si>
    <t>Dover Behavioral Health System</t>
  </si>
  <si>
    <t>Walk-ins are welcome; schedule a level-of-care assessment or appointment by calling 302-741-0140. The Georgetown Campus is outpatient-treatment-only.</t>
  </si>
  <si>
    <t>Dover Behavioral Health System provides inpatient psychiatric care and a range of outpatient behavioral-health services, including a Partial Hospitalization Program (PHP) for children and adolescents and outpatient care for adults; the Georgetown Campus offers outpatient treatment only.</t>
  </si>
  <si>
    <t>https://doverbehavioral.com/</t>
  </si>
  <si>
    <t>Review data show a mix of positive and negative experiences. Some reviewers praise helpful staff and beneficial therapeutic experiences, while others criticize the environment and administrative aspects. The newest reviews continue to present a similar mix, with ongoing praise for some staff and concerns raised by others.</t>
  </si>
  <si>
    <t>accepted google identity: 13.4/15; review volume: 30.0/30; review consistency: 1.8/7; review freshness: 7.9/8; verified website: 13.4/15; confirmed irs record: 0.0/20; source corroboration: 3.3/5; Synthesis metadata: medium (not part of numeric confidence)</t>
  </si>
  <si>
    <t>26845 Point Lookout Rd APT 1, Leonardtown, MD 20650</t>
  </si>
  <si>
    <t>(240) 309-4015</t>
  </si>
  <si>
    <t>Project Chesapeake provides behavioral health counseling and addiction treatment services in Maryland, with multiple locations including Leonardtown.</t>
  </si>
  <si>
    <t>Review data for this listing is sparse: the overall rating is 3.9 with 8 public reviews, but the newest review text is unavailable, so recurring themes and direction cannot be determined. Because the review text is too thin to summarize, it is not possible to identify consistent strengths or concerns from user feedback. Other evidence (the website and maps listing) supports that the service offers behavioral health counseling and addiction treatment, and the reported hours and accessibility features appear documented.</t>
  </si>
  <si>
    <t>accepted google identity: 13.4/15; review volume: 13.3/30; review consistency: 7.0/7; review freshness: 6.3/8; verified website: 13.4/15; confirmed irs record: 0.0/20; source corroboration: 3.3/5; Synthesis metadata: insufficient_evidence (not part of numeric confidence)</t>
  </si>
  <si>
    <t>25500 Point Lookout Rd, Leonardtown, MD 20650</t>
  </si>
  <si>
    <t>(301) 475-8981</t>
  </si>
  <si>
    <t>MedStar St. Mary's Hospital</t>
  </si>
  <si>
    <t>MedStar St. Mary’s Hospital is a full-service community hospital in Leonardtown that provides emergency, inpatient and outpatient care, imaging, surgical services, and related hospital care as part of the MedStar Health network.</t>
  </si>
  <si>
    <t>https://www.medstarhealth.org/locations/medstar-st-marys-hospital?utm_campaign=mhs_citations&amp;utm_medium=listing&amp;utm_source=citation_management&amp;utm_term=hospital</t>
  </si>
  <si>
    <t>Review data indicate generally positive experiences with staff professionalism, attentiveness, and compassionate care. Some recurring concerns involve emergency department wait times and occasional disagreements about care decisions. The most recent reviews remain largely positive, showing continued satisfaction with the care received and staff responsiveness.</t>
  </si>
  <si>
    <t>106 Milford Street, Suite 104, Salisbury, MD 21804</t>
  </si>
  <si>
    <t>(410) 749-4357</t>
  </si>
  <si>
    <t>Life Crisis Center</t>
  </si>
  <si>
    <t>No-charge services for women, men, and children who are victims of domestic violence, sexual assault, or child abuse. 24/7 toll-free hotline operates for crisis assistance or referrals. Intake and eligibility details are not specified in the available evidence.</t>
  </si>
  <si>
    <t>The Life Crisis Center is a local nonprofit crisis center that provides crisis intervention and support for victims of domestic violence, sexual assault, and child abuse. Services include counseling, legal services, advocacy, case management, supervised visitation, and safe housing, along with a 24/7 crisis hotline.</t>
  </si>
  <si>
    <t>http://www.lifecrisiscenter.org/</t>
  </si>
  <si>
    <t>Reviews show a mix of experiences: some clients report lifesaving help and compassionate, non-judgmental support, while others describe frustration with responsiveness and follow-up, including difficulty contacting the agency and delays in services. The newest reviews indicate ongoing concerns, and overall sentiment appears mixed rather than strongly positive or negative.</t>
  </si>
  <si>
    <t>accepted google identity: 14.2/15; review volume: 26.5/30; review consistency: 0.0/7; review freshness: 7.2/8; verified website: 14.2/15; confirmed irs record: 0.0/20; source corroboration: 3.3/5; Synthesis metadata: medium (not part of numeric confidence)</t>
  </si>
  <si>
    <t>1342 S Division St, Salisbury, MD 21804</t>
  </si>
  <si>
    <t>(443) 859-8584</t>
  </si>
  <si>
    <t>LifeMark Inc</t>
  </si>
  <si>
    <t>Appointments recommended; Wheelchair accessible entrance; Wheelchair accessible parking; Wheelchair accessible restroom.</t>
  </si>
  <si>
    <t>Monday: 8 AM to 4 PM; Tuesday: 8 AM to 4 PM; Wednesday: 8 AM to 6 PM; Thursday: 8 AM to 6 PM; Friday: 8 AM to 1 PM; Saturday: Closed; Sunday: Closed</t>
  </si>
  <si>
    <t>LifeMark Counseling &amp; Wellness provides mental health counseling, including individual therapy, couples therapy, and family therapy, at its Salisbury, MD location.</t>
  </si>
  <si>
    <t>http://lifemark.pro/</t>
  </si>
  <si>
    <t>Review data indicate consistently positive experiences, with comments about warm, caring clinicians and effective counseling. The visible feedback is largely favorable and describes LifeMark as a supportive place for therapy, though the sample is small and not very recent.</t>
  </si>
  <si>
    <t>accepted google identity: 14.2/15; review volume: 15.1/30; review consistency: 7.0/7; review freshness: 3.5/8; verified website: 14.2/15; confirmed irs record: 20.0/20; source corroboration: 5.0/5; Synthesis metadata: high (not part of numeric confidence)</t>
  </si>
  <si>
    <t>124 N Main St C, Berlin, MD 21811</t>
  </si>
  <si>
    <t>(410) 641-4598</t>
  </si>
  <si>
    <t>Worcester Youth &amp; Family Counseling</t>
  </si>
  <si>
    <t>Intake involves an initial screening; participation can be self-referred or referred by any agency; eligibility requires financial need with a sliding-fee option; to start Worcester Navigation, contact Christine Felix at the main office (cfelix@gowoyo.org).</t>
  </si>
  <si>
    <t>Monday: 8:30 AM to 7 PM; Tuesday: 8:30 AM to 7 PM; Wednesday: 8:30 AM to 7 PM; Thursday: 8:30 AM to 7 PM; Friday: Closed; Saturday: Closed; Sunday: Closed</t>
  </si>
  <si>
    <t>Worcester Youth &amp; Family Counseling Services provides mental health counseling, family resource navigation, and youth programs to support youth and families in Worcester County.</t>
  </si>
  <si>
    <t>http://www.gowoyo.org/</t>
  </si>
  <si>
    <t>Review data is sparse and mixed. The public listing shows three reviews with varying ratings and no recent activity in the latest sample, while official website content confirms counseling and youth programs. Given the thin review signal and some data inconsistencies across sources, reliability is best described as moderate.</t>
  </si>
  <si>
    <t>485 Madison Ave, New York, NY 10022</t>
  </si>
  <si>
    <t>(800) 813-4673</t>
  </si>
  <si>
    <t>CancerCare</t>
  </si>
  <si>
    <t>Eligibility: services are free of charge and not withheld based on protected characteristics (race, color, religion, national origin, gender identity or expression, sexual orientation, ethnicity, immigration status, age, marital status, disability, genetic information, veteran/military status, or other protected status).</t>
  </si>
  <si>
    <t>Monday: 9 AM to 7 PM; Tuesday: 9 AM to 7 PM; Wednesday: 9 AM to 7 PM; Thursday: 9 AM to 7 PM; Friday: 9 AM to 5 PM; Saturday: Closed; Sunday: Closed</t>
  </si>
  <si>
    <t>CancerCare provides free emotional and practical support for people affected by cancer, including counseling by oncology social workers, support groups, information and resources, educational programs, and financial and co-payment assistance.</t>
  </si>
  <si>
    <t>https://www.cancercare.org/</t>
  </si>
  <si>
    <t>Reviews describe helpful, compassionate support and a welcoming environment, with two recent five-star samples highlighting strong staff care. The listing shows an overall rating of 3.9 out of 5 from 18 reviews, though the newest sample is several months old. Overall, the available review data point to positive experiences, but the small recent sample suggests exercising caution before broad generalizations.</t>
  </si>
  <si>
    <t>accepted google identity: 14.2/15; review volume: 18.7/30; review consistency: 7.0/7; review freshness: 5.7/8; verified website: 14.2/15; confirmed irs record: 0.0/20; source corroboration: 3.3/5; Synthesis metadata: high (not part of numeric confidence)</t>
  </si>
  <si>
    <t>(240) 636-1663</t>
  </si>
  <si>
    <t>AIM Behavioral Health Services</t>
  </si>
  <si>
    <t>Appointment required; English-language service option; telehealth available.</t>
  </si>
  <si>
    <t>Monday: 5 to 9 PM; Tuesday: Closed; Wednesday: 5 to 9 PM; Thursday: 5 to 9 PM; Friday: 9 AM to 6 PM; Saturday: 10 AM to 3 PM; Sunday: 10 AM to 3 PM</t>
  </si>
  <si>
    <t>AIM Behavioral Health Services provides mental health and behavioral health care, offered by appointment with telehealth options and English-language service.</t>
  </si>
  <si>
    <t>http://www.aimbhs.com/</t>
  </si>
  <si>
    <t>Review data shows two positive reviews describing the provider as attentive, compassionate, and supportive, with clear communication and involvement in decision-making. The clinic owner responded to both reviews, indicating ongoing engagement; the available feedback is limited in number and recency, but the themes stay consistently favorable.</t>
  </si>
  <si>
    <t>accepted google identity: 14.2/15; review volume: 8.5/30; review consistency: 7.0/7; review freshness: 2.5/8; verified website: 14.2/15; confirmed irs record: 0.0/20; source corroboration: 3.3/5; Synthesis metadata: high (not part of numeric confidence)</t>
  </si>
  <si>
    <t>17826 New Hampshire Ave, Ashton, MD 20861</t>
  </si>
  <si>
    <t>(800) 491-5369</t>
  </si>
  <si>
    <t>CentrePointe Counseling, Inc</t>
  </si>
  <si>
    <t>Open to all regardless of religious preference, race, or age. Accepts many insurance plans; Samaritan Fund grants available for those without insurance; intake details not specified in current evidence.</t>
  </si>
  <si>
    <t>CentrePointe Counseling provides access to licensed Christian counselors across Maryland, D.C., and Northern Virginia for individuals, couples, families, and youth. Services include premarital counseling, couples therapy, family therapy, and treatment for depression, anxiety, addiction, grief, and spiritual concerns, with many insurances accepted and Samaritan Fund grants available for uninsured clients. The organization states that clients are welcome regardless of religious preference, race, or age.</t>
  </si>
  <si>
    <t>https://www.centrepointecounseling.org/</t>
  </si>
  <si>
    <t>Review data show consistently positive experiences with empathetic, professional counselors and effective communication. Several reviews highlight personal connections with counselors and timely, supportive care. The newest reviews are several months old, but overall feedback remains favorable.</t>
  </si>
  <si>
    <t>accepted google identity: 14.2/15; review volume: 16.8/30; review consistency: 7.0/7; review freshness: 5.6/8; verified website: 14.2/15; confirmed irs record: 0.0/20; source corroboration: 3.3/5; Synthesis metadata: high (not part of numeric confidence)</t>
  </si>
  <si>
    <t>2 North Rd STE A, Chester, NJ 07930</t>
  </si>
  <si>
    <t>(877) 467-3638</t>
  </si>
  <si>
    <t>Cancer Hope Network</t>
  </si>
  <si>
    <t>Office hours Monday–Friday 9:00 AM–5:00 PM ET; service accessed via phone; no intake documents indicated in available sources.</t>
  </si>
  <si>
    <t>Cancer Hope Network provides free, confidential one-on-one peer mentorship for adults affected by cancer, connecting patients and their loved ones with trained mentors by phone. It serves adults in the United States and Canada seeking peer support.</t>
  </si>
  <si>
    <t>http://cancerhopenetwork.org/</t>
  </si>
  <si>
    <t>Review data show consistently positive sentiment about the program, with a 2024 review praising the organization’s work for cancer patients. The newest review is from 2024 and there are few public reviews in the available sample, so current experience signals are limited.</t>
  </si>
  <si>
    <t>accepted google identity: 14.2/15; review volume: 15.1/30; review consistency: 7.0/7; review freshness: 1.9/8; verified website: 14.2/15; confirmed irs record: 0.0/20; source corroboration: 3.3/5; Synthesis metadata: high (not part of numeric confidence)</t>
  </si>
  <si>
    <t>3000 Manchester Rd, Manchester, MD 21102</t>
  </si>
  <si>
    <t>(410) 861-0066</t>
  </si>
  <si>
    <t>Kindred Treatment Center</t>
  </si>
  <si>
    <t>New patient intake form available online; by appointment; accepts most major insurance programs.</t>
  </si>
  <si>
    <t>Monday: 8 AM to 8 PM; Tuesday: 8 AM to 8 PM; Wednesday: 8 AM to 8 PM; Thursday: 8 AM to 8 PM; Friday: 8 AM to 8 PM; Saturday: Closed; Sunday: Closed</t>
  </si>
  <si>
    <t>Kindred Treatment Center provides outpatient behavioral health care, including therapy, psychiatry, addiction treatment, and family support, with in-person and virtual options for adults, children, and families.</t>
  </si>
  <si>
    <t>https://www.kindredtreatmentcenter.com/</t>
  </si>
  <si>
    <t>Review data show recurring positive themes: supportive staff, accessible services, and structured programs. Recurring concerns include confidentiality issues, discharge decisions, and administrative/billing friction. The newest reviews lean toward negative feedback on confidentiality and follow-up, suggesting mixed experiences and a trend toward the less favorable side of recent feedback.</t>
  </si>
  <si>
    <t>accepted google identity: 14.2/15; review volume: 30.0/30; review consistency: 1.5/7; review freshness: 7.7/8; verified website: 14.2/15; confirmed irs record: 0.0/20; source corroboration: 3.3/5; Synthesis metadata: high (not part of numeric confidence)</t>
  </si>
  <si>
    <t>4903 Liberty Heights Ave, Baltimore, MD 21207</t>
  </si>
  <si>
    <t>(443) 429-0095</t>
  </si>
  <si>
    <t>Islamic Leadership Institute of America</t>
  </si>
  <si>
    <t>Eligibility: open to all faiths. Youth-focused programs generally serve ages 9–25, with some offerings for adults 25+. No additional intake/referral requirements were specified in the cited sources.</t>
  </si>
  <si>
    <t>Monday: 10 AM to 4 PM; Tuesday: 10 AM to 4 PM; Wednesday: 10 AM to 4 PM; Thursday: 10 AM to 4 PM; Friday: Closed; Saturday: 10 AM to 2 PM; Sunday: 12 to 2 PM</t>
  </si>
  <si>
    <t>A Maryland-based nonprofit focused on education, research, and leadership development rooted in Islamic values. ILIA provides youth leadership programs, mentoring and coaching, internships, and certificate-based learning, along with field studies, projects, and tutoring. Programs are open to participants regardless of faith.</t>
  </si>
  <si>
    <t>https://www.islamicleadership.org/</t>
  </si>
  <si>
    <t>Review data show consistently positive feedback, with reviewers describing staff as kind, helpful, and supportive during times of need. The available reviews indicate appreciation for staff and responsiveness from the organization, with owner responses showing ongoing engagement. The newest available reviews are not very recent, but the tone of the available text remains favorable.</t>
  </si>
  <si>
    <t>accepted google identity: 14.2/15; review volume: 18.9/30; review consistency: 7.0/7; review freshness: 3.4/8; verified website: 14.2/15; confirmed irs record: 20.0/20; source corroboration: 5.0/5; Synthesis metadata: high (not part of numeric confidence)</t>
  </si>
  <si>
    <t>1657 Whitehead Ct, Baltimore, MD 21207</t>
  </si>
  <si>
    <t>(443) 200-3653</t>
  </si>
  <si>
    <t>Blossom Care and Behavioral Services, Inc</t>
  </si>
  <si>
    <t>Appointments required; scheduling available by online portal or phone; intake/referral practices not fully specified in the evidence; facility is wheelchair accessible and offers various parking options.</t>
  </si>
  <si>
    <t>Blossom Care and Behavioral Services provides mental-health and behavioral-health services, including psychiatric evaluations, medication management, and medication-assisted treatment, with options for virtual psychological services and integrated psychiatric rehabilitation.</t>
  </si>
  <si>
    <t>https://blossomcareservices.com/</t>
  </si>
  <si>
    <t>Review data for this listing shows consistently positive feedback about staff attentiveness and caring service. Review text commonly notes thorough evaluations, clear communication, and a supportive environment, with the latest reviews continuing to reflect satisfaction and appreciation for the care received.</t>
  </si>
  <si>
    <t>accepted google identity: 14.2/15; review volume: 30.0/30; review consistency: 4.3/7; review freshness: 7.7/8; verified website: 14.2/15; confirmed irs record: 0.0/20; source corroboration: 3.3/5; Synthesis metadata: high (not part of numeric confidence)</t>
  </si>
  <si>
    <t>2 E Rolling Crossroads Ste 109, Catonsville, MD 21228</t>
  </si>
  <si>
    <t>(443) 860-9784</t>
  </si>
  <si>
    <t>Family’s First</t>
  </si>
  <si>
    <t>Monday: 9:30 AM to 4:30 PM; Tuesday: 9:30 AM to 4:30 PM; Wednesday: 9:30 AM to 4:30 PM; Thursday: 9:30 AM to 4:30 PM; Friday: 9:30 AM to 4:30 PM; Saturday: Closed; Sunday: Closed</t>
  </si>
  <si>
    <t>Family's First LLC runs an outpatient mental health clinic in Catonsville, providing therapy for children, youth, and adults and medication management through licensed clinicians; it serves families and individuals seeking mental health support.</t>
  </si>
  <si>
    <t>http://familysfirstmd.com/</t>
  </si>
  <si>
    <t>Review data indicate generally positive experiences, with several reviewers praising caring staff and helpful therapy. However, a newer 1-star review describes difficulty getting a call back to start services, signaling a potential responsiveness issue. Overall, the majority of feedback remains favorable, though the newest input points to ongoing concerns about outreach that may warrant attention.</t>
  </si>
  <si>
    <t>accepted google identity: 14.2/15; review volume: 17.5/30; review consistency: 0.9/7; review freshness: 7.2/8; verified website: 14.2/15; confirmed irs record: 0.0/20; source corroboration: 3.3/5; Synthesis metadata: high (not part of numeric confidence)</t>
  </si>
  <si>
    <t>4805 Garrison Blvd, Baltimore, MD 21215</t>
  </si>
  <si>
    <t>(443) 869-2600</t>
  </si>
  <si>
    <t>Changing Lives at Home Inc.</t>
  </si>
  <si>
    <t>Referrals accepted from Baltimore City and surrounding Maryland counties; services include community-based behavioral health programs and a licensed 5-bed residential group home for adolescent females; intake/referral specifics are described on the organization’s site but not itemized for all programs.</t>
  </si>
  <si>
    <t>Changing Lives at Home Mental Health Inc. is a state-licensed mental health agency offering community-based behavioral health services for children and adults, including in-home and school-based programs and a licensed residential group home for adolescent females.</t>
  </si>
  <si>
    <t>http://www.clhmentalhealth.org/</t>
  </si>
  <si>
    <t>Review data show a mix of experiences. Review text highlights positive experiences with therapists and supportive staff, but a recent review notes administrative delays and perceived unprofessionalism. Overall, the newest reviews reflect a variety of experiences and do not point to a single, uniform pattern.</t>
  </si>
  <si>
    <t>accepted google identity: 14.2/15; review volume: 24.0/30; review consistency: 4.2/7; review freshness: 5.5/8; verified website: 14.2/15; confirmed irs record: 20.0/20; source corroboration: 5.0/5; Synthesis metadata: high (not part of numeric confidence)</t>
  </si>
  <si>
    <t>22 W Pennsylvania Ave Ste 401, Towson, MD 21204</t>
  </si>
  <si>
    <t>(410) 376-8728</t>
  </si>
  <si>
    <t>Release &amp; Renew Mental Wellness, LLC</t>
  </si>
  <si>
    <t>New clients complete intake forms via the New Client Scheduling Portal. A New Client Consultation is scheduled after intake; all consultations are conducted securely via telehealth, with some in-person options. Scheduling, insurance, and provider availability are reviewed after intake. For assistance, contact the office at 410-376-8728.</t>
  </si>
  <si>
    <t>Release and Renew Mental Wellness, LLC provides mental-health care including psychiatric evaluations, medication management, therapy, and integrative wellness services for children, adolescents, and adults, with both telehealth and select in-person options.</t>
  </si>
  <si>
    <t>https://releaserenewmentalwellness.com/</t>
  </si>
  <si>
    <t>There are no Google Maps reviews available for this listing, so user-review feedback is unavailable. The listing appears operational with a verified address and published hours, and the website is reachable, but reliability cannot be assessed from reviews alone due to the absence of review text or ratings.</t>
  </si>
  <si>
    <t>1205 York Rd Ste 14, Timonium, MD 21093</t>
  </si>
  <si>
    <t>(667) 425-5536</t>
  </si>
  <si>
    <t>LifeStance Therapists &amp; Psychiatrists Timonium</t>
  </si>
  <si>
    <t>Most insurances accepted; services billed through many plans.</t>
  </si>
  <si>
    <t>LifeStance Health Timonium provides mental health care from a network of licensed clinicians, offering therapy, psychiatry, and medication management to patients of all ages. Services are available in-person or online, with many insurance plans accepted.</t>
  </si>
  <si>
    <t>https://lifestance.com/location/timonium-md-1205-york-rd/?utm_source=gmb&amp;utm_medium=organic&amp;utm_campaign=locations</t>
  </si>
  <si>
    <t>Review data show generally positive feedback about clinicians and the care experience, with reviewers noting supportive therapists and helpful tools. A minority report concerns about administrative communications and scheduling, including a complaint about excessive appointment-registration messages and a misgendering incident. Overall, the latest reviews continue to reflect favorable experiences with providers.</t>
  </si>
  <si>
    <t>accepted google identity: 14.2/15; review volume: 30.0/30; review consistency: 2.4/7; review freshness: 7.8/8; verified website: 14.2/15; confirmed irs record: 0.0/20; source corroboration: 3.3/5; Synthesis metadata: high (not part of numeric confidence)</t>
  </si>
  <si>
    <t>10264 Baltimore National Pike Ste B, Ellicott City, MD 21042</t>
  </si>
  <si>
    <t>(443) 288-0366</t>
  </si>
  <si>
    <t>You Turn Behavioral Health Services</t>
  </si>
  <si>
    <t>Outpatient behavioral health clinic in Ellicott City that provides therapy for children, adolescents, and adults and offers psychiatric medication management and related behavioral health services. The organization accepts Medicaid and offers both in-person care in Ellicott City and telehealth options across Maryland.</t>
  </si>
  <si>
    <t>https://youturnbhs.com/</t>
  </si>
  <si>
    <t>Review data shows one positive review noting staff as professionals. Because the available review data is extremely limited, it’s not possible to gauge broader satisfaction or trends beyond this single data point; however, the listing’s hours, identity, and website information are consistently verified. When present, reviews are referenced here as review data without naming the source.</t>
  </si>
  <si>
    <t>accepted google identity: 14.2/15; review volume: 5.0/30; review consistency: 7.0/7; review freshness: 6.4/8; verified website: 14.2/15; confirmed irs record: 0.0/20; source corroboration: 3.3/5; Synthesis metadata: high (not part of numeric confidence)</t>
  </si>
  <si>
    <t>6525 N Charles St, Towson, MD 21204</t>
  </si>
  <si>
    <t>(410) 938-8449</t>
  </si>
  <si>
    <t>Anxiety and Stress Disorders Institute</t>
  </si>
  <si>
    <t>ASDI is a Towson private practice focused on anxiety disorders and OCD, offering evaluation and a broad range of therapy services including individual and group therapy, cognitive therapy, intensive behavior therapy, exposure-based treatments, mindfulness training, stress management, and related consultations and workshops.</t>
  </si>
  <si>
    <t>https://www.anxietyandstress.com/</t>
  </si>
  <si>
    <t>Public review data is unavailable for this listing, so there is no review text to summarize. The listing indicates the practice is operational and reachable via an official website, but without user reviews, readers cannot gauge satisfaction or consistency of care from reviews.</t>
  </si>
  <si>
    <t>3939 Reisterstown Rd, Baltimore, MD 21215</t>
  </si>
  <si>
    <t>(410) 367-7821</t>
  </si>
  <si>
    <t>ABA Health Services, Inc.</t>
  </si>
  <si>
    <t>Monday: 10 AM to 6:30 PM; Tuesday: 10 AM to 6:30 PM; Wednesday: 10 AM to 6:30 PM; Thursday: 10 AM to 6:30 PM; Friday: 10 AM to 6:30 PM; Saturday: Closed; Sunday: Closed</t>
  </si>
  <si>
    <t>A physical-location mental health clinic that also provides addiction treatment services.</t>
  </si>
  <si>
    <t>Review data for the organization show a mix of experiences. Some reviewers describe professional staff and helpful service, while others report poor communication, billing issues, and unprofessional behavior. The most recent public feedback is sparse and not uniformly positive, suggesting limited agreement among reviewers.</t>
  </si>
  <si>
    <t>accepted google identity: 14.2/15; review volume: 21.4/30; review consistency: 1.1/7; review freshness: 5.6/8; verified website: 0.0/15; confirmed irs record: 0.0/20; source corroboration: 1.7/5; Synthesis metadata: insufficient_evidence (not part of numeric confidence)</t>
  </si>
  <si>
    <t>3901 Park Heights Ave, Baltimore, MD 21215</t>
  </si>
  <si>
    <t>(443) 402-8074</t>
  </si>
  <si>
    <t>Conduit Behavioral Health</t>
  </si>
  <si>
    <t>Hours Of Operation: Monday:9:00 AM - 5:00 PM Tuesday:9:00 AM - 5:00 PM Wednesday:9:00 AM - 5:00 PM Thursday:9:00 AM - 5:00 PM Friday:9:00 AM - 5:00 PM Saturday:Closed Sunday:Closed</t>
  </si>
  <si>
    <t>Conduit Behavioral Health provides behavioral health care in Baltimore, offering counseling for individuals and families, medication management, and treatment for substance use disorders, with telehealth options.</t>
  </si>
  <si>
    <t>https://www.conduitbhs.com/contact-us</t>
  </si>
  <si>
    <t>Review feedback was unavailable for this listing; there are no public reviews in the sources examined. The available signals indicate the listing is operational and reachable via a verified website and a valid phone number, but no consumer testimonial data is present to characterize experiences.</t>
  </si>
  <si>
    <t>6400 Baltimore National Pike Ste 250B, Catonsville, MD 21228</t>
  </si>
  <si>
    <t>(443) 251-2966</t>
  </si>
  <si>
    <t>Altruistic Healthcare Services</t>
  </si>
  <si>
    <t>Intake/referral details vary by program. DIP requires participants to be 18 years or older. For the DIP program, participants must bring government-issued photo ID and an MVA referral letter. The site lists multiple accepted insurances. Accessibility features include wheelchair-accessible entrance, parking, and restroom. Appointments are required or recommended for some services; planning notes indicate appointment requirements.</t>
  </si>
  <si>
    <t>Monday: 9 AM to 5 PM; Tuesday: 9 AM to 5 PM; Wednesday: 9 AM to 5 PM; Thursday: 9 AM to 5 PM; Friday: 9 AM to 5 PM; Saturday: 10 AM to 2 PM; Sunday: Closed</t>
  </si>
  <si>
    <t>Outpatient mental health clinic offering a range of behavioral health services, including psychiatric evaluations, medication management, therapy, and programs such as Psychiatric Rehabilitation Program (PRP) and Intensive Outpatient Program (IOP), plus telepsychiatry. The site also documents Driver Improvement and Drug &amp; Alcohol Education programs offered on site or online.</t>
  </si>
  <si>
    <t>https://www.altruistichcs.com/</t>
  </si>
  <si>
    <t>Review data show a generally positive impression with a 4.2/5 rating from five public reviews, but actual review text isn’t available in the data and newest feedback isn’t present in the fetch. Consequently, consistent themes in reviews can’t be summarized, though the overall signal indicates satisfaction and stable presence.</t>
  </si>
  <si>
    <t>5407 N Charles St #2024, Baltimore, MD 21210</t>
  </si>
  <si>
    <t>(410) 433-8861</t>
  </si>
  <si>
    <t>Inspirit Counseling Services</t>
  </si>
  <si>
    <t>No longer accepting new clients.</t>
  </si>
  <si>
    <t>Inspirit Counseling Services provides counseling services with a focus on mental health support for individuals and families.</t>
  </si>
  <si>
    <t>http://inspiritmaryland.org/contact-us/</t>
  </si>
  <si>
    <t>Review data show mixed experiences: at least one reviewer described perceived bias by a counselor, while another reviewer reported helpful counseling from staff. The newest available review is from early 2024, and the sample is small with a low overall impression. Because the review data are sparse and somewhat dated, reliability is limited for current conditions.</t>
  </si>
  <si>
    <t>accepted google identity: 14.2/15; review volume: 15.1/30; review consistency: 0.0/7; review freshness: 1.3/8; verified website: 14.2/15; confirmed irs record: 0.0/20; source corroboration: 3.3/5; Synthesis metadata: insufficient_evidence (not part of numeric confidence)</t>
  </si>
  <si>
    <t>2300 Garrison Blvd, Baltimore, MD 21216</t>
  </si>
  <si>
    <t>(410) 233-6200</t>
  </si>
  <si>
    <t>Optimum Health System</t>
  </si>
  <si>
    <t>Intake is required for OMHC referrals; a referral is typically needed to access OMHC services, and intake sessions are conducted for referred individuals. Appointments are recommended.</t>
  </si>
  <si>
    <t>Optimum Health Systems is an outpatient mental health clinic and rehabilitation program offering services focused on mental health treatment, therapy, and related supports for youth, adults, and families to help them function well in daily life.</t>
  </si>
  <si>
    <t>https://optimummd.com/</t>
  </si>
  <si>
    <t>Review data from the listing indicate consistently positive experiences, with frequent notes of supportive staff and meaningful, ongoing care. The most recent reviews continue to reflect high satisfaction and trust in the providers, suggesting stability in the quality of service. Overall, the review text points to helpful, person-centered care and a strong sense of being supported by the team.</t>
  </si>
  <si>
    <t>accepted google identity: 14.2/15; review volume: 28.6/30; review consistency: 3.4/7; review freshness: 7.2/8; verified website: 14.2/15; confirmed irs record: 0.0/20; source corroboration: 3.3/5; Synthesis metadata: high (not part of numeric confidence)</t>
  </si>
  <si>
    <t>6600 York Rd, Baltimore, MD 21212</t>
  </si>
  <si>
    <t>(410) 377-0154</t>
  </si>
  <si>
    <t>Vision HealthCare</t>
  </si>
  <si>
    <t>Appointments can be scheduled by phone or via the contact page; intake details are not evidenced in the materials provided.</t>
  </si>
  <si>
    <t>Monday: 9 AM to 5 PM; Tuesday: 9 AM to 5 PM; Wednesday: 9 AM to 5 PM; Thursday: 9 AM to 5 PM; Friday: 9 AM to 5 PM; Saturday: 10 AM to 3 PM; Sunday: Closed</t>
  </si>
  <si>
    <t>Vision HealthCare provides mental and behavioral health care, including evaluation and treatment for children, adolescents, and adults in Baltimore, with care coordination and assistance navigating community resources.</t>
  </si>
  <si>
    <t>http://visionhealthcare.org/contact.html</t>
  </si>
  <si>
    <t>Review data show consistently positive experiences, with themes of helpful staff, benefit navigation, and supportive therapy coordination; the most recent review has no text, making its sentiment unclear, but the existing reviews indicate ongoing satisfaction.</t>
  </si>
  <si>
    <t>accepted google identity: 14.2/15; review volume: 13.9/30; review consistency: 7.0/7; review freshness: 3.7/8; verified website: 14.2/15; confirmed irs record: 0.0/20; source corroboration: 3.3/5; Synthesis metadata: high (not part of numeric confidence)</t>
  </si>
  <si>
    <t>8318 Forrest St Ste 100, Ellicott City, MD 21043</t>
  </si>
  <si>
    <t>(410) 970-4842</t>
  </si>
  <si>
    <t>Glass House Recovery</t>
  </si>
  <si>
    <t>Eligibility: adults 18–64; benefits verified; most commercial insurance plans accepted; admissions team helps assess next steps; licensed in Maryland.</t>
  </si>
  <si>
    <t>Glass House Recovery is an outpatient addiction treatment program in Ellicott City, Maryland, offering PHP, IOP, and standard outpatient services for substance use and co-occurring mental health concerns.</t>
  </si>
  <si>
    <t>http://glasshouserecovery.com/</t>
  </si>
  <si>
    <t>Review data describe generally positive experiences with supportive therapists and meaningful progress, though a minority of reviews mention billing concerns or unprofessional staff. The newest reviews are about 82 days old and overall sentiment remains mixed but leaning positive; owner responses indicate ongoing engagement with clients.</t>
  </si>
  <si>
    <t>accepted google identity: 14.2/15; review volume: 30.0/30; review consistency: 0.9/7; review freshness: 6.8/8; verified website: 14.2/15; confirmed irs record: 0.0/20; source corroboration: 3.3/5; Synthesis metadata: high (not part of numeric confidence)</t>
  </si>
  <si>
    <t>2901 Druid Park Dr Ste A202, Baltimore, MD 21215</t>
  </si>
  <si>
    <t>(410) 488-5171</t>
  </si>
  <si>
    <t>Victorious Mental Healthcare LLC</t>
  </si>
  <si>
    <t>Referral by licensed professional of the healing arts; appointments recommended; serves individuals ages 5 and older (children and adolescents up to 17; adults 18+).</t>
  </si>
  <si>
    <t>Monday: 9 AM to 6 PM; Tuesday: 9 AM to 6 PM; Wednesday: 9 AM to 6 PM; Thursday: 9 AM to 6 PM; Friday: 9 AM to 6 PM; Saturday: 9 AM to 1 PM; Sunday: Closed</t>
  </si>
  <si>
    <t>Victorious Mental Healthcare LLC provides outpatient mental health services in Baltimore, including counseling, psychiatric rehabilitation, and school-based therapy.</t>
  </si>
  <si>
    <t>https://www.victoriousmentalhealthcare.com/</t>
  </si>
  <si>
    <t>No usable review data is available for this listing. The listing is operational with published hours and a verified website, which supports access to services.</t>
  </si>
  <si>
    <t>515 E Joppa Rd #300, Towson, MD 21286</t>
  </si>
  <si>
    <t>(443) 960-8011</t>
  </si>
  <si>
    <t>Centre for Creative Values</t>
  </si>
  <si>
    <t>Monday: 8 AM to 11 PM; Tuesday: 8 AM to 11 PM; Wednesday: 8 AM to 11 PM; Thursday: 8 AM to 11 PM; Friday: 8 AM to 11 PM; Saturday: 8 AM to 11 PM; Sunday: 8 AM to 11 PM</t>
  </si>
  <si>
    <t>Centre for Creative Values provides mental health and therapy services with licensed therapists, offering counseling for individuals, couples, families, and groups.</t>
  </si>
  <si>
    <t>Review data shows four five-star reviews with consistently positive feedback praising warmth, friendliness, and compassionate staff. Review text highlights helpful, client-centered care and responsive ownership. However, the newest reviews are from 2024, so current performance beyond that data is unverified.</t>
  </si>
  <si>
    <t>accepted google identity: 14.2/15; review volume: 13.7/30; review consistency: 7.0/7; review freshness: 1.6/8; verified website: 0.0/15; confirmed irs record: 0.0/20; source corroboration: 1.7/5; Synthesis metadata: insufficient_evidence (not part of numeric confidence)</t>
  </si>
  <si>
    <t>5411 Old Frederick Rd Suite 8, 9 &amp; 10, Baltimore, MD 21229</t>
  </si>
  <si>
    <t>(443) 315-5007 ext. 1</t>
  </si>
  <si>
    <t>Created for Greater Health Systems</t>
  </si>
  <si>
    <t>Monday: 10 AM to 6 PM; Tuesday: 9 AM to 7 PM; Wednesday: 10 AM to 6 PM; Thursday: 9 AM to 7 PM; Friday: 10 AM to 6 PM; Saturday: Closed; Sunday: Closed</t>
  </si>
  <si>
    <t>Offers outpatient mental health therapy, a Psychiatric Rehabilitation Program, and a clinically managed low-intensity residential program, plus housing-related supports for substance use and mental health needs.</t>
  </si>
  <si>
    <t>https://youarecreatedforgreater.com/</t>
  </si>
  <si>
    <t>Review data show consistently positive feedback from clients, with themes of compassionate care, professional staff, and a welcoming environment. The newest reviews echo these strengths, indicating continued satisfaction across programs. Overall, the reviews suggest a stable, high-quality experience, with no clear negative trends in the near term.</t>
  </si>
  <si>
    <t>accepted google identity: 14.2/15; review volume: 30.0/30; review consistency: 7.0/7; review freshness: 5.6/8; verified website: 14.2/15; confirmed irs record: 0.0/20; source corroboration: 3.3/5; Synthesis metadata: high (not part of numeric confidence)</t>
  </si>
  <si>
    <t>1500 Union Ave #2100, Baltimore, MD 21211</t>
  </si>
  <si>
    <t>(410) 598-0234</t>
  </si>
  <si>
    <t>Pro Bono Counseling</t>
  </si>
  <si>
    <t>Call 410-598-0234 (ext. 104 for Spanish) for a confidential phone screening; after screening, you’ll be connected to a trained volunteer mental health professional or other resources; services are provided at no cost.</t>
  </si>
  <si>
    <t>Pro Bono Counseling connects Maryland residents with volunteer licensed mental health professionals who provide free therapy, and operates a WarmLine to support people dealing with anxiety, sadness, grief, or trauma. It maintains a large network of volunteers across Maryland to help match clients with suitable clinicians and resources.</t>
  </si>
  <si>
    <t>https://www.probonocounseling.org/</t>
  </si>
  <si>
    <t>Review data is too thin to draw conclusions about user experiences. The listing shows two public reviews, with the newest review dated 2024-09-27 and no visible text in the provided excerpt. While hours and a verified website are present, there isn’t enough review content to assess consistency.</t>
  </si>
  <si>
    <t>accepted google identity: 14.2/15; review volume: 7.3/30; review consistency: 7.0/7; review freshness: 2.1/8; verified website: 14.2/15; confirmed irs record: 20.0/20; source corroboration: 5.0/5; Synthesis metadata: high (not part of numeric confidence)</t>
  </si>
  <si>
    <t>5919 York Rd, Baltimore, MD 21212</t>
  </si>
  <si>
    <t>(410) 435-0322</t>
  </si>
  <si>
    <t>JAJ Home Healthcare Services Inc</t>
  </si>
  <si>
    <t>Baltimore-area health consultant service offering health-related consultation and support.</t>
  </si>
  <si>
    <t>There are 3 reviews totaling a 3.7 rating, but the actual review text is not provided here, so themes or recurring experiences cannot be identified. The evidence base is very limited, making it difficult to draw strong conclusions about the quality or consistency of service. A registry check shows no confirmed match for this organization, which adds uncertainty about identity in official records.</t>
  </si>
  <si>
    <t>accepted google identity: 14.2/15; review volume: 7.7/30; review consistency: 0.0/7; review freshness: 0.0/8; verified website: 0.0/15; confirmed irs record: 0.0/20; source corroboration: 1.7/5; Synthesis metadata: insufficient_evidence (not part of numeric confidence)</t>
  </si>
  <si>
    <t>1400 Federal St #2nd, Baltimore, MD 21213</t>
  </si>
  <si>
    <t>(443) 759-3355</t>
  </si>
  <si>
    <t>My Covenant Place is a private, community-based nonprofit in Baltimore that assists crime victims with advocacy, support, and comprehensive wrap-around services; the organization also works with partners to strengthen families and build safer communities.</t>
  </si>
  <si>
    <t>Review feedback was unavailable or too thin; there are no public reviews available for this listing. Because there is no review text, it is hard to gauge user experiences. The listing appears operational, with a verified website and a valid phone number.</t>
  </si>
  <si>
    <t>5438 York Rd Ste 101, Baltimore, MD 21212</t>
  </si>
  <si>
    <t>(410) 323-2300</t>
  </si>
  <si>
    <t>Mercy Behavioral Health Center</t>
  </si>
  <si>
    <t>Mercy Behavioral Health Center provides outpatient mental health services, including psychiatric rehabilitation, case management, and medication management for adults, youth, and families.</t>
  </si>
  <si>
    <t>http://mercybehavioralhealthcenter.com/</t>
  </si>
  <si>
    <t>Review data from a small pool of ratings show mixed experiences. Reviewers frequently mention positive interactions with staff, but note issues with pharmacy communication when refilling medications. The newest review (early 2025) reflects a positive experience despite the pharmacy coordination concern, while an older review is brief and lacks detail. Given the very limited sample and irregular posting, the review data provides only a cautious, incomplete picture of typical service quality.</t>
  </si>
  <si>
    <t>accepted google identity: 14.2/15; review volume: 11.3/30; review consistency: 5.2/7; review freshness: 2.6/8; verified website: 14.2/15; confirmed irs record: 0.0/20; source corroboration: 3.3/5; Synthesis metadata: low (not part of numeric confidence)</t>
  </si>
  <si>
    <t>60 Mellor Ave, Catonsville, MD 21228</t>
  </si>
  <si>
    <t>(410) 788-5483</t>
  </si>
  <si>
    <t>Lighthouse Inc</t>
  </si>
  <si>
    <t>Insurance accepted (including Medicaid); income-based sliding fee scale for self-pay clients; no one is turned away due to inability to pay.</t>
  </si>
  <si>
    <t>Lighthouse Youth and Family Services provides affordable, community-based mental health counseling for individuals, families, and couples across the lifespan. Services include counseling for mood disorders, trauma, behavior concerns, and parent/child relationships, delivered by licensed clinicians and graduate interns; the organization offers an income-based sliding fee scale and accepts Medicaid and major insurance plans to support access.</t>
  </si>
  <si>
    <t>https://lighthousemd.org/</t>
  </si>
  <si>
    <t>Review feedback is present but review text is not provided in the data, so we cannot summarize themes from comments. The listing is operational and the official site confirms counseling services and accessibility options, supporting trust in the organization's offerings. Because review text is unavailable in the provided data, reliability is based on site verification and basic listing data rather than consumer commentary.</t>
  </si>
  <si>
    <t>accepted google identity: 14.2/15; review volume: 8.9/30; review consistency: 0.0/7; review freshness: 0.0/8; verified website: 14.2/15; confirmed irs record: 0.0/20; source corroboration: 3.3/5; Synthesis metadata: high (not part of numeric confidence)</t>
  </si>
  <si>
    <t>6301 Harford Rd, Baltimore, MD 21214</t>
  </si>
  <si>
    <t>(410) 444-4500</t>
  </si>
  <si>
    <t>On Our Own Inc</t>
  </si>
  <si>
    <t>Mental health services provider serving the Baltimore area.</t>
  </si>
  <si>
    <t>Evidence about this organization is limited. Public review data are sparse (three total reviews) and lack accessible narrative feedback, making it difficult to identify consistent strengths or concerns. Because the available review data provide only a numeric rating and no textual detail, the reliability of the listing cannot be assessed beyond noting the small sample and limited feedback.</t>
  </si>
  <si>
    <t>1900 E Northern Pkwy Ste 301, Baltimore, MD 21239</t>
  </si>
  <si>
    <t>(410) 800-4484</t>
  </si>
  <si>
    <t>Treasure Health Systems, Inc</t>
  </si>
  <si>
    <t>Treasure Health Systems provides outpatient mental health services and related supports, including housing assistance, Assertive Community Treatment (ACT), employment services, and psychiatric rehabilitation, for adults, adolescents, and children.</t>
  </si>
  <si>
    <t>https://www.mythsmd.org/</t>
  </si>
  <si>
    <t>Review data is sparse: there is a single positive review describing the staff as respectful and compassionate, with no recent feedback available. This makes it hard to gauge current performance trends. The website and map listing corroborate the presence of housing-related services, but the lack of recent reviews limits reliability beyond the documented facts.</t>
  </si>
  <si>
    <t>accepted google identity: 14.2/15; review volume: 5.0/30; review consistency: 7.0/7; review freshness: 2.2/8; verified website: 14.2/15; confirmed irs record: 0.0/20; source corroboration: 3.3/5; Synthesis metadata: high (not part of numeric confidence)</t>
  </si>
  <si>
    <t>8508 Loch Raven Blvd Ste e, Towson, MD 21286</t>
  </si>
  <si>
    <t>(443) 985-4976</t>
  </si>
  <si>
    <t>Jay Care Mental Health Center</t>
  </si>
  <si>
    <t>Appointments recommended; wheelchair accessible entrance; wheelchair accessible parking; gender-neutral restroom.</t>
  </si>
  <si>
    <t>Jay Care Mental Health Center is a Towson, MD mental health clinic offering in-person therapy and psychiatric care, with options for telehealth as well as in-community services.</t>
  </si>
  <si>
    <t>https://jaycarementalhealthcenters.com//</t>
  </si>
  <si>
    <t>Review data show two highly positive reviews describing staff as compassionate and supportive, with clients appreciating practical guidance and personalized care. The newest feedback highlights a strong, caring rapport with the provider and favorable outcomes, while the earlier review echoes similar themes. With only a small number of reviews in the sample, the overall impression is positive but limited in scope.</t>
  </si>
  <si>
    <t>accepted google identity: 14.2/15; review volume: 8.5/30; review consistency: 7.0/7; review freshness: 5.1/8; verified website: 14.2/15; confirmed irs record: 0.0/20; source corroboration: 3.3/5; Synthesis metadata: high (not part of numeric confidence)</t>
  </si>
  <si>
    <t>720 Maiden Choice Ln # C, Catonsville, MD 21228</t>
  </si>
  <si>
    <t>(443) 334-5732</t>
  </si>
  <si>
    <t>Harvest Of Hope Wellness</t>
  </si>
  <si>
    <t>Intake via form or phone. Admissions coordinators assist with placement and program selection; emergency resources available (call 911). For intake, contact 443-334-5732 or use the website intake form.</t>
  </si>
  <si>
    <t>Monday: 9 AM to 8 PM; Tuesday: 9 AM to 8 PM; Wednesday: 9 AM to 8 PM; Thursday: 9 AM to 8 PM; Friday: 9 AM to 4 PM; Saturday: 8 AM to 12 PM; Sunday: Closed</t>
  </si>
  <si>
    <t>Harvest of Hope Behavioral Health provides integrated behavioral health and addiction treatment, including outpatient levels of care (IOP, OP, PHP, PRP-M/PRP-A), plus individual and group counseling, family therapy, medication management, relapse prevention, life skills and job-readiness training, transportation, and supportive housing.</t>
  </si>
  <si>
    <t>http://www.harvestofhopebh.com/</t>
  </si>
  <si>
    <t>Review feedback was unavailable. The available materials describe the organization’s services, hours, and intake process, but there is no user-review content to summarize experiences or satisfaction.</t>
  </si>
  <si>
    <t>1900 E Northern Pkwy Ste T7, Baltimore, MD 21239</t>
  </si>
  <si>
    <t>(443) 449-7573</t>
  </si>
  <si>
    <t>Tru-Integrity Wellness and Counseling Center, LLC</t>
  </si>
  <si>
    <t>Appointments can be scheduled via the website's schedule-an-appointment page or by phone; telehealth options are available; wheelchair-accessible parking noted.</t>
  </si>
  <si>
    <t>Outpatient behavioral health center offering comprehensive mental health care, including telehealth options, mental health screenings, comprehensive psychiatric assessments, addiction-related supports, and family counseling.</t>
  </si>
  <si>
    <t>http://truintegritycounseling.com/</t>
  </si>
  <si>
    <t>Review data is too thin to extract meaningful themes: there are several reviews with a low average rating, but no usable review text is available to summarize recurring positives or concerns. The small sample size limits confidence in the reliability signal.</t>
  </si>
  <si>
    <t>accepted google identity: 13.4/15; review volume: 10.8/30; review consistency: 0.0/7; review freshness: 0.0/8; verified website: 13.4/15; confirmed irs record: 0.0/20; source corroboration: 3.3/5; Synthesis metadata: low (not part of numeric confidence)</t>
  </si>
  <si>
    <t>2601 N Howard St Ste 130, Baltimore, MD 21218</t>
  </si>
  <si>
    <t>(410) 435-2600</t>
  </si>
  <si>
    <t>NAMI Metropolitan Baltimore</t>
  </si>
  <si>
    <t>NAMI Metropolitan Baltimore provides free mental health support, peer-led groups, education programs, and advocacy to help people living with mental illness and their families build healthier, more connected lives.</t>
  </si>
  <si>
    <t>http://www.namibaltimore.org/</t>
  </si>
  <si>
    <t>Review data describe NAMI Baltimore as a welcoming space where people feel supported and less alone, with staff described as friendly. Public feedback includes multiple high-star reviews and at least one 3-star comment highlighting the positive sense of community; overall sentiment appears favorable. The newest reviews are older, so current experiences may not be captured in the latest feedback.</t>
  </si>
  <si>
    <t>accepted google identity: 14.2/15; review volume: 15.1/30; review consistency: 3.7/7; review freshness: 2.6/8; verified website: 14.2/15; confirmed irs record: 20.0/20; source corroboration: 5.0/5; Synthesis metadata: high (not part of numeric confidence)</t>
  </si>
  <si>
    <t>1721 Pennsylvania Ave, Baltimore, MD 21217</t>
  </si>
  <si>
    <t>(410) 685-2830</t>
  </si>
  <si>
    <t>Beacon of Hope</t>
  </si>
  <si>
    <t>Monday: 5 AM to 5 PM; Tuesday: 5 AM to 5 PM; Wednesday: 5 AM to 5 PM; Thursday: 5 AM to 5 PM; Friday: 5 AM to 5 PM; Saturday: Closed; Sunday: Closed</t>
  </si>
  <si>
    <t>Beacon of Hope Wellness Center is an outpatient behavioral health clinic in Baltimore offering outpatient mental health care, substance use treatment, and psychiatric rehabilitation, along with housing support, telemedicine, crisis services, and related programs.</t>
  </si>
  <si>
    <t>https://beaconofhopemd.org/</t>
  </si>
  <si>
    <t>Review data show a mixed experience among clients. Some reviews praise the breadth of services and staff, while others report poor communication and unprofessional behavior; latest feedback leans negative, indicating ongoing concerns about responsiveness. Overall, the review data suggests experiences may vary by program or staff.</t>
  </si>
  <si>
    <t>accepted google identity: 14.2/15; review volume: 18.7/30; review consistency: 1.4/7; review freshness: 7.2/8; verified website: 14.2/15; confirmed irs record: 0.0/20; source corroboration: 3.3/5; Synthesis metadata: medium (not part of numeric confidence)</t>
  </si>
  <si>
    <t>9256 Bendix Rd Suite 200B, Columbia, MD 21045</t>
  </si>
  <si>
    <t>(443) 542-0773</t>
  </si>
  <si>
    <t>Innovative Psychiatry, LLC - Columbia</t>
  </si>
  <si>
    <t>Monday: Closed; Tuesday: 8 AM to 5 PM; Wednesday: 8 AM to 5 PM; Thursday: 8 AM to 5 PM; Friday: 8 AM to 12 PM; Saturday: Closed; Sunday: Closed</t>
  </si>
  <si>
    <t>Innovative Psychiatry, LLC is a Columbia, MD psychiatry practice serving adults and adolescents, offering evaluation and testing, medication management, psychotherapy, and advanced treatments such as transcranial magnetic stimulation (TMS). The practice also provides pharmacogenomic testing (GeneSight) and cognitive testing (TOVA) to tailor care.</t>
  </si>
  <si>
    <t>https://www.columbiapsychmd.com/</t>
  </si>
  <si>
    <t>Review data indicate predominantly positive experiences, with patients noting helpful, compassionate staff and effective care. The newest reviews reinforce these themes, highlighting smooth intake, attentive clinicians, and responsive communication. Overall, the feedback remains favorable with no clear negative trends in the latest entries.</t>
  </si>
  <si>
    <t>accepted google identity: 13.4/15; review volume: 30.0/30; review consistency: 4.2/7; review freshness: 8.0/8; verified website: 13.4/15; confirmed irs record: 0.0/20; source corroboration: 3.3/5; Synthesis metadata: high (not part of numeric confidence)</t>
  </si>
  <si>
    <t>105 E 25th St, Baltimore, MD 21218</t>
  </si>
  <si>
    <t>(800) 398-9574</t>
  </si>
  <si>
    <t>Empowering Minds Resource Center is a Maryland-based mental health agency offering direct mental health services, substance-use treatment, and community supports for adults, children, and families. The organization emphasizes recovery- and person-centered care and holds CARF accreditation.</t>
  </si>
  <si>
    <t>http://emrcgroup.org/home/about-us/</t>
  </si>
  <si>
    <t>Review data show a mix of positive and negative experiences. Some clients praise counseling services and care coordination, while others report scheduling challenges, short notice for appointments, and billing concerns. The newest reviews appear about 56 days since the latest posts and include some praise as well as ongoing concerns, indicating no single clear pattern in recent feedback.</t>
  </si>
  <si>
    <t>accepted google identity: 13.3/15; review volume: 14.7/30; review consistency: 0.9/7; review freshness: 7.2/8; verified website: 13.3/15; confirmed irs record: 0.0/20; source corroboration: 3.3/5; Synthesis metadata: medium (not part of numeric confidence)</t>
  </si>
  <si>
    <t>107 E 25th St, Baltimore, MD 21218</t>
  </si>
  <si>
    <t>(410) 558-0019</t>
  </si>
  <si>
    <t>All Walks of Life LLC</t>
  </si>
  <si>
    <t>Intake available via intake@allwalksoflife.org or by phone; hours listed as 9:00 AM–5:00 PM on the website; main office in Baltimore with a DC location; appointments recommended.</t>
  </si>
  <si>
    <t>Monday: 9 AM to 8 PM; Tuesday: 9 AM to 6 PM; Wednesday: 9 AM to 6 PM; Thursday: 9 AM to 6 PM; Friday: 9 AM to 6 PM; Saturday: 9 AM to 3 PM; Sunday: Closed</t>
  </si>
  <si>
    <t>All Walks of Life LLC provides in-person behavioral health services, including individual and group therapy, outpatient mental health programs, and psychiatric rehabilitation, with offices in Baltimore and Washington, DC. The organization presents as a behavioral health center offering a range of services described on its site, including therapy, health home coordination, and outpatient clinic programs for adults and youth.</t>
  </si>
  <si>
    <t>http://allwalksoflife.org/</t>
  </si>
  <si>
    <t>Review data shows several negative experiences in the available sample, with reviewers describing poor listening by clinicians, lack of a clear treatment plan, and intake/communication issues. The most recent feedback in the sample is from 2026 and remains unfavorable, suggesting consistency in concerns across time. Overall, the accessible review text points to ongoing dissatisfaction rather than positive, enduring experiences.</t>
  </si>
  <si>
    <t>accepted google identity: 14.2/15; review volume: 20.4/30; review consistency: 7.0/7; review freshness: 5.1/8; verified website: 14.2/15; confirmed irs record: 0.0/20; source corroboration: 3.3/5; Synthesis metadata: low (not part of numeric confidence)</t>
  </si>
  <si>
    <t>116 W 21st St, Baltimore, MD 21218</t>
  </si>
  <si>
    <t>(443) 934-9424</t>
  </si>
  <si>
    <t>Agile Healthcare LLC</t>
  </si>
  <si>
    <t>Agile Healthcare LLC provides in-person mental health and related behavioral health services.</t>
  </si>
  <si>
    <t>https://agilemhc.com/contact/</t>
  </si>
  <si>
    <t>Review data shows generally positive experiences, with reviewers frequently noting friendly staff and helpful support. One older review yielded a negative rating, but newer feedback remains positive, including a 5-star recent review, suggesting satisfaction has persisted over time. Overall, the available review data describes constructive interactions and meaningful help, though the small sample size limits broader conclusions.</t>
  </si>
  <si>
    <t>accepted google identity: 14.2/15; review volume: 15.9/30; review consistency: 1.4/7; review freshness: 7.6/8; verified website: 14.2/15; confirmed irs record: 0.0/20; source corroboration: 3.3/5; Synthesis metadata: medium (not part of numeric confidence)</t>
  </si>
  <si>
    <t>402 E 25th St, Baltimore, MD 21218</t>
  </si>
  <si>
    <t>(410) 889-3000</t>
  </si>
  <si>
    <t>Greater Baltimore Behavioral Health Services</t>
  </si>
  <si>
    <t>In-person mental health clinic offering behavioral health services.</t>
  </si>
  <si>
    <t>Review data show mixed experiences: some clients praise staff warmth and the supportive environment, while others report issues with medication management and clinician listening. The newest review among the available sample is more than a year old, and overall the data indicate mixed sentiment with no clear ongoing trend.</t>
  </si>
  <si>
    <t>accepted google identity: 14.2/15; review volume: 10.1/30; review consistency: 0.0/7; review freshness: 4.4/8; verified website: 0.0/15; confirmed irs record: 0.0/20; source corroboration: 1.7/5; Synthesis metadata: insufficient_evidence (not part of numeric confidence)</t>
  </si>
  <si>
    <t>1800 N Charles St, Baltimore, MD 21201</t>
  </si>
  <si>
    <t>(410) 625-5088</t>
  </si>
  <si>
    <t>Referrals from Baltimore City Department of Social Services are available; appointments are recommended; intake/referral forms may be required; on-site services support accessibility, including American Sign Language (ASL) and wheelchair-accessible entrances, parking, restrooms, and seating.</t>
  </si>
  <si>
    <t>Empowering Minds Resource Center provides mental health services for children, families, and adults, including diagnostic evaluation, therapy (individual and group), medication management, substance-use assessment, psychiatric rehabilitation programs for youth and adults, and comprehensive case management delivered through home, community-based, and on-site services.</t>
  </si>
  <si>
    <t>Review data show mostly positive feedback, with reviewers praising caring, attentive staff and helpful access to mental health resources for individuals, families, and communities. A single older review notes communication concerns, but the latest feedback remains favorable, indicating ongoing responsiveness and solid client experiences. Overall, the review data depict a client-centered environment with consistent positive sentiment echoed by recent reviewers.</t>
  </si>
  <si>
    <t>accepted google identity: 14.2/15; review volume: 25.0/30; review consistency: 1.8/7; review freshness: 7.8/8; verified website: 14.2/15; confirmed irs record: 0.0/20; source corroboration: 3.3/5; Synthesis metadata: high (not part of numeric confidence)</t>
  </si>
  <si>
    <t>1110/1120 N Charles St Ste 120, Baltimore, MD 21201</t>
  </si>
  <si>
    <t>(443) 682-9102</t>
  </si>
  <si>
    <t>Remac Behavioral Health Solutions LLC</t>
  </si>
  <si>
    <t>Appointments are recommended; referrals may be submitted via the website; intake appears to involve scheduling an appointment online or by phone.</t>
  </si>
  <si>
    <t>Remac Behavioral Health Solutions, LLC provides behavioral health services, including psychiatric day treatment programs and related mental health support.</t>
  </si>
  <si>
    <t>https://www.remacbhs.com/</t>
  </si>
  <si>
    <t>Review data show mixed experiences. Some reviewers describe compassionate, attentive staff and effective therapy, while others report difficulty reaching the facility, missed or rescheduled appointments, and links for telehealth not being sent. The newest review is negative, suggesting ongoing access and communication issues, which aligns with earlier concerns and indicates a concerning pattern for the service's accessibility.</t>
  </si>
  <si>
    <t>accepted google identity: 14.2/15; review volume: 11.3/30; review consistency: 0.4/7; review freshness: 5.3/8; verified website: 14.2/15; confirmed irs record: 0.0/20; source corroboration: 3.3/5; Synthesis metadata: medium (not part of numeric confidence)</t>
  </si>
  <si>
    <t>2127 W Pratt St, Baltimore, MD 21223</t>
  </si>
  <si>
    <t>(410) 878-0655</t>
  </si>
  <si>
    <t>Redeem Health Care Medical Systems</t>
  </si>
  <si>
    <t>Sliding Fee Assistance Program: eligibility based on household income and size; required documents include pay stubs, tax returns (or 1099), Social Security/SSI/SSDI letters, pension or retirement statements, bank statements, and other income verification. All patients are welcome; no one will be denied medical care due to inability to pay.</t>
  </si>
  <si>
    <t>Monday: 5:30 AM to 1 PM; Tuesday: 5:30 AM to 1 PM; Wednesday: 5:30 AM to 1 PM; Thursday: 5:30 AM to 1 PM; Friday: 5:30 AM to 1 PM; Saturday: 8 AM to 12 PM; Sunday: Closed</t>
  </si>
  <si>
    <t>Redeem Health Care Medical Systems provides psychiatric rehabilitation and behavioral health services in Baltimore, including group/family therapy and individual counseling for adults and seniors (ages 18–100) with a focus on substance use and mental health care.</t>
  </si>
  <si>
    <t>https://www.redeemhealthcaremedical.com/</t>
  </si>
  <si>
    <t>Review data show generally positive feedback with four Google Maps reviews and a high rating. The newest reviews are within the last month and include praise such as “Best clinic I’ve ever been to,” though some reviews contain little text. Overall, the sentiment aligns with the strong rating provided by the listing.</t>
  </si>
  <si>
    <t>accepted google identity: 14.2/15; review volume: 13.7/30; review consistency: 5.5/7; review freshness: 7.6/8; verified website: 14.2/15; confirmed irs record: 0.0/20; source corroboration: 3.3/5; Synthesis metadata: high (not part of numeric confidence)</t>
  </si>
  <si>
    <t>512 Orchard St, Baltimore, MD 21201</t>
  </si>
  <si>
    <t>(410) 523-8150</t>
  </si>
  <si>
    <t>Greater Baltimore Leadership Association</t>
  </si>
  <si>
    <t>Community-focused organization in Baltimore providing general social support services.</t>
  </si>
  <si>
    <t>Review data are limited: two public reviews exist with high ratings, but there is no detailed review text available to extract recurring themes. Registry confirms active status and current IRS filing, which supports ongoing operations. Hours and address appear corroborated by the Google Maps listing.</t>
  </si>
  <si>
    <t>accepted google identity: 14.2/15; review volume: 6.1/30; review consistency: 0.0/7; review freshness: 0.0/8; verified website: 0.0/15; confirmed irs record: 20.0/20; source corroboration: 3.3/5; Synthesis metadata: high (not part of numeric confidence)</t>
  </si>
  <si>
    <t>10 W Eager St, Baltimore, MD 21201</t>
  </si>
  <si>
    <t>(410) 650-9980</t>
  </si>
  <si>
    <t>CareHire llc</t>
  </si>
  <si>
    <t>Monday: Open 24 hours; Tuesday: Open 24 hours; Wednesday: Open 24 hours; Thursday: Open 24 hours; Friday: 9 AM to 4:59 PM; Saturday: Closed; Sunday: Closed</t>
  </si>
  <si>
    <t>CareHire LLC is a physical-location organization based at 10 W Eager St, Baltimore, MD 21201. Public listing identifies it as an association/organization, and review text references addiction-treatment options (PHP/IOP), suggesting involvement in behavioral health/substance-use services.</t>
  </si>
  <si>
    <t>Review data describe staff as supportive and notes addiction-treatment options (PHP/IOP) in the context of CareHire LLC. The newest review highlights staff backing the client through difficult times, while an earlier review praises it as a solid place for addiction help. Overall, the available reviews point to a favorable impression, though the sample is small.</t>
  </si>
  <si>
    <t>accepted google identity: 14.2/15; review volume: 8.5/30; review consistency: 5.2/7; review freshness: 3.5/8; verified website: 0.0/15; confirmed irs record: 0.0/20; source corroboration: 1.7/5; Synthesis metadata: insufficient_evidence (not part of numeric confidence)</t>
  </si>
  <si>
    <t>10 W Madison St STE 11, Baltimore, MD 21201</t>
  </si>
  <si>
    <t>(443) 438-7863</t>
  </si>
  <si>
    <t>Complete Wellness</t>
  </si>
  <si>
    <t>Appointments are scheduled by phone or online form; insurance preauthorization may be needed; two locations available; telemedicine offered.</t>
  </si>
  <si>
    <t>Complete Wellness is a Baltimore-based mental health clinic offering psychiatric medication management, counseling and psychotherapy, trauma-focused care, and related behavioral health services. The practice provides in-person care at two Baltimore locations and telemedicine, and runs an intensive outpatient program as part of its addiction and mental health services.</t>
  </si>
  <si>
    <t>http://www.completew.com/</t>
  </si>
  <si>
    <t>Review data show mixed experiences. Some reviewers praise clinicians and supportive staff, while the most recent feedback highlights safety and administrative concerns in the program. Overall, the text indicates both positive therapy experiences and negative concerns about management, with the latest reviews continuing to show polarized opinions.</t>
  </si>
  <si>
    <t>accepted google identity: 14.2/15; review volume: 30.0/30; review consistency: 0.4/7; review freshness: 5.8/8; verified website: 14.2/15; confirmed irs record: 20.0/20; source corroboration: 5.0/5; Synthesis metadata: high (not part of numeric confidence)</t>
  </si>
  <si>
    <t>2314 East Joppa Road, Baltimore, MD 21205</t>
  </si>
  <si>
    <t>(410) 216-0241</t>
  </si>
  <si>
    <t>Command Health and Wellness</t>
  </si>
  <si>
    <t>Referral by a licensed mental health professional is required; clients are diagnosed with a mental health condition. Services are paid for by health insurance through Managed Care Organization (MCO) and Medicaid.</t>
  </si>
  <si>
    <t>Command Health and Wellness offers psychiatric rehabilitation and related behavioral health supports through a community-based program. The organization provides on-site and off-site programming with interventions such as anger management, coping skills, life skills, social skills development, crisis intervention, case management, and workforce development, all aimed at supporting recovery and community integration for youth and families.</t>
  </si>
  <si>
    <t>https://www.commandhealthprp.com/contact-us</t>
  </si>
  <si>
    <t>There are no public Google Maps reviews available for this listing, and no review text to assess experiences. The listing is marked operational and the official website is reachable, which supports basic program information. However, there is a noticeable address discrepancy between Parkville, MD and the Baltimore listing, and the absence of user reviews limits confidence in experiential reliability.</t>
  </si>
  <si>
    <t>5457 Twin Knolls Rd, Columbia, MD 21045</t>
  </si>
  <si>
    <t>(240) 363-4181</t>
  </si>
  <si>
    <t>Sanare Counseling Group</t>
  </si>
  <si>
    <t>Intake team responds within one business day after outreach. Services are online across Maryland with age-appropriate care for adults, teens, children, couples, and families. Appointments are typically required, and the practice is in-network with many major insurers; benefits are confirmed in writing before booking.</t>
  </si>
  <si>
    <t>Monday: 7 AM to 9 PM; Tuesday: 7 AM to 9 PM; Wednesday: 7 AM to 9 PM; Thursday: 7 AM to 9 PM; Friday: 7 AM to 9 PM; Saturday: 7 AM to 9 PM; Sunday: 7 AM to 9 PM</t>
  </si>
  <si>
    <t>Sanare Counseling Group offers teletherapy and psychiatry across Maryland, matching clients with therapists for individual, teen, couples, and family therapy, with in-house medication management and psychiatric evaluations.</t>
  </si>
  <si>
    <t>https://www.sanarecounselinggroup.com/</t>
  </si>
  <si>
    <t>Google Maps reviews for Sanare Counseling Group are highly positive, with reviewers describing compassionate, attentive clinicians, a safe and supportive space, and practical tools. The feedback consistently notes easy scheduling and meaningful improvements from therapy, and newest reviews reflect the same favorable tone, though they are several months old. Overall, review data suggest a strong, stable pattern of positive experiences.</t>
  </si>
  <si>
    <t>accepted google identity: 14.2/15; review volume: 21.7/30; review consistency: 7.0/7; review freshness: 5.2/8; verified website: 14.2/15; confirmed irs record: 0.0/20; source corroboration: 3.3/5; Synthesis metadata: high (not part of numeric confidence)</t>
  </si>
  <si>
    <t>4536 Harford Rd, Baltimore, MD 21214</t>
  </si>
  <si>
    <t>(410) 426-1525</t>
  </si>
  <si>
    <t>Harford Belair Community Mental</t>
  </si>
  <si>
    <t>Referrals welcomed; accepts Maryland Medicaid, Medicare, and uninsured eligible; referrals are screened by qualified professionals to match resources.</t>
  </si>
  <si>
    <t>Harford Belair Community Mental Health Center provides a range of mental health services, including outpatient adult, child/adolescent, and older adult programs, as well as off-site psychiatric rehabilitation, Haven and residential rehabilitation programs, and Assertive Community Treatment / related behavioral health services.</t>
  </si>
  <si>
    <t>https://www.harfordbelair.org/</t>
  </si>
  <si>
    <t>Review feedback was unavailable or too thin. There are no public reviews available for this listing, so no themes or trends from reviews can be described.</t>
  </si>
  <si>
    <t>accepted google identity: 14.2/15; review volume: 0.0/30; review consistency: 0.0/7; review freshness: 0.0/8; verified website: 14.2/15; confirmed irs record: 20.0/20; source corroboration: 5.0/5; Synthesis metadata: insufficient_evidence (not part of numeric confidence)</t>
  </si>
  <si>
    <t>4317 Harford Rd, Baltimore, MD 21214</t>
  </si>
  <si>
    <t>(410) 275-0994</t>
  </si>
  <si>
    <t>Helping Others Manage Emotions Therapeutic Services</t>
  </si>
  <si>
    <t>Referrals and intake inquiries via referrals@hometherapeuticservices.com; appointments recommended.</t>
  </si>
  <si>
    <t>Outpatient mental health clinic offering therapy for adults, children, and families, including psychiatric evaluation and diagnosis, medication management, and substance-use treatment; services include individual, family, couples, and group therapy, as well as psychiatric rehabilitation to support recovery and emotional well-being.</t>
  </si>
  <si>
    <t>http://hometherapeuticservices.com/</t>
  </si>
  <si>
    <t>Review data show two public reviews, both five stars; the newer review highlights strong positive effects from therapy, with praise for the therapist and staff, while the older review is brief and positive. The recurring theme is positive experiences with therapy and staff, though the sample size is small and not recent enough to establish a trend. Overall, the available review data point to favorable experiences.</t>
  </si>
  <si>
    <t>accepted google identity: 14.2/15; review volume: 8.5/30; review consistency: 7.0/7; review freshness: 6.5/8; verified website: 14.2/15; confirmed irs record: 0.0/20; source corroboration: 3.3/5; Synthesis metadata: high (not part of numeric confidence)</t>
  </si>
  <si>
    <t>5718 Harford Rd #103, Baltimore, MD 21214</t>
  </si>
  <si>
    <t>(410) 254-4343</t>
  </si>
  <si>
    <t>New Vision Behavioral Health</t>
  </si>
  <si>
    <t>Appointments recommended; wheelchair accessible parking lot and restroom; restrooms available.</t>
  </si>
  <si>
    <t>New Vision Behavioral Health Services is an outpatient mental health clinic offering mental health services and a Psychiatric Rehabilitation Program (PRP) for individuals and families in Baltimore City and surrounding areas.</t>
  </si>
  <si>
    <t>https://newvisionbehavioral.org/</t>
  </si>
  <si>
    <t>Review data show concerns about professionalism and care quality. The newest publicly available review (from 2025) describes unempathetic staff and missed appointments, and an older 2023 review cites similar professionalism and licensure concerns. Taken together, the available reviews point to ongoing dissatisfaction rather than positive, consistent praise.</t>
  </si>
  <si>
    <t>accepted google identity: 14.2/15; review volume: 13.2/30; review consistency: 7.0/7; review freshness: 3.3/8; verified website: 14.2/15; confirmed irs record: 0.0/20; source corroboration: 3.3/5; Synthesis metadata: low (not part of numeric confidence)</t>
  </si>
  <si>
    <t>1005 Greenmount Ave, Baltimore, MD 21202</t>
  </si>
  <si>
    <t>(410) 646-8396</t>
  </si>
  <si>
    <t>Bowlem Healthcare Services</t>
  </si>
  <si>
    <t>A home health care service provider in Baltimore, MD, offering in-home health care support.</t>
  </si>
  <si>
    <t>Review feedback was unavailable for Bowlem Healthcare Services. There are no Google Maps reviews in the record, so trends or concerns cannot be assessed. The listing is operational, but there is no review data available to corroborate experiences.</t>
  </si>
  <si>
    <t>accepted google identity: 13.4/15; review volume: 0.0/30; review consistency: 0.0/7; review freshness: 0.0/8; verified website: 0.0/15; confirmed irs record: 0.0/20; source corroboration: 1.7/5; Synthesis metadata: insufficient_evidence (not part of numeric confidence)</t>
  </si>
  <si>
    <t>1119 St Paul St, Baltimore, MD 21202</t>
  </si>
  <si>
    <t>(410) 837-2258</t>
  </si>
  <si>
    <t>Native American LifeLines, Inc</t>
  </si>
  <si>
    <t>Eligibility for dental services follows Indian Health Service Urban Eligibility Guidelines. Counseling is available in person or via telehealth; telecounseling is available for those not local to the offices. To request an appointment, call Baltimore office at (410) 837-2258 ext.106 or Boston office at (857) 273-2068 ext.203. Baltimore address: 1119 St. Paul Street, Baltimore, MD 21202; Boston address: 250 Dorchester Ave., Boston, MA 02127.</t>
  </si>
  <si>
    <t>Monday: 9 AM to 12 PM, 1 to 5 PM; Tuesday: 9 AM to 12 PM, 1 to 5 PM; Wednesday: 9 AM to 5 PM; Thursday: 9 AM to 12 PM, 1 to 5 PM; Friday: 9 AM to 12 PM, 1 to 5 PM; Saturday: Closed; Sunday: Closed</t>
  </si>
  <si>
    <t>Native American LifeLines provides urban Indian health services in Baltimore and Boston, including counseling (individual and group) with telehealth options, case management to help access benefits, and dental care, with services offered in person or via telehealth.</t>
  </si>
  <si>
    <t>https://nativeamericanlifelines.org/</t>
  </si>
  <si>
    <t>Review data show consistently positive feedback about staff and services, with recent and older reviews highlighting helpful, culturally attentive care. The newest review (2026) notes staff going above and beyond, while an earlier review (2024) references excellent care and support for Native communities. Overall, the sample indicates stable, favorable experiences that align with the high listing rating.</t>
  </si>
  <si>
    <t>accepted google identity: 14.2/15; review volume: 16.6/30; review consistency: 7.0/7; review freshness: 6.2/8; verified website: 14.2/15; confirmed irs record: 20.0/20; source corroboration: 5.0/5; Synthesis metadata: high (not part of numeric confidence)</t>
  </si>
  <si>
    <t>17 E Franklin St, Baltimore, MD 21202</t>
  </si>
  <si>
    <t>(410) 600-3500</t>
  </si>
  <si>
    <t>American Psychiatric Group</t>
  </si>
  <si>
    <t>Clinician‑run mental health practice offering holistic care to support wellness and daily functioning.</t>
  </si>
  <si>
    <t>Review data indicate ongoing patient concerns about scheduling, communication, and billing. Several recent 1‑star experiences describe long wait times, unprofessional staff, and billing or paperwork issues, with one newer review echoing dissatisfaction. There is one sparse positive entry, but the recent trend appears negative overall.</t>
  </si>
  <si>
    <t>accepted google identity: 14.2/15; review volume: 17.5/30; review consistency: 0.9/7; review freshness: 7.7/8; verified website: 0.0/15; confirmed irs record: 0.0/20; source corroboration: 1.7/5; Synthesis metadata: medium (not part of numeric confidence)</t>
  </si>
  <si>
    <t>1634 Sulphur Spring Rd, Halethorpe, MD 21227</t>
  </si>
  <si>
    <t>(410) 242-0920</t>
  </si>
  <si>
    <t>Aspen Day Treatment</t>
  </si>
  <si>
    <t>Eligibility: Maryland residents; Medical Assistance accepted (and some Medicare). Intake/appointments: Clinic appointments available; call for scheduling. Access: In-person or telehealth visits; staff can arrange care as needed. Contacts: 410-242-0920; 410-242-0924.</t>
  </si>
  <si>
    <t>Monday: 9 AM to 5 AM; Tuesday: 9 AM to 5 AM; Wednesday: 9 AM to 5 AM; Thursday: 9 AM to 5:45 PM; Friday: 9 AM to 5:45 PM; Saturday: Closed; Sunday: Closed</t>
  </si>
  <si>
    <t>Aspen Day Treatment provides outpatient mental health services in Maryland, offering in-person and telehealth care through a multidisciplinary team that includes psychiatrists and psychotherapists. The program emphasizes individualized treatment plans and ongoing psychiatry and psychotherapy visits, and it is Joint Commission certified with coverage for Medical Assistance (and some Medicare).</t>
  </si>
  <si>
    <t>https://www.aspendaytreatment.com/</t>
  </si>
  <si>
    <t>Review data show high satisfaction with Aspen Day Treatment, with recurring themes praising compassionate staff, accessibility, and effective care. Several recent reviews highlight the team’s empathy and flexible scheduling, while a minority note concerns about experiences with a specific provider; overall, the newest reviews continue to trend positively.</t>
  </si>
  <si>
    <t>accepted google identity: 14.2/15; review volume: 30.0/30; review consistency: 4.3/7; review freshness: 7.6/8; verified website: 14.2/15; confirmed irs record: 0.0/20; source corroboration: 3.3/5; Synthesis metadata: high (not part of numeric confidence)</t>
  </si>
  <si>
    <t>11 E Lexington St #100, Baltimore, MD 21202</t>
  </si>
  <si>
    <t>(667) 260-2933</t>
  </si>
  <si>
    <t>Mighty Behavioral Health Services</t>
  </si>
  <si>
    <t>Appointments recommended; accepts Medicaid, Medicare, and commercial insurances; referrals accepted.</t>
  </si>
  <si>
    <t>Mighty Behavioral Health Services operates a downtown Baltimore clinic offering a broad range of behavioral health care, including psychiatric evaluations, medication management, therapy, and medication-assisted treatment (MAT), with options for tele-psychiatry and varied therapy formats.</t>
  </si>
  <si>
    <t>http://www.mightybehavioral.net/</t>
  </si>
  <si>
    <t>Google Maps review data show a mix of highly positive feedback about staff and care, alongside some negative experiences focused on administrative issues and record handling. The newest reviews are from 2025, and the overall voice is largely favorable but with recurring concerns raised by a subset of reviewers. Review data here reflect user experiences across the period captured, with themes of compassion and professionalism balanced by reports of perceived administrative shortcomings.</t>
  </si>
  <si>
    <t>accepted google identity: 14.2/15; review volume: 25.3/30; review consistency: 0.9/7; review freshness: 4.2/8; verified website: 14.2/15; confirmed irs record: 0.0/20; source corroboration: 3.3/5; Synthesis metadata: medium (not part of numeric confidence)</t>
  </si>
  <si>
    <t>1 N Charles St, Baltimore, MD 21201</t>
  </si>
  <si>
    <t>(410) 254-6175</t>
  </si>
  <si>
    <t>The Regeneration Project</t>
  </si>
  <si>
    <t>Eligibility and access: Children ages 5–17 who are actively participating in mental health treatment and are referred by a licensed mental health professional are eligible for PRP services. Additional eligibility criteria include being a Medical Assistance recipient or meeting Maryland’s Uninsured Span requirements.</t>
  </si>
  <si>
    <t>The Regeneration Project provides mental health services for youth and families, including a Psychiatric Rehabilitation Program (PRP) for children and adolescents, on‑call crisis intervention available 24/7, and vocational services to support employment.</t>
  </si>
  <si>
    <t>https://www.regeneration-project.net/contact/</t>
  </si>
  <si>
    <t>Review data is sparse and not highly informative. Google Maps shows three total reviews with an overall low average rating and minimal textual feedback; the sole textual comment in the sample references food rather than services, which may not reflect the mental health offerings. The newest review text is unavailable, so there are no clear recurring themes to report. Overall, the available review data does not provide a reliable signal about current service quality.</t>
  </si>
  <si>
    <t>accepted google identity: 14.2/15; review volume: 11.3/30; review consistency: 0.4/7; review freshness: 6.9/8; verified website: 14.2/15; confirmed irs record: 0.0/20; source corroboration: 3.3/5; Synthesis metadata: insufficient_evidence (not part of numeric confidence)</t>
  </si>
  <si>
    <t>1600, 1604 Bush St, Baltimore, MD 21230</t>
  </si>
  <si>
    <t>(410) 304-6670</t>
  </si>
  <si>
    <t>Choices Integrated Healthcare INC</t>
  </si>
  <si>
    <t>Monday: 8 AM to 8 PM; Tuesday: 8 AM to 8 PM; Wednesday: 8 AM to 8 PM; Thursday: 8 AM to 8 PM; Friday: 8 AM to 8 PM; Saturday: 9 AM to 5 PM; Sunday: 9 AM to 5 PM</t>
  </si>
  <si>
    <t>Choices Integrated Healthcare Solutions is a Baltimore-based center offering integrated mental health and addiction-treatment services at one location, including Early Intervention, Intensive Outpatient Program (IOP), and Partial Hospitalization Program (PHP).</t>
  </si>
  <si>
    <t>http://choicesihc.com/</t>
  </si>
  <si>
    <t>Review data shows mixed experiences. Some reviewers report helpful recovery programs and accessibility features, while others allege mismanagement and unfulfilled services. The newest review is very negative, indicating ongoing variability in outcomes; overall, the feedback suggests divergent experiences rather than a consistent pattern.</t>
  </si>
  <si>
    <t>accepted google identity: 14.2/15; review volume: 19.9/30; review consistency: 0.4/7; review freshness: 4.4/8; verified website: 14.2/15; confirmed irs record: 0.0/20; source corroboration: 3.3/5; Synthesis metadata: medium (not part of numeric confidence)</t>
  </si>
  <si>
    <t>1450 S Rolling Rd, Halethorpe, MD 21227</t>
  </si>
  <si>
    <t>(410) 455-5530</t>
  </si>
  <si>
    <t>UMBC Psychology Training Clinic</t>
  </si>
  <si>
    <t>Adults 18+ from UMBC or the community; no UMBC affiliation required. Intake involves a brief phone screening (~15 minutes) to assess fit, followed by questionnaires and an in-person interview; fees use a sliding scale based on income; most insurance is not accepted because services are provided by trainee clinicians.</t>
  </si>
  <si>
    <t>Year-round; closed on UMBC holidays and the week between Christmas and New Year’s Day.</t>
  </si>
  <si>
    <t>UMBC Psychology Training Clinic offers low-cost, evidence-based individual psychotherapy for adults, run as a teaching clinic where doctoral students provide services under licensed supervision.</t>
  </si>
  <si>
    <t>https://psychology.umbc.edu/hsp/clinical/psychology-training-clinic/</t>
  </si>
  <si>
    <t>Review data was unavailable; there are no published user reviews to summarize. The available sources describe the clinic as a low-cost, teaching clinic offering evidence-based therapy under supervision, and the listing appears operational with a verified website.</t>
  </si>
  <si>
    <t>3301 Belair Rd, Baltimore, MD 21213</t>
  </si>
  <si>
    <t>(443) 873-7193</t>
  </si>
  <si>
    <t>Appointments recommended; Wheelchair accessible entrance; Wheelchair accessible parking; Restroom available.</t>
  </si>
  <si>
    <t>Monday: 8:30 AM to 8 PM; Tuesday: 8:30 AM to 8 PM; Wednesday: 8:30 AM to 8 PM; Thursday: 8:30 AM to 8 PM; Friday: 8:30 AM to 5:30 PM; Saturday: Closed; Sunday: Closed</t>
  </si>
  <si>
    <t>Next Step Treatment Center provides behavioral health care in Baltimore, including mental health treatment and addiction recovery programs with services such as individual therapy, group therapy, medication management, and psychiatric rehabilitation.</t>
  </si>
  <si>
    <t>http://www.nextsteptreatment.org/</t>
  </si>
  <si>
    <t>Review data indicate a generally positive impression of the center, with reviewers praising friendly, supportive staff and a welcoming environment. The available feedback is sparse and one recent entry has no text, but the sample shows high ratings and favorable remarks about staff. Overall, the review data point to a favorable perception of Next Step Treatment Center, though newer feedback is limited.</t>
  </si>
  <si>
    <t>accepted google identity: 14.2/15; review volume: 11.3/30; review consistency: 7.0/7; review freshness: 4.0/8; verified website: 14.2/15; confirmed irs record: 0.0/20; source corroboration: 3.3/5; Synthesis metadata: high (not part of numeric confidence)</t>
  </si>
  <si>
    <t>1921 Lansdowne Rd, Baltimore, MD 21227</t>
  </si>
  <si>
    <t>(410) 616-3508</t>
  </si>
  <si>
    <t>Family Support Center of Maryland</t>
  </si>
  <si>
    <t>Appointments recommended; no explicit eligibility criteria or intake details listed in the sources.</t>
  </si>
  <si>
    <t>Family Support Center of Maryland provides mental health services for adults, including counseling, skill-building workshops, mentorship, and community integration through a psychiatric rehabilitation program.</t>
  </si>
  <si>
    <t>https://familysupportcenterofmd.com/</t>
  </si>
  <si>
    <t>Review data consistently describe the center as caring and helpful, with emphasis on group programming and supportive staff. Reviews express satisfaction with programming and staff support, and the newest available feedback is positive but relatively old, suggesting limited current feedback but continuing favorable impressions.</t>
  </si>
  <si>
    <t>accepted google identity: 14.2/15; review volume: 12.3/30; review consistency: 7.0/7; review freshness: 6.9/8; verified website: 14.2/15; confirmed irs record: 0.0/20; source corroboration: 3.3/5; Synthesis metadata: medium (not part of numeric confidence)</t>
  </si>
  <si>
    <t>1741 Ashland Ave, Baltimore, MD 21205</t>
  </si>
  <si>
    <t>(443) 923-9200</t>
  </si>
  <si>
    <t>Kennedy Krieger Institute Ashland Outpatient Center</t>
  </si>
  <si>
    <t>Appointments recommended. Wheelchair accessible entrance, parking, and restroom. Accepts major credit and debit cards.</t>
  </si>
  <si>
    <t>Monday: 7 AM to 8:30 PM; Tuesday: 7 AM to 8:30 PM; Wednesday: 7 AM to 8:30 PM; Thursday: 7 AM to 8:30 PM; Friday: 7 AM to 8:30 PM; Saturday: Closed; Sunday: Closed</t>
  </si>
  <si>
    <t>Outpatient medical clinic and mental health center at Kennedy Krieger Institute Ashland Outpatient Center offering interdisciplinary pediatric care, including neurodevelopmental evaluations and outpatient therapies.</t>
  </si>
  <si>
    <t>http://www.kennedykrieger.org/</t>
  </si>
  <si>
    <t>Review data indicate generally positive experiences. Review text frequently highlights compassionate staff and thorough evaluations, including autism evaluations, and helpful reception. A single older review notes parking and parking-lot concerns, but the newest reviews remain favorable.</t>
  </si>
  <si>
    <t>accepted google identity: 13.4/15; review volume: 28.0/30; review consistency: 3.3/7; review freshness: 7.8/8; verified website: 13.4/15; confirmed irs record: 0.0/20; source corroboration: 3.3/5; Synthesis metadata: high (not part of numeric confidence)</t>
  </si>
  <si>
    <t>575 S Charles St #140, Baltimore, MD 21201</t>
  </si>
  <si>
    <t>(443) 873-7197</t>
  </si>
  <si>
    <t>Insightful Life Therapeutic Services LLC</t>
  </si>
  <si>
    <t>Appointments available in-person at the Baltimore office and online across Maryland; please call to confirm appointment times. No explicit eligibility or intake requirements documented in available sources.</t>
  </si>
  <si>
    <t>Insightful Life Therapeutic Services is an outpatient behavioral health clinic in Baltimore City offering therapy and psychiatric rehabilitation programs for adults, children, and families, including individual therapy, group therapy, PRP services, and medication management.</t>
  </si>
  <si>
    <t>https://www.insightfullifetherapeutic.com/</t>
  </si>
  <si>
    <t>Review data show at least one documented user complaint about front desk staff and a very small sample of reviews, with the newest review from 2025 reporting a negative experience. With only a single low-rating review in the sample and a total public-review count of a few, the available feedback is too thin to establish a trend.</t>
  </si>
  <si>
    <t>accepted google identity: 14.2/15; review volume: 8.9/30; review consistency: 7.0/7; review freshness: 2.5/8; verified website: 14.2/15; confirmed irs record: 0.0/20; source corroboration: 3.3/5; Synthesis metadata: medium (not part of numeric confidence)</t>
  </si>
  <si>
    <t>3531 Washington Blvd Ste 220-240, Halethorpe, MD 21227</t>
  </si>
  <si>
    <t>(410) 204-8971</t>
  </si>
  <si>
    <t>Bright Horizons Behavioral Health</t>
  </si>
  <si>
    <t>Appointments required; call to schedule or use the contact form; accepts Medicaid and uninsured; intake by appointment.</t>
  </si>
  <si>
    <t>Monday: 10 AM to 7 PM; Tuesday: 10 AM to 7 PM; Wednesday: 10 AM to 7 PM; Thursday: 10 AM to 7 PM; Friday: 10 AM to 7 PM; Saturday: Closed; Sunday: Closed</t>
  </si>
  <si>
    <t>Outpatient mental health and substance-use treatment services provided at a Bright Horizons Behavioral Health location in Halethorpe, MD, including counseling and related supports.</t>
  </si>
  <si>
    <t>http://www.brighthorizonsbehavioralhealth.com/</t>
  </si>
  <si>
    <t>Review data indicate mixed experiences. The listing shows an overall rating around 3.9 across several reviews, with one recent public review describing discomfort with hallway security and privacy during a session, and staff responses addressing policy. Because the sample of recent feedback is sparse, the newest reviews do not point to a single direction and sentiment remains mixed.</t>
  </si>
  <si>
    <t>accepted google identity: 14.2/15; review volume: 13.3/30; review consistency: 7.0/7; review freshness: 1.4/8; verified website: 14.2/15; confirmed irs record: 0.0/20; source corroboration: 3.3/5; Synthesis metadata: high (not part of numeric confidence)</t>
  </si>
  <si>
    <t>9650 Santiago Rd Ste 102, Columbia, MD 21045</t>
  </si>
  <si>
    <t>(410) 995-5587</t>
  </si>
  <si>
    <t>Christian Counseling Group LLC</t>
  </si>
  <si>
    <t>Appointments recommended; Wheelchair accessible entrance, wheelchair accessible parking, and wheelchair accessible restroom.</t>
  </si>
  <si>
    <t>Monday: 10 AM to 7 PM; Tuesday: 10 AM to 7 PM; Wednesday: 10 AM to 7 PM; Thursday: 10 AM to 7 PM; Friday: 10 AM to 7 PM; Saturday: 10 AM to 3 PM; Sunday: Closed</t>
  </si>
  <si>
    <t>Christian Counseling Group LLC provides mental health counseling in a faith-informed setting, offering in-person therapy and teletherapy from its Columbia, MD location, including a caregiver support program.</t>
  </si>
  <si>
    <t>https://www.getccgtherapy.org/</t>
  </si>
  <si>
    <t>Review data indicate generally positive experiences with compassionate, faith-informed counseling and personal growth. Several reviews mention administrative or communication issues and scheduling challenges, including at least one report describing unprofessional handling. The newest reviews are quite old, and the overall sentiment appears to be mixed but leaning toward the positive end.</t>
  </si>
  <si>
    <t>accepted google identity: 14.2/15; review volume: 18.2/30; review consistency: 4.1/7; review freshness: 2.0/8; verified website: 14.2/15; confirmed irs record: 0.0/20; source corroboration: 3.3/5; Synthesis metadata: medium (not part of numeric confidence)</t>
  </si>
  <si>
    <t>10045 Red Run Blvd Ste 130, Owings Mills, MD 21117</t>
  </si>
  <si>
    <t>(410) 878-2030</t>
  </si>
  <si>
    <t>Brigance Brigade Foundation</t>
  </si>
  <si>
    <t>PALS Grant Program offers financial grants to People living with ALS (PALS) and their families. Each PALS Grant Program applicant is eligible for one grant per calendar year with a maximum award of $5,000. To apply, ensure the application is complete with all required attachments and official quotes; grants@brigancebrigade.org is used for inquiries.</t>
  </si>
  <si>
    <t>Brigance Brigade Foundation provides financial grants and equipment support to ALS families (PALS and CALS), including a PALS Grant Program to help cover caregiving costs, equipment, and home accessibility needs.</t>
  </si>
  <si>
    <t>https://brigancebrigade.org/</t>
  </si>
  <si>
    <t>Review feedback was unavailable due to no public review content. The listing and the organization's website indicate an active grants program for ALS families, and registry/website corroboration supports that they are operational. No review data is available to summarize user experiences.</t>
  </si>
  <si>
    <t>accepted google identity: 14.2/15; review volume: 0.0/30; review consistency: 0.0/7; review freshness: 0.0/8; verified website: 14.2/15; confirmed irs record: 20.0/20; source corroboration: 5.0/5; Synthesis metadata: medium (not part of numeric confidence)</t>
  </si>
  <si>
    <t>4340 Park Heights Ave, Baltimore, MD 21215</t>
  </si>
  <si>
    <t>(410) 542-8130</t>
  </si>
  <si>
    <t>Jai Medical Center is a physical-location medical clinic that provides general medical care through clinic-based services (including care from physicians or nurse practitioners) at its Baltimore-area site.</t>
  </si>
  <si>
    <t>http://www.jaimedicalsystems.com/</t>
  </si>
  <si>
    <t>Google Maps-based review data show generally positive feedback, with many reviewers praising caring staff and helpful service when lab work is involved. A recurring concern in recent comments is wait times and front-desk communication. Overall, newest reviews are mixed but trend toward continued positive experiences, with ongoing appreciation for staff while wait-related frustrations persist.</t>
  </si>
  <si>
    <t>accepted google identity: 13.4/15; review volume: 30.0/30; review consistency: 1.8/7; review freshness: 7.9/8; verified website: 13.4/15; confirmed irs record: 0.0/20; source corroboration: 3.3/5; Synthesis metadata: high (not part of numeric confidence)</t>
  </si>
  <si>
    <t>6601 Frederick Rd, Catonsville, MD 21228</t>
  </si>
  <si>
    <t>(410) 744-1032</t>
  </si>
  <si>
    <t>Believe In Tomorrow Children's Foundation</t>
  </si>
  <si>
    <t>Eligibility: families of children receiving critical care are served; hospital housing is provided free of charge. Respite housing is available for families as part of Believe In Tomorrow’s programs.</t>
  </si>
  <si>
    <t>Believe In Tomorrow Children's Foundation provides hospital housing for families of critically ill children and respite housing to support families during a child’s medical crisis; programs include the Children’s House at Johns Hopkins in Baltimore.</t>
  </si>
  <si>
    <t>http://believeintomorrow.org/</t>
  </si>
  <si>
    <t>Review data show consistently positive feedback from families using the programs, with themes of warm, welcoming support and comfortable, family-centered lodging during medical care. The newest review highlights exceptional care and gratitude, while earlier reviews describe similar experiences and ongoing program growth. The available review sample is small but aligns in tone and content.</t>
  </si>
  <si>
    <t>accepted google identity: 14.2/15; review volume: 14.5/30; review consistency: 7.0/7; review freshness: 6.7/8; verified website: 14.2/15; confirmed irs record: 0.0/20; source corroboration: 3.3/5; Synthesis metadata: high (not part of numeric confidence)</t>
  </si>
  <si>
    <t>201 W Preston St, Baltimore, MD 21201</t>
  </si>
  <si>
    <t>(410) 767-6500</t>
  </si>
  <si>
    <t>Maryland Department of Health</t>
  </si>
  <si>
    <t>Maryland Department of Health is the state government agency that oversees public health programs and provides health information and guidance to Maryland residents.</t>
  </si>
  <si>
    <t>https://health.maryland.gov/</t>
  </si>
  <si>
    <t>Review data show a pattern of negative experiences reported by reviewers, including difficulty contacting staff, unresponsiveness to inquiries, and concerns about service quality. The most recent reviews continue to reflect these concerns, suggesting that this trend persists rather than improving.</t>
  </si>
  <si>
    <t>accepted google identity: 13.3/15; review volume: 30.0/30; review consistency: 5.1/7; review freshness: 6.1/8; verified website: 13.3/15; confirmed irs record: 0.0/20; source corroboration: 3.3/5; Synthesis metadata: low (not part of numeric confidence)</t>
  </si>
  <si>
    <t>36 S Charles St 12th floor, Baltimore, MD 21201</t>
  </si>
  <si>
    <t>(410) 767-1100</t>
  </si>
  <si>
    <t>Maryland Department of Aging</t>
  </si>
  <si>
    <t>Maryland Department of Aging is a state government agency that provides aging-related information, resources, and social services to residents.</t>
  </si>
  <si>
    <t>Review data show mixed experiences. Some callers report helpful staff and useful resource referrals; others describe long hold times and rude interactions and inconsistent responsiveness. The most recent reviews are about a month old, and no clear pattern of improvement or deterioration is evident in the available sample.</t>
  </si>
  <si>
    <t>accepted google identity: 14.2/15; review volume: 30.0/30; review consistency: 0.6/7; review freshness: 7.6/8; verified website: 0.0/15; confirmed irs record: 0.0/20; source corroboration: 1.7/5; Synthesis metadata: insufficient_evidence (not part of numeric confidence)</t>
  </si>
  <si>
    <t>5755 Cedar Ln, Columbia, MD 21044</t>
  </si>
  <si>
    <t>(410) 740-7890</t>
  </si>
  <si>
    <t>Johns Hopkins Howard County Medical Center</t>
  </si>
  <si>
    <t>Johns Hopkins Howard County Medical Center is a Johns Hopkins Medicine hospital in Columbia that provides emergency care and maternity-related services as part of the Johns Hopkins system.</t>
  </si>
  <si>
    <t>https://www.hopkinsmedicine.org/howard_county_general_hospital/?utm_source=Google&amp;utm_medium=Organic&amp;utm_campaign=Yext&amp;utm_content=FAD&amp;utm_keyword=HCGH</t>
  </si>
  <si>
    <t>Review data show a mix of experiences. Several recent reviews highlight caring staff and positive outcomes in maternity and pediatric care, while others complain about crowding and long wait times in the emergency department. Overall, the available review text suggests ongoing variability in patient experiences, with some recent reviews continuing to indicate both strengths and frustrations.</t>
  </si>
  <si>
    <t>accepted google identity: 14.2/15; review volume: 30.0/30; review consistency: 0.6/7; review freshness: 8.0/8; verified website: 14.2/15; confirmed irs record: 0.0/20; source corroboration: 3.3/5; Synthesis metadata: insufficient_evidence (not part of numeric confidence)</t>
  </si>
  <si>
    <t>10440 Little Patuxent Pkwy Ste 300, Columbia, MD 21044</t>
  </si>
  <si>
    <t>(410) 730-5105</t>
  </si>
  <si>
    <t>American Breast Cancer Foundation</t>
  </si>
  <si>
    <t>Eligibility: uninsured or underinsured individuals may apply for BCAP; intake requires online application and submission of residency proof; a grant voucher is required before scheduling screening; coverage amounts include up to $200 for screening mammograms, up to $250 for diagnostic mammograms, and up to $250 for breast ultrasounds; residency verification and provider credentialing may be required; referral may not be needed for some resources.</t>
  </si>
  <si>
    <t>Monday: 9 AM to 6 PM; Tuesday: 9 AM to 6 PM; Wednesday: 9 AM to 6 PM; Thursday: 9 AM to 6 PM; Friday: 9 AM to 1 PM; Saturday: Closed; Sunday: Closed</t>
  </si>
  <si>
    <t>The American Breast Cancer Foundation is a national nonprofit that helps make breast cancer screening and diagnostic care more affordable. It operate s the Breast Cancer Assistance Program (BCAP) to provide financial help for uninsured or underinsured individuals, and it also offers education, patient advocacy, and community partnerships to connect people with breast health resources.</t>
  </si>
  <si>
    <t>https://www.abcf.org/</t>
  </si>
  <si>
    <t>Review data shows a small, mixed set of public reviews; the listing has two reviews with a mid-range sentiment, and there is limited recent feedback to establish a clear trend. Given the thin sample, current reliability is best viewed cautiously, though the listing is corroborated by the official site and map data.</t>
  </si>
  <si>
    <t>1235 E Monument St, Baltimore, MD 21202</t>
  </si>
  <si>
    <t>(410) 327-5100</t>
  </si>
  <si>
    <t>Walk-ins and appointments welcomed at Jai Medical Center locations. Appointment preferred; verify at the specific site as offerings vary; contact location to confirm availability of services such as DOT physicals, lab, or imaging.</t>
  </si>
  <si>
    <t>Jai Medical Center is a Baltimore health network offering primary care for children and adults, walk-in and same-day appointments, on-site lab and imaging services, immunizations, DOT physicals, urgent care, and transportation and enrollment assistance.</t>
  </si>
  <si>
    <t>Review data show generally positive experiences, with patients praising doctors who listen and friendly staff; some recurring concerns mention long waits in the lobby. Recent reviews are mixed but trend toward continued satisfaction, and staff responses indicate ongoing efforts to address issues.</t>
  </si>
  <si>
    <t>accepted google identity: 14.2/15; review volume: 30.0/30; review consistency: 3.2/7; review freshness: 7.7/8; verified website: 14.2/15; confirmed irs record: 0.0/20; source corroboration: 3.3/5; Synthesis metadata: high (not part of numeric confidence)</t>
  </si>
  <si>
    <t>1 Aisquith St, Baltimore, MD 21202</t>
  </si>
  <si>
    <t>(410) 528-1010</t>
  </si>
  <si>
    <t>Ronald McDonald House Maryland</t>
  </si>
  <si>
    <t>Wheelchair accessible entrance and parking.</t>
  </si>
  <si>
    <t>Monday: 9 AM to 9 PM; Tuesday: 9 AM to 9 PM; Wednesday: 9 AM to 9 PM; Thursday: 9 AM to 9 PM; Friday: 9 AM to 9 PM; Saturday: 9 AM to 7 PM; Sunday: 9 AM to 6 PM</t>
  </si>
  <si>
    <t>Ronald McDonald House Maryland provides a home-like lodging near a hospital for families with a child receiving medical care, offering private family rooms, shared kitchens, meals, and supportive programs to help families stay close during treatment.</t>
  </si>
  <si>
    <t>http://www.ronaldmcdonaldhousemd.org/</t>
  </si>
  <si>
    <t>Review data shows families generally praise the house for a welcoming staff, comfortable spaces, and accessible meals during medical stays. Guests frequently mention the sense of home, supportive volunteers, and clean facilities, though a small number report inconveniences such as room moves. Overall, the newest reviews continue to reflect positive experiences and ongoing appreciation for the housing program.</t>
  </si>
  <si>
    <t>accepted google identity: 14.2/15; review volume: 30.0/30; review consistency: 3.8/7; review freshness: 6.5/8; verified website: 14.2/15; confirmed irs record: 20.0/20; source corroboration: 5.0/5; Synthesis metadata: high (not part of numeric confidence)</t>
  </si>
  <si>
    <t>750 E Pratt St, Baltimore, MD 21202</t>
  </si>
  <si>
    <t>(855) 642-8572</t>
  </si>
  <si>
    <t>Maryland Health Benefit Exchange (MHBE)</t>
  </si>
  <si>
    <t>Maryland Health Benefit Exchange (MHBE) is a state government office that administers Maryland's health benefits marketplace and related enrollment services.</t>
  </si>
  <si>
    <t>https://www.marylandhbe.com/</t>
  </si>
  <si>
    <t>Evidence about this listing is thin. The available records show an operational entity identified as the Maryland Health Benefit Exchange with stated hours, and a website that is inaccessible due to an HTTP 403 error. Review data is minimal and lacks substantive narrative, making it hard to gauge user experiences beyond basic presence and hours.</t>
  </si>
  <si>
    <t>accepted google identity: 14.2/15; review volume: 7.3/30; review consistency: 7.0/7; review freshness: 5.4/8; verified website: 14.2/15; confirmed irs record: 0.0/20; source corroboration: 3.3/5; Synthesis metadata: insufficient_evidence (not part of numeric confidence)</t>
  </si>
  <si>
    <t>7100 Columbia Gateway Dr Ste 155, Columbia, MD 21046</t>
  </si>
  <si>
    <t>(443) 568-0064</t>
  </si>
  <si>
    <t>Casey Cares Foundation</t>
  </si>
  <si>
    <t>Casey Cares Foundation runs programs and provides resources to support families with critically ill children, aiming to uplift and ease daily life through events, activities, and family-focused services.</t>
  </si>
  <si>
    <t>https://caseycares.org/</t>
  </si>
  <si>
    <t>Review data shows consistently high ratings from a small sample of reviews, with positive notes about donor generosity and family-focused programs. The newest reviews indicate ongoing impact and appreciation for Casey Cares’ support; no negative feedback is evident in the sample.</t>
  </si>
  <si>
    <t>accepted google identity: 14.2/15; review volume: 19.4/30; review consistency: 7.0/7; review freshness: 7.9/8; verified website: 14.2/15; confirmed irs record: 20.0/20; source corroboration: 5.0/5; Synthesis metadata: high (not part of numeric confidence)</t>
  </si>
  <si>
    <t>Appointments are required for some services; appointments are recommended for others. Urgent care is available in person from 8 a.m. to 8 p.m. daily; MedStar eVisit telehealth is available 24/7 for virtual care; for life‑threatening emergencies, call 911.</t>
  </si>
  <si>
    <t>MedStar Franklin Square Medical Center is a full‑service hospital in eastern Baltimore County offering 24/7 emergency care and a broad mix of inpatient and outpatient services, including orthopedics, oncology, neurology, cardiology, obstetrics/gynecology, neonatal intensive care, and behavioral health.</t>
  </si>
  <si>
    <t>Review data show generally positive experiences with staff and care, with recurring praise for professionalism and helpful service. Some recent reviews mention concerns in specific areas, notably labor and delivery, indicating room for improvement in that department; overall, the latest reviews reflect ongoing satisfaction with care and some mixed feedback.</t>
  </si>
  <si>
    <t>9709 Eclipse Place, Montgomery Village, MD 20886</t>
  </si>
  <si>
    <t>(301) 664-2226</t>
  </si>
  <si>
    <t>LynnMichel Insurance, LLC</t>
  </si>
  <si>
    <t>Free initial consult; meetings in person, by phone, or virtually; licensed in MD, VA, DC, DE, FL, NC, NJ, OH; paid by insurance companies if a policy is purchased.</t>
  </si>
  <si>
    <t>Monday: 8 AM to 6 PM; Tuesday: 8 AM to 6 PM; Wednesday: 8 AM to 6 PM; Thursday: 8 AM to 6 PM; Friday: 8 AM to 6 PM; Saturday: 9 AM to 1 PM; Sunday: Closed</t>
  </si>
  <si>
    <t>Independent insurance brokerage focusing on health insurance and Medicare options, helping clients understand plan choices and design a benefits package. Services are offered in person, by phone, or virtually.</t>
  </si>
  <si>
    <t>http://lynnmichel.com/</t>
  </si>
  <si>
    <t>No usable customer-reviews data is available in the dataset to reflect user experiences. The listing shows the business as operational with a functioning website and set hours, but review feedback is unavailable or too sparse to draw conclusions.</t>
  </si>
  <si>
    <t>20440 Century Blvd, Germantown, MD 20874</t>
  </si>
  <si>
    <t>(800) 675-8416</t>
  </si>
  <si>
    <t>HealthWell Foundation</t>
  </si>
  <si>
    <t>Eligibility generally requires health insurance; the patient’s disease and treatment must be covered; household income within 500% of the federal poverty level; treatment must occur in the United States. Applications may be accepted by phone; additional intake steps may apply.</t>
  </si>
  <si>
    <t>HealthWell Foundation provides grants to help underinsured individuals pay for essential medical costs, including copays, premiums, deductibles, and other out-of-pocket expenses related to prescribed treatments and medications.</t>
  </si>
  <si>
    <t>http://www.healthwellfoundation.org/</t>
  </si>
  <si>
    <t>Review data shows that people generally report positive experiences, with frequent praise for staff courtesy and the relief provided by HealthWell grants. The feedback highlights meaningful access to medications and treatment costs, while a subset notes long wait times or delays in communications. The most recent reviews continue to express appreciation and indicate that the program remains helpful, despite occasional administrative frustrations.</t>
  </si>
  <si>
    <t>accepted google identity: 14.2/15; review volume: 30.0/30; review consistency: 2.6/7; review freshness: 7.5/8; verified website: 14.2/15; confirmed irs record: 20.0/20; source corroboration: 5.0/5; Synthesis metadata: high (not part of numeric confidence)</t>
  </si>
  <si>
    <t>400 W 7th St, Frederick, MD 21701</t>
  </si>
  <si>
    <t>(240) 566-3300</t>
  </si>
  <si>
    <t>Frederick Health Hospital Emergency Department</t>
  </si>
  <si>
    <t>Open to the public; in the emergency department, visitors are limited to two per patient.</t>
  </si>
  <si>
    <t>Frederick Health Hospital Emergency Department provides 24/7 emergency medical care at Frederick Health Hospital, including a dedicated pediatric emergency center and specialized stroke and cardiac services.</t>
  </si>
  <si>
    <t>https://www.frederickhealth.org/services/emergency-care/</t>
  </si>
  <si>
    <t>Review data shows a mix of experiences in Frederick Health Hospital's emergency department. The newest reviews describe long wait times and limited communication, with some patients reporting delays in treatment. A number of reviews praise compassionate nurses and professional staff in certain contexts, such as during triage or surgery. Overall, the most recent feedback leans negative, though a minority of reviews highlight positive care experiences.</t>
  </si>
  <si>
    <t>accepted google identity: 13.3/15; review volume: 30.0/30; review consistency: 1.0/7; review freshness: 8.0/8; verified website: 13.3/15; confirmed irs record: 20.0/20; source corroboration: 5.0/5; Synthesis metadata: high (not part of numeric confidence)</t>
  </si>
  <si>
    <t>5020 Sunnyside Avenue, Beltsville, MD 20705</t>
  </si>
  <si>
    <t>(301) 525-8807</t>
  </si>
  <si>
    <t>Community Engagement &amp; Consultation Group Inc</t>
  </si>
  <si>
    <t>Monday: 8 AM to 6 PM; Tuesday: 8 AM to 6 PM; Wednesday: 8 AM to 6 PM; Thursday: 8 AM to 6 PM; Friday: 8 AM to 6 PM; Saturday: 9 AM to 3 PM; Sunday: Closed</t>
  </si>
  <si>
    <t>Community Engagement &amp; Consultation Group Inc. is a Maryland nonprofit organization that helps communities by providing resources and general support.</t>
  </si>
  <si>
    <t>http://ce-cg.org/</t>
  </si>
  <si>
    <t>Review data show consistently positive experiences with staff, especially Dixy Rodriguez, who is described as helpful, attentive, and efficient. The newest reviews (within the last month) continue to reflect satisfaction and there are no notable recurring concerns in the sample.</t>
  </si>
  <si>
    <t>42020 Village Center Plaza, Stone Ridge, VA 20105</t>
  </si>
  <si>
    <t>(888) 580-6253</t>
  </si>
  <si>
    <t>Tigerlily Foundation</t>
  </si>
  <si>
    <t>Tigerlily Foundation is a national women's health and oncology organization providing education, awareness, advocacy, and hands-on support to young women before, during, and after cancer.</t>
  </si>
  <si>
    <t>https://www.tigerlilyfoundation.org/contact/</t>
  </si>
  <si>
    <t>Review data show two public reviews with a 5-star overall rating. The newest review, posted about 985 days ago, expresses gratitude for the care package and support provided; there are no owner responses recorded. Overall, the reviews reflect positive experiences, and the latest feedback aligns with the earlier praise, though the scarcity of recent reviews makes it harder to assess current performance.</t>
  </si>
  <si>
    <t>accepted google identity: 14.2/15; review volume: 7.3/30; review consistency: 7.0/7; review freshness: 1.2/8; verified website: 14.2/15; confirmed irs record: 0.0/20; source corroboration: 3.3/5; Synthesis metadata: medium (not part of numeric confidence)</t>
  </si>
  <si>
    <t>408 N Washington St Ste A, Easton, MD 21601</t>
  </si>
  <si>
    <t>(410) 822-7300</t>
  </si>
  <si>
    <t>Avery Hall Insurance Group</t>
  </si>
  <si>
    <t>Monday: Closed; Tuesday: 8:30 AM to 4:30 PM; Wednesday: 8:30 AM to 4:30 PM; Thursday: 8:30 AM to 4:30 PM; Friday: 8:30 AM to 4:30 PM; Saturday: Closed; Sunday: Closed</t>
  </si>
  <si>
    <t>Avery Hall Insurance Group is an insurance agency offering a range of personal and commercial insurance products and related benefits services to individuals, families, and businesses.</t>
  </si>
  <si>
    <t>https://www.averyhall.com/</t>
  </si>
  <si>
    <t>Review data indicate consistently positive experiences described by customers, with staff noted as responsive, knowledgeable, and helpful in navigating insurance options. The newest reviews continue to reflect high satisfaction and clear communication. There are no notable negative trends evident in the available review text.</t>
  </si>
  <si>
    <t>accepted google identity: 14.2/15; review volume: 28.8/30; review consistency: 7.0/7; review freshness: 6.1/8; verified website: 14.2/15; confirmed irs record: 0.0/20; source corroboration: 3.3/5; Synthesis metadata: high (not part of numeric confidence)</t>
  </si>
  <si>
    <t>309 Sunburst Hwy Ste 9, Cambridge, MD 21613</t>
  </si>
  <si>
    <t>(888) 347-9277</t>
  </si>
  <si>
    <t>Social Security Administration</t>
  </si>
  <si>
    <t>Appointment required for service; in-person visits. Wheelchair accessible entrance, parking, and restroom are noted.</t>
  </si>
  <si>
    <t>A U.S. Social Security Administration field office in Cambridge, Maryland, providing in-person SSA services by appointment.</t>
  </si>
  <si>
    <t>http://www.ssa.gov/</t>
  </si>
  <si>
    <t>Review data shows a mix of experiences: many patrons report quick, efficient visits and helpful staff, while some describe delays and unprofessional conduct. Recent reviews mention positive interactions with staff (including praise for a staff member named Crystal) but also note allegations of rude treatment and discriminatory behavior. Overall, the latest feedback is mixed but there are repeated themes of quick service and helpful staff alongside sporadic negative experiences.</t>
  </si>
  <si>
    <t>accepted google identity: 14.2/15; review volume: 30.0/30; review consistency: 0.0/7; review freshness: 7.1/8; verified website: 14.2/15; confirmed irs record: 0.0/20; source corroboration: 3.3/5; Synthesis metadata: medium (not part of numeric confidence)</t>
  </si>
  <si>
    <t>421 Butler Farm Rd, Hampton, VA 23666</t>
  </si>
  <si>
    <t>(866) 512-3861</t>
  </si>
  <si>
    <t>Patient Advocate Foundation Co-Pay Relief</t>
  </si>
  <si>
    <t>The Patient Advocate Foundation Co-Pay Relief program provides financial support to help eligible patients cover medical copays and related medical costs.</t>
  </si>
  <si>
    <t>https://copays.org/</t>
  </si>
  <si>
    <t>Review data shows recurring positive themes of financial relief from copays and helpful staff in some reviews, while other reviews describe slow processing, difficulty reaching support, and communication gaps. The newest reviews continue to reflect a mix of experiences, with no single direction dominating.</t>
  </si>
  <si>
    <t>accepted google identity: 14.2/15; review volume: 28.3/30; review consistency: 0.4/7; review freshness: 7.9/8; verified website: 14.2/15; confirmed irs record: 0.0/20; source corroboration: 3.3/5; Synthesis metadata: medium (not part of numeric confidence)</t>
  </si>
  <si>
    <t>3300 NE Sugarhill Ave, Jensen Beach, FL 34957</t>
  </si>
  <si>
    <t>(877) 296-4673</t>
  </si>
  <si>
    <t>Prescription Hope</t>
  </si>
  <si>
    <t>Nationwide availability; eligible individuals may qualify for patient assistance programs and Prescription Hope serves insured, underinsured, uninsured, and those with Medicare, including Hawaii and Puerto Rico. Enrollment is handled by patient advocates who coordinate with doctors and pharmacies; you are charged $70 per medication per month if enrolled, and you are not charged if we cannot help. Medications are delivered to your home or your healthcare provider's office; ongoing renewals and orders are managed by Prescription Hope. Eligibility requires basic household information and provider paperwork.</t>
  </si>
  <si>
    <t>Prescription Hope provides access to hundreds of FDA‑approved brand‑name medications through manufacturer patient assistance programs, coordinating enrollment, renewals, and monthly delivery for a flat $70 per medication per month.</t>
  </si>
  <si>
    <t>https://prescriptionhope.com/</t>
  </si>
  <si>
    <t>Review data shows predominantly positive feedback from customers, highlighting easy enrollment, helpful staff, and substantial cost savings on medications. The newest reviews continue to reflect satisfaction and prompt responses from the organization, indicating stable performance and reliability. Some reviews have limited text, but overall sentiment remains favorable.</t>
  </si>
  <si>
    <t>accepted google identity: 14.2/15; review volume: 30.0/30; review consistency: 4.3/7; review freshness: 8.0/8; verified website: 14.2/15; confirmed irs record: 0.0/20; source corroboration: 3.3/5; Synthesis metadata: high (not part of numeric confidence)</t>
  </si>
  <si>
    <t>3171 Riverport Tech Center Dr, Maryland Heights, MO 63043</t>
  </si>
  <si>
    <t>(314) 222-0472</t>
  </si>
  <si>
    <t>Rx Outreach</t>
  </si>
  <si>
    <t>Eligibility: available to patients nationwide; no insurance is required to order medications; no membership fees. Programs exist to assist with medications; contact Rx Outreach for details. Some programs have age or residence eligibility criteria (e.g., Fill the Gap).</t>
  </si>
  <si>
    <t>Monday: 7 AM to 6 PM; Tuesday: 7 AM to 6 PM; Wednesday: 7 AM to 6 PM; Thursday: 7 AM to 6 PM; Friday: 7 AM to 5:30 PM; Saturday: 9 AM to 2 PM; Sunday: Closed</t>
  </si>
  <si>
    <t>Rx Outreach is a nationwide nonprofit mail‑order pharmacy that provides affordable prescription medications and patient support, with shipping to all 50 states and programs to help patients access medications even if they have insurance.</t>
  </si>
  <si>
    <t>https://rxoutreach.org/?utm_source=gmb&amp;utm_medium=organic&amp;utm_campaign=1seo_gmb</t>
  </si>
  <si>
    <t>Review data show a mixed experience: many reviewers praise Rx Outreach for affordability and reliable service, while others report delays and frustrating customer-service experiences. The newest reviews include both highly positive and critical feedback, indicating ongoing strengths in pricing and access but continued challenges in fulfillment and responsiveness for some customers. Overall, the service appears generally reliable with notable variability in individual experiences.</t>
  </si>
  <si>
    <t>accepted google identity: 14.2/15; review volume: 30.0/30; review consistency: 0.7/7; review freshness: 8.0/8; verified website: 14.2/15; confirmed irs record: 0.0/20; source corroboration: 3.3/5; Synthesis metadata: high (not part of numeric confidence)</t>
  </si>
  <si>
    <t>800 Scudders Mill Rd, Plainsboro Township, NJ 08536</t>
  </si>
  <si>
    <t>(609) 987-5800</t>
  </si>
  <si>
    <t>Novo Nordisk Inc.,</t>
  </si>
  <si>
    <t>Novo Nordisk Inc. is the US arm of a global pharmaceutical company. It operates as a pharmaceutical company and maintains an official website used to share information about its products and activities.</t>
  </si>
  <si>
    <t>https://www.novonordisk-us.com/</t>
  </si>
  <si>
    <t>Review data show a pattern of negative sentiment in recent feedback, with multiple comments describing delays, unhelpful customer service, and issues related to prescription handling. While there are some positive remarks about the products in earlier reviews, the newest reviews trend toward dissatisfaction. Overall, the review data suggest caution when interpreting the organization’s service experience, though product information and reach appear established.</t>
  </si>
  <si>
    <t>accepted google identity: 14.2/15; review volume: 30.0/30; review consistency: 0.7/7; review freshness: 7.7/8; verified website: 14.2/15; confirmed irs record: 0.0/20; source corroboration: 3.3/5; Synthesis metadata: medium (not part of numeric confidence)</t>
  </si>
  <si>
    <t>2416 Lampost Ln, Parkville, MD 21234</t>
  </si>
  <si>
    <t>(410) 665-1543</t>
  </si>
  <si>
    <t>SPINA BIFIDA ASSOCIATION OF MARYLAND</t>
  </si>
  <si>
    <t>Eligibility: individuals must live in the service counties Baltimore City, Baltimore County, Carroll County, Harford County, Anne Arundel County, or Howard County, or be grandfathered under the bylaws. Documents/requirements: complete a membership form and pay annual dues (membership is $20/year). Renewal is required yearly with renewal processes described; new members must wait 6 months and attend two General Membership Meetings to receive funding. Bylaws are available on request. Meetings: bi-monthly education meetings and social activities are described on the official site.</t>
  </si>
  <si>
    <t>Spina Bifida Association of Maryland is a volunteer‑run, 501(c)(3) organization serving people with Spina Bifida in Maryland. It provides information, friendship, and financial assistance, and runs educational and social activities; it administers programs such as a Brace Fund and Major Medical Program and offers membership services. The group traces its history to 1975 and is described as being run by volunteers with no paid staff.</t>
  </si>
  <si>
    <t>https://sbamaryland.weebly.com/</t>
  </si>
  <si>
    <t>Review data are very sparse: there is a single positive review and no detailed feedback to extract common themes. The official site provides verifiable information about programs, eligibility, and contact options, supporting the listing’s basic accuracy and ongoing operation. Given the tiny review footprint, user-experience signals should be treated cautiously while the site-backed program descriptions lend credibility to the organization’s activities.</t>
  </si>
  <si>
    <t>1780 Corporate Dr, Norcross, GA 30093</t>
  </si>
  <si>
    <t>(888) 987-5187</t>
  </si>
  <si>
    <t>Good Pill Pharmacy</t>
  </si>
  <si>
    <t>Eligibility is limited to people with a shipping address in Georgia, Illinois, or Maryland who are uninsured or have high co-pays. A one-time online or phone registration is required, and a valid prescription is needed. They typically dispense 90-day supplies when possible and will deliver to the home. The first order is $6; after that, an admin fee applies per medication. Insurance is not billed; payments can be made by credit/debit card, or by check or money order. If a medication isn’t in stock, prescriptions may be transferred to an alternate provider.</t>
  </si>
  <si>
    <t>Good Pill operates as a non-profit home-delivery pharmacy that provides affordable medications, including 90-day supplies, delivered to customers’ homes. They emphasize low costs, simple registration, and delivery after a prescription is submitted, with service focused on Georgia, Illinois, and Maryland residents.</t>
  </si>
  <si>
    <t>https://www.goodpill.org/</t>
  </si>
  <si>
    <t>Review data shows positive user feedback highlighting affordability, easy ordering, and reliable home delivery, with frequent mentions of low prices and friendly service. The most recent review text in the sample aligns with earlier positive themes, though the available comments are limited and some entries contain no text.</t>
  </si>
  <si>
    <t>accepted google identity: 14.2/15; review volume: 29.3/30; review consistency: 7.0/7; review freshness: 5.4/8; verified website: 14.2/15; confirmed irs record: 0.0/20; source corroboration: 3.3/5; Synthesis metadata: high (not part of numeric confidence)</t>
  </si>
  <si>
    <t>603 Westminster Pike, Reisterstown, MD 21136</t>
  </si>
  <si>
    <t>(410) 833-1295</t>
  </si>
  <si>
    <t>Harvest Church of God</t>
  </si>
  <si>
    <t>Monday: 9:30 AM to 12:30 PM; Tuesday: Closed; Wednesday: 9 AM to 12 PM, 7 to 8:30 PM; Thursday: Closed; Friday: Closed; Saturday: Closed; Sunday: 9:30 AM to 12:30 PM, 2 to 5 PM</t>
  </si>
  <si>
    <t>Harvest Church of God is a local church that provides regular worship services and a welcoming community for people at any stage of their spiritual journey.</t>
  </si>
  <si>
    <t>http://www.harvestcog.org/</t>
  </si>
  <si>
    <t>Review data from Google Maps shows generally positive sentiment, with the newest review highlighting growth, healing, and hope in a welcoming community. Reviewers note ongoing engagement and the listing shows owner responsiveness to feedback, suggesting reliable communication with visitors.</t>
  </si>
  <si>
    <t>accepted google identity: 14.2/15; review volume: 17.3/30; review consistency: 5.4/7; review freshness: 6.8/8; verified website: 14.2/15; confirmed irs record: 0.0/20; source corroboration: 3.3/5; Synthesis metadata: high (not part of numeric confidence)</t>
  </si>
  <si>
    <t>9411 Liberty Rd, Randallstown, MD 21133</t>
  </si>
  <si>
    <t>(410) 655-1080</t>
  </si>
  <si>
    <t>Colonial Baptist Church</t>
  </si>
  <si>
    <t>Wheelchair accessible entrance, parking lot, and restroom.</t>
  </si>
  <si>
    <t>Monday: Closed; Tuesday: Closed; Wednesday: 6:30 to 7:30 PM; Thursday: Closed; Friday: Closed; Saturday: Closed; Sunday: 9 AM to 12:30 PM</t>
  </si>
  <si>
    <t>Colonial Baptist Church is a physical church in Randallstown, Maryland. It is a Baptist church that hosts in-person worship on Sundays and Wednesdays.</t>
  </si>
  <si>
    <t>https://www.colonialbaptistch.org/</t>
  </si>
  <si>
    <t>Review data show generally positive feedback from attendees, with many comments praising friendly members and meaningful sermons. There is at least one negative review from 2025, but the newest reviews remain favorable and the latest sentiment continues to be positive. Overall, the reviews suggest a welcoming environment and steady activity.</t>
  </si>
  <si>
    <t>8615 Church Ln, Randallstown, MD 21133</t>
  </si>
  <si>
    <t>(410) 922-3286</t>
  </si>
  <si>
    <t>Union Bethel AME Church - Food Distribution Center</t>
  </si>
  <si>
    <t>A church-operated food distribution program (food bank) at Union Bethel AME Church in Randallstown, MD.</t>
  </si>
  <si>
    <t>https://unionbethelamec.org/announcements/food-giveaway-at-union-bethel</t>
  </si>
  <si>
    <t>Review data indicates mostly positive experiences with friendly staff and timely food distribution, though there is at least one recent negative review about outreach in a difficult situation. The newest feedback is older but underscores a mix of appreciation and some dissatisfaction, suggesting a generally positive but not uniformly experienced service. Overall, the available reviews point to ongoing food distribution activity with some variability in individual experiences.</t>
  </si>
  <si>
    <t>accepted google identity: 13.4/15; review volume: 20.5/30; review consistency: 2.1/7; review freshness: 6.0/8; verified website: 13.4/15; confirmed irs record: 20.0/20; source corroboration: 5.0/5; Synthesis metadata: medium (not part of numeric confidence)</t>
  </si>
  <si>
    <t>1114 Shawan Rd, Cockeysville, MD 21030</t>
  </si>
  <si>
    <t>(410) 887-8090</t>
  </si>
  <si>
    <t>University of Maryland Extension, Baltimore County</t>
  </si>
  <si>
    <t>The University of Maryland Extension, Baltimore County office provides community education and outreach through research-based programs in youth development, agriculture and food systems, environment and natural resources, and family and consumer sciences, serving Maryland residents through the local extension office network.</t>
  </si>
  <si>
    <t>http://www.extension.umd.edu/baltimore-county</t>
  </si>
  <si>
    <t>Public-facing reviews show a generally positive impression, with a 4.0 out of 5 rating based on four public reviews. The available data do not include the actual review text, so recurring themes or specific concerns cannot be summarized. Because the review text is unavailable, it is too thin to identify distinct trends.</t>
  </si>
  <si>
    <t>8334 Liberty Rd, Windsor Mill, MD 21244</t>
  </si>
  <si>
    <t>(410) 521-4072</t>
  </si>
  <si>
    <t>The Tab</t>
  </si>
  <si>
    <t>The Tab is a church that offers worship services, Bible study classes, and outreach programs designed to educate, encourage, empower believers, and liberate God's people.</t>
  </si>
  <si>
    <t>https://www.wearethetab.church/</t>
  </si>
  <si>
    <t>Review data portray a welcoming congregation and clear, engaging preaching, with praise for the worship experience and the pastor's leadership. Some reviews note parking challenges and longer service times. The newest reviews continue to reflect a positive experience, indicating these impressions remain current.</t>
  </si>
  <si>
    <t>accepted google identity: 14.2/15; review volume: 30.0/30; review consistency: 5.7/7; review freshness: 7.5/8; verified website: 14.2/15; confirmed irs record: 0.0/20; source corroboration: 3.3/5; Synthesis metadata: high (not part of numeric confidence)</t>
  </si>
  <si>
    <t>3317 St Lukes Ln, Baltimore, MD 21207</t>
  </si>
  <si>
    <t>(410) 944-1070</t>
  </si>
  <si>
    <t>Epworth United Methodist Chapel</t>
  </si>
  <si>
    <t>Monday: 10 AM to 4 PM; Tuesday: 10 AM to 4 PM; Wednesday: 10 AM to 4 PM; Thursday: 10 AM to 4 PM; Friday: 10 AM to 4 PM; Saturday: Closed; Sunday: 8 AM to 1:30 PM</t>
  </si>
  <si>
    <t>Epworth United Methodist Chapel is a local United Methodist church that hosts Sunday worship, Bible studies, and other church events at 3317 St Luke's Ln, Baltimore, MD 21207, Gwynn Oak area.</t>
  </si>
  <si>
    <t>http://www.epworthchapel.org/</t>
  </si>
  <si>
    <t>Review data indicate a generally positive impression of the church community, with multiple reviewers praising friendliness, welcoming members, and meaningful worship. The newest reviews are still positive, and the overall feedback suggests a stable, welcoming environment, though several entries are brief. Overall, the available review data points to a favorable and steady experience for visitors.</t>
  </si>
  <si>
    <t>accepted google identity: 14.2/15; review volume: 27.6/30; review consistency: 4.5/7; review freshness: 7.1/8; verified website: 14.2/15; confirmed irs record: 0.0/20; source corroboration: 3.3/5; Synthesis metadata: high (not part of numeric confidence)</t>
  </si>
  <si>
    <t>100 E Timonium Rd, Timonium, MD 21093</t>
  </si>
  <si>
    <t>(410) 252-4255</t>
  </si>
  <si>
    <t>The Agape Christian Church, Miracle Center</t>
  </si>
  <si>
    <t>Monday: Closed; Tuesday: Closed; Wednesday: 7 to 9 PM; Thursday: Closed; Friday: 10 PM to 12:30 AM; Saturday: 11:30 AM to 3 PM; Sunday: 10 AM to 1:30 PM</t>
  </si>
  <si>
    <t>A church facility consisting of worship services, with on-site pantry activity evidenced by a dedicated food-pantry webpage.</t>
  </si>
  <si>
    <t>https://www.theagapechristianchurch.org/</t>
  </si>
  <si>
    <t>Review data indicate generally positive experiences, with reviewers describing staff as kind and welcoming and noting pantry assistance as helpful. A single January 2026 review mentions a pantry-related frustration, but the majority of recent feedback is favorable, and the newest reviews align with the positive sentiment overall.</t>
  </si>
  <si>
    <t>accepted google identity: 14.2/15; review volume: 22.3/30; review consistency: 1.6/7; review freshness: 5.1/8; verified website: 14.2/15; confirmed irs record: 20.0/20; source corroboration: 5.0/5; Synthesis metadata: high (not part of numeric confidence)</t>
  </si>
  <si>
    <t>3184 Church St, Manchester, MD 21102</t>
  </si>
  <si>
    <t>(410) 374-4463</t>
  </si>
  <si>
    <t>Immanuel Evangelical Lutheran Church</t>
  </si>
  <si>
    <t>Monday: Closed; Tuesday: Closed; Wednesday: 10 to 11:30 AM; Thursday: Closed; Friday: 6:30 to 8 PM; Saturday: 7 to 11 AM; Sunday: Closed</t>
  </si>
  <si>
    <t>Immanuel Evangelical Lutheran Church in Manchester offers worship services and active community programs, including a Wednesday food distribution, a Little Food Pantry, and family and youth activities such as C.O.G. Youth Nights, Vacation Bible School, and a Sunday school program, along with a monthly community breakfast.</t>
  </si>
  <si>
    <t>https://immanuel-manchester.org/</t>
  </si>
  <si>
    <t>Review data indicates generally positive sentiment about the church’s programs, with multiple recent notes praising its food distribution, community meals, and youth activities. A small number of reviews mention bells as a nuisance, but the newest feedback continues to reflect a welcoming, active community. Overall, the review data point to ongoing, positive engagement with the church’s services.</t>
  </si>
  <si>
    <t>accepted google identity: 13.3/15; review volume: 25.2/30; review consistency: 2.1/7; review freshness: 7.4/8; verified website: 13.3/15; confirmed irs record: 20.0/20; source corroboration: 5.0/5; Synthesis metadata: high (not part of numeric confidence)</t>
  </si>
  <si>
    <t>Concord Baptist Church Inc</t>
  </si>
  <si>
    <t>Sunday: Sunday School 8:30am; Worship Service 10:00am. Wednesday: Women’s Bible Study 11:00am; Mid-week Worship 12 Noon; Evening Bible Study &amp; Prayer 6:30pm.</t>
  </si>
  <si>
    <t>Concord Baptist Church is a Baptist congregation in the Baltimore area that offers regular worship services. The listing notes there is a food distribution center associated with the church on site.</t>
  </si>
  <si>
    <t>http://concordbaptistofbaltimore.com/</t>
  </si>
  <si>
    <t>Review data show generally positive feedback about the church and its community. A notable older review mentions a negative experience with the food pantry not opening and rude staff, suggesting occasional service gaps. Overall, recent reviews remain favorable and do not indicate a new trend of dissatisfaction.</t>
  </si>
  <si>
    <t>accepted google identity: 14.2/15; review volume: 27.6/30; review consistency: 3.5/7; review freshness: 6.5/8; verified website: 14.2/15; confirmed irs record: 0.0/20; source corroboration: 3.3/5; Synthesis metadata: high (not part of numeric confidence)</t>
  </si>
  <si>
    <t>3043 W Belvedere Ave, Baltimore, MD 21215</t>
  </si>
  <si>
    <t>(410) 664-0743</t>
  </si>
  <si>
    <t>Manna Bible Baptist Church</t>
  </si>
  <si>
    <t>Sunday 11:00 AM (online worship via YouTube)</t>
  </si>
  <si>
    <t>Manna Bible Baptist Church is a Baptist church in Baltimore, Maryland. It offers a Sunday worship service online via YouTube at 11:00 AM.</t>
  </si>
  <si>
    <t>http://www.mannabiblebaptist.com/</t>
  </si>
  <si>
    <t>Review data suggests generally positive feedback, with an overall rating of 4.5 from 31 reviews. However, the actual review text is unavailable in this dataset, so themes or concerns cannot be summarized. The listing is operational and the website is reachable with verified contact details, and registry status supports the listing’s identity.</t>
  </si>
  <si>
    <t>accepted google identity: 14.2/15; review volume: 18.0/30; review consistency: 0.0/7; review freshness: 0.0/8; verified website: 14.2/15; confirmed irs record: 20.0/20; source corroboration: 5.0/5; Synthesis metadata: high (not part of numeric confidence)</t>
  </si>
  <si>
    <t>1512 Woodlawn Dr, Woodlawn, MD 21207</t>
  </si>
  <si>
    <t>(410) 747-3417</t>
  </si>
  <si>
    <t>Morning Star Baptist Church</t>
  </si>
  <si>
    <t>Sundays: 7:15 AM, 9:15 AM, 11:30 AM</t>
  </si>
  <si>
    <t>Morning Star Baptist Church operates as a physical church with worship services and affiliated programs. Evidence shows onsite worship, active outreach and spiritual development ministries, and a counseling center connected to the church, along with ministry resources and events listed on the site.</t>
  </si>
  <si>
    <t>http://www.msbcministries.org/</t>
  </si>
  <si>
    <t>Review data indicate a strong positive sentiment from recent visitors, with recurring praise for a welcoming community and meaningful messages. The newest reviews continue to reflect these themes, noting uplifting sermons and a sense of belonging. Overall, feedback in the available sample remains consistently favorable.</t>
  </si>
  <si>
    <t>accepted google identity: 14.2/15; review volume: 30.0/30; review consistency: 4.2/7; review freshness: 7.7/8; verified website: 14.2/15; confirmed irs record: 0.0/20; source corroboration: 3.3/5; Synthesis metadata: high (not part of numeric confidence)</t>
  </si>
  <si>
    <t>All are welcome; pantry distributions are open to the community with no formal intake. Pantry on the Go is a free, monthly drive-thru food distribution, beginning at 3:00 pm on the first Thursday of most months; volunteers and participants can access services by showing up at the parish site.</t>
  </si>
  <si>
    <t>St. Francis Episcopal Parish is a welcoming faith community that hosts worship and operates active food ministries, including Pantry on the Go and a community pantry outreach.</t>
  </si>
  <si>
    <t>Review data describe St. Francis as a welcoming, inclusive parish with an active food ministry that serves people in need. The newest reviews continue to praise warmth and inclusivity, though one recent comment raises a language-access question. Overall, reviewer feedback remains positive and consistent with prior impressions.</t>
  </si>
  <si>
    <t>accepted google identity: 14.2/15; review volume: 27.6/30; review consistency: 2.4/7; review freshness: 7.2/8; verified website: 14.2/15; confirmed irs record: 0.0/20; source corroboration: 3.3/5; Synthesis metadata: high (not part of numeric confidence)</t>
  </si>
  <si>
    <t>501 Hampton Ln, Baltimore, MD 21286</t>
  </si>
  <si>
    <t>(410) 823-6511</t>
  </si>
  <si>
    <t>Towson United Methodist Church</t>
  </si>
  <si>
    <t>Sunday 10:15 AM (Online Worship)</t>
  </si>
  <si>
    <t>Towson United Methodist Church is a local church at 501 Hampton Lane in Towson, MD, offering worship services (including online Sunday worship) and related church activities for the Towson community.</t>
  </si>
  <si>
    <t>http://towsonumc.org/</t>
  </si>
  <si>
    <t>Review data show a generally positive sentiment about Towson United Methodist Church, with praise for a welcoming environment and regular worship. Most recent reviews are favorable, though one recent 2-star comment indicates a mixed experience; overall feedback remains supportive and consistent with earlier reviews.</t>
  </si>
  <si>
    <t>accepted google identity: 14.2/15; review volume: 30.0/30; review consistency: 4.0/7; review freshness: 6.9/8; verified website: 14.2/15; confirmed irs record: 0.0/20; source corroboration: 3.3/5; Synthesis metadata: high (not part of numeric confidence)</t>
  </si>
  <si>
    <t>300 Eudowood Ln, Towson, MD 21286</t>
  </si>
  <si>
    <t>(410) 296-9474</t>
  </si>
  <si>
    <t>Mt. Calvary A.M.E. Church</t>
  </si>
  <si>
    <t>Sundays: Church School (In person) - 9:00 am; In Person/Online Worship Service - 10:00 am; Tuesdays: Intercessory Prayer on the Prayer line - 6:00 pm; Mondays–Fridays: Morning Prayer Call Line - 6:00 am; Daily: Corporate Prayer - 12:00 pm; Fridays: WOW Sessions - Every Second Friday - 6:30 pm; Fourth Friday: Youth Ministry - FAB Fourth Fridays - 7:00 pm</t>
  </si>
  <si>
    <t>Mount Calvary AME Church in Towson is a faith community that provides in-person and online worship, Bible study and prayer opportunities, youth ministry, and a food pantry to support local families.</t>
  </si>
  <si>
    <t>http://www.mtcalvaryame.org/</t>
  </si>
  <si>
    <t>Review data show most recent feedback is very favorable, with reviewers commonly noting a welcoming worship environment and a strong sense of community. A small number of reviews mention parking challenges during large events. Overall, the latest reviews continue to reflect positive experiences and sustained engagement.</t>
  </si>
  <si>
    <t>accepted google identity: 14.2/15; review volume: 30.0/30; review consistency: 3.7/7; review freshness: 7.9/8; verified website: 14.2/15; confirmed irs record: 0.0/20; source corroboration: 3.3/5; Synthesis metadata: high (not part of numeric confidence)</t>
  </si>
  <si>
    <t>The Bit Center is a Baltimore-based nonprofit delivering a unified set of community programs focused on health, food access and nutrition, culture, and workforce development. Through programs such as The Forge, Food for Better Health, Be a Chef for a Day, and B-More Pasta, it supports families, youth, and neighbors by promoting health, cultural programming, and practical skills.</t>
  </si>
  <si>
    <t>The available review data shows a single recent review that describes the staff as helpful and accommodating and highlights the organization’s community food programs and pasta offerings. Because only one review is available, it’s not possible to draw broad conclusions, but the existing feedback is positive. Newer reviews have not yet indicated a shift in sentiment, so the direction remains inconclusive due to the tiny sample.</t>
  </si>
  <si>
    <t>accepted google identity: 14.2/15; review volume: 5.0/30; review consistency: 7.0/7; review freshness: 7.5/8; verified website: 14.2/15; confirmed irs record: 0.0/20; source corroboration: 3.3/5; Synthesis metadata: high (not part of numeric confidence)</t>
  </si>
  <si>
    <t>6622 Loch Raven Blvd, Baltimore, MD 21239</t>
  </si>
  <si>
    <t>(410) 825-0900</t>
  </si>
  <si>
    <t>Loch Raven United Methodist Church</t>
  </si>
  <si>
    <t>Intake/access by appointment during office hours; Office hours Monday–Friday 10 AM–4 PM. Wheelchair accessible entrance, parking, and restrooms.</t>
  </si>
  <si>
    <t>Monday: Closed; Tuesday: Closed; Wednesday: Closed; Thursday: Closed; Friday: Closed; Saturday: Closed; Sunday: 10 to 11 AM</t>
  </si>
  <si>
    <t>Loch Raven United Methodist Church is a local congregation that hosts Sunday worship and provides information about a community food pantry.</t>
  </si>
  <si>
    <t>http://www.lrumc.org/</t>
  </si>
  <si>
    <t>Review data show an overall positive sentiment with frequently high ratings and comments describing the church as welcoming. A review notes questions about rental-assistance funds, and staff responses indicate referral to a partner organization for help, which aligns with a community-focused service. The newest reviews maintain a similar positive tone, suggesting a consistent, favorable impression of the church and its offerings.</t>
  </si>
  <si>
    <t>accepted google identity: 14.2/15; review volume: 30.0/30; review consistency: 3.4/7; review freshness: 7.1/8; verified website: 14.2/15; confirmed irs record: 0.0/20; source corroboration: 3.3/5; Synthesis metadata: high (not part of numeric confidence)</t>
  </si>
  <si>
    <t>2801 N Charles St, Baltimore, MD 21218</t>
  </si>
  <si>
    <t>(410) 235-2294</t>
  </si>
  <si>
    <t>Saints Philip &amp; James Catholic Church</t>
  </si>
  <si>
    <t>A Dominican Catholic parish in Baltimore that runs a food distribution center serving local residents.</t>
  </si>
  <si>
    <t>http://www.philipandjames.org/</t>
  </si>
  <si>
    <t>Review data show a consistently positive tone across recent entries, with recurring praise for reverent Mass and for the Dominican friars and pastor. The newest reviews continue to reflect the same positive experience, suggesting stability in what reviewers report. Because the reliability input is based on these public reviews, overall reliability is high, though evidence is limited to user feedback about the parish and its service footprint.</t>
  </si>
  <si>
    <t>accepted google identity: 14.2/15; review volume: 30.0/30; review consistency: 5.3/7; review freshness: 7.8/8; verified website: 14.2/15; confirmed irs record: 0.0/20; source corroboration: 3.3/5; Synthesis metadata: high (not part of numeric confidence)</t>
  </si>
  <si>
    <t>1201 Maple Ave, Halethorpe, MD 21227</t>
  </si>
  <si>
    <t>(410) 247-8154</t>
  </si>
  <si>
    <t>Southwest Emergency Services (SWES)</t>
  </si>
  <si>
    <t>To qualify for financial assistance, the individual needs to live in zip 21227 or in 21229 (Baltimore County) on the Arbutus side of Wilkens Ave. Alternatively, the individual can belong to one of the member churches that sponsor SWES.</t>
  </si>
  <si>
    <t>Monday: Closed; Tuesday: Closed; Wednesday: 9 to 11:30 AM; Thursday: Closed; Friday: 9 to 11:30 AM; Saturday: Closed; Sunday: Closed</t>
  </si>
  <si>
    <t>Southwest Emergency Services (SWES) operates a community pantry and assistance program in Arbutus, MD, providing groceries and personal care items and offering financial help to prevent eviction and utility shutoffs for eligible households.</t>
  </si>
  <si>
    <t>https://sweshelps.org/</t>
  </si>
  <si>
    <t>Review data indicate high satisfaction with frequent mentions of plentiful food and essential items and helpful service; most recent entries are positive, reinforcing positive experiences. An older 3-star review notes a nice pantry but does not reflect current sentiment. Overall, the latest reviews point to continued positive experiences.</t>
  </si>
  <si>
    <t>accepted google identity: 14.2/15; review volume: 30.0/30; review consistency: 5.0/7; review freshness: 5.8/8; verified website: 14.2/15; confirmed irs record: 20.0/20; source corroboration: 5.0/5; Synthesis metadata: high (not part of numeric confidence)</t>
  </si>
  <si>
    <t>1400 Greenmount Ave F04, Baltimore, MD 21202</t>
  </si>
  <si>
    <t>(410) 343-9468</t>
  </si>
  <si>
    <t>The 6th Branch</t>
  </si>
  <si>
    <t>The 6th Branch is a Baltimore-based nonprofit that partners with communities to strengthen neighborhoods through veteran-led environmental stewardship, community gardens and farms, and initiatives to improve access to healthy food.</t>
  </si>
  <si>
    <t>http://www.the6thbranch.org/</t>
  </si>
  <si>
    <t>Review data describe on-the-ground, neighborhood-focused work that improves vacant lots and greenspace while remaining respectful to residents. The available review is a single 5-star comment praising these efforts; with such a thin sample, it's hard to gauge broader satisfaction. Other signals indicate the organization is operational and accessible via its official site.</t>
  </si>
  <si>
    <t>accepted google identity: 13.4/15; review volume: 5.0/30; review consistency: 7.0/7; review freshness: 2.1/8; verified website: 13.4/15; confirmed irs record: 0.0/20; source corroboration: 3.3/5; Synthesis metadata: high (not part of numeric confidence)</t>
  </si>
  <si>
    <t>5801 Harford Rd, Baltimore, MD 21214</t>
  </si>
  <si>
    <t>(410) 426-0709</t>
  </si>
  <si>
    <t>St. Matthias &amp; Church of the Messiah</t>
  </si>
  <si>
    <t>Monday: 9 AM to 1:30 PM; Tuesday: 9 AM to 1:30 PM; Wednesday: 9 AM to 1:30 PM; Thursday: 9 AM to 1:30 PM; Friday: Closed; Saturday: Closed; Sunday: 9 AM to 12 PM</t>
  </si>
  <si>
    <t>A local Episcopal church in Baltimore offering worship, preaching, and opportunities for fellowship and service to the surrounding community.</t>
  </si>
  <si>
    <t>https://www.messiahbaltimore.org/</t>
  </si>
  <si>
    <t>Review data describe a welcoming church community with positive experiences of warm volunteers and community involvement. Several reviews mention volunteering and participation in church activities; one older review notes pantry-like assistance, but the overall tone is positive and aligns with the church’s mission. The newest review entries (through 2024) continue to reflect these themes, suggesting current experiences are broadly consistent with earlier feedback.</t>
  </si>
  <si>
    <t>accepted google identity: 14.2/15; review volume: 28.1/30; review consistency: 4.7/7; review freshness: 2.1/8; verified website: 14.2/15; confirmed irs record: 0.0/20; source corroboration: 3.3/5; Synthesis metadata: high (not part of numeric confidence)</t>
  </si>
  <si>
    <t>2417 E North Ave, Baltimore, MD 21213</t>
  </si>
  <si>
    <t>(209) 788-3663</t>
  </si>
  <si>
    <t>New Life Evangelical Baptist Church</t>
  </si>
  <si>
    <t>Monday: 9 AM to 5 PM; Tuesday: 9 AM to 5 PM; Wednesday: 9 AM to 9 PM; Thursday: 9 AM to 5 PM; Friday: 9 AM to 5 PM; Saturday: Closed; Sunday: Closed</t>
  </si>
  <si>
    <t>A faith-based community organization that runs a food pantry/food distribution program to assist residents in Baltimore.</t>
  </si>
  <si>
    <t>http://newlifechurchbaltimore.org/</t>
  </si>
  <si>
    <t>Review data from the listing shows consistently positive feedback, with reviewers praising the welcoming atmosphere and the church’s community support, including its food pantry. Recurring themes highlight generosity and tangible help for neighbors, and the most recent reviews continue to reflect positive experiences. Overall, the review data indicates a favorable and steady level of satisfaction among visitors and clients.</t>
  </si>
  <si>
    <t>accepted google identity: 13.3/15; review volume: 19.7/30; review consistency: 7.0/7; review freshness: 6.7/8; verified website: 13.3/15; confirmed irs record: 0.0/20; source corroboration: 3.3/5; Synthesis metadata: high (not part of numeric confidence)</t>
  </si>
  <si>
    <t>Faith Tabernacle Church - Food Distribution Center</t>
  </si>
  <si>
    <t>Eligibility requirement listed.</t>
  </si>
  <si>
    <t>Monday: 9:30 AM to 3:30 PM; Tuesday: 9:30 AM to 3:30 PM; Wednesday: 9:30 AM to 3:30 PM; Thursday: 9:30 AM to 3:30 PM; Friday: 9:30 AM to 3:30 PM; Saturday: Closed; Sunday: Closed</t>
  </si>
  <si>
    <t>Provides community food distribution for people in need through a food bank/pantry model, with weekday operating hours.</t>
  </si>
  <si>
    <t>Review data show mixed experiences. Some reviewers describe friendly staff and helpful food; a recent 1-star review reports hours unreliability and difficulty contacting the center. Overall, review data indicate generally positive feedback but with notable inconsistencies in access reflected by the newest experience.</t>
  </si>
  <si>
    <t>accepted google identity: 14.2/15; review volume: 23.2/30; review consistency: 0.4/7; review freshness: 7.9/8; verified website: 0.0/15; confirmed irs record: 0.0/20; source corroboration: 1.7/5; Synthesis metadata: medium (not part of numeric confidence)</t>
  </si>
  <si>
    <t>3319 Summit Ave, Parkville, MD 21234</t>
  </si>
  <si>
    <t>(410) 661-6388</t>
  </si>
  <si>
    <t>Journey Church</t>
  </si>
  <si>
    <t>Wheelchair accessible entrance, parking, and restroom are available.</t>
  </si>
  <si>
    <t>Monday: 9 AM to 3 PM; Tuesday: 9 AM to 3 PM; Wednesday: 9 AM to 3 PM; Thursday: 9 AM to 3 PM; Friday: Closed; Saturday: Closed; Sunday: 9 AM to 5 PM</t>
  </si>
  <si>
    <t>Journey Church is a Parkville, MD church that holds weekly worship services and shares sermons, presenting itself as a welcoming faith community.</t>
  </si>
  <si>
    <t>http://www.journeychurchag.com/</t>
  </si>
  <si>
    <t>Review data describe Journey Church as a warm, welcoming church with a sense of community and a personable leadership. The most recent review highlights a friendly congregation and a pastor perceived as a gift, while noting the church’s relatively small size. Overall, the reviews portray positive, steady sentiment, though there are occasional mentions of financial needs or expectations for involvement. Field correction status indicates an address conflict in the listing, so some listing details may require verification.</t>
  </si>
  <si>
    <t>accepted google identity: 14.2/15; review volume: 13.3/30; review consistency: 7.0/7; review freshness: 2.2/8; verified website: 14.2/15; confirmed irs record: 0.0/20; source corroboration: 3.3/5; Synthesis metadata: high (not part of numeric confidence)</t>
  </si>
  <si>
    <t>Wheelchair accessible entrance, parking, and restroom; no intake/eligibility details evidenced.</t>
  </si>
  <si>
    <t>Epiphany Lutheran Church of Baltimore is a local Lutheran congregation that offers worship and community activities in Baltimore, including regular worship services and outreach to neighbors.</t>
  </si>
  <si>
    <t>Review data indicate a generally welcoming congregation with positive notes about warmth and community, especially highlighting volunteers and outreach. There is a single older review describing a negative interaction with a volunteer, but the newest reviews (2026) continue to reflect positive experiences and welcoming atmosphere.</t>
  </si>
  <si>
    <t>accepted google identity: 13.3/15; review volume: 27.6/30; review consistency: 3.5/7; review freshness: 5.1/8; verified website: 13.3/15; confirmed irs record: 0.0/20; source corroboration: 3.3/5; Synthesis metadata: high (not part of numeric confidence)</t>
  </si>
  <si>
    <t>6000 Radecke Ave, Baltimore, MD 21206</t>
  </si>
  <si>
    <t>(410) 325-3080</t>
  </si>
  <si>
    <t>Mount Pleasant Church and Ministries</t>
  </si>
  <si>
    <t>Monday: Closed; Tuesday: 9 AM to 5 PM; Wednesday: 9 AM to 5 PM; Thursday: 9 AM to 5 PM; Friday: 9 AM to 2 PM; Saturday: Closed; Sunday: 9 to 11 AM</t>
  </si>
  <si>
    <t>Mount Pleasant Church and Ministries is a church at 6000 Radecke Ave, Baltimore, offering worship with live streaming, including Sunday morning worship at 9:00 AM and Wednesday evening service at 7:00 PM.</t>
  </si>
  <si>
    <t>https://mountpleasant.org/</t>
  </si>
  <si>
    <t>Review data shows a generally positive impression, with praise for a welcoming community and meaningful worship. The newest feedback remains favorable, though a small number of newer reviews show mixed or lower ratings. Overall, the sentiment in the review data aligns with the high overall rating reported.</t>
  </si>
  <si>
    <t>accepted google identity: 14.2/15; review volume: 30.0/30; review consistency: 2.5/7; review freshness: 8.0/8; verified website: 14.2/15; confirmed irs record: 20.0/20; source corroboration: 5.0/5; Synthesis metadata: high (not part of numeric confidence)</t>
  </si>
  <si>
    <t>515 S Haven St, Baltimore, MD 21224</t>
  </si>
  <si>
    <t>(410) 558-0932</t>
  </si>
  <si>
    <t>Meals on Wheels of Central Maryland, Inc.</t>
  </si>
  <si>
    <t>Intake requires completing a meal-delivery application; the process collects income and contact information. Eligibility is not determined by SNAP benefits, per the application page. The site includes civil-rights assurances and instructions for providing income information and a contact person.</t>
  </si>
  <si>
    <t>Meals on Wheels of Central Maryland delivers nutritious meals to homebound adults in Central Maryland and provides safety checks, companionship, and related support to promote independence and well-being.</t>
  </si>
  <si>
    <t>http://www.mealsonwheelsmd.org/</t>
  </si>
  <si>
    <t>Review data show generally positive feedback about meal quality, delivery reliability, and staff friendliness, with a minority of complaints about communication or billing from older reviews. The most recent reviews continue to express satisfaction, indicating a stable positive trend in service delivery.</t>
  </si>
  <si>
    <t>accepted google identity: 13.3/15; review volume: 30.0/30; review consistency: 2.2/7; review freshness: 5.8/8; verified website: 13.3/15; confirmed irs record: 20.0/20; source corroboration: 5.0/5; Synthesis metadata: high (not part of numeric confidence)</t>
  </si>
  <si>
    <t>9515 Belair Rd, Baltimore, MD 21236</t>
  </si>
  <si>
    <t>(410) 256-6479</t>
  </si>
  <si>
    <t>Perry Hall United Methodist Church</t>
  </si>
  <si>
    <t>Food pantry sign-up required; eligibility limited to county residents.</t>
  </si>
  <si>
    <t>Monday: 9 AM to 1 PM; Tuesday: 9 AM to 1 PM; Wednesday: 9 AM to 1 PM; Thursday: 9 AM to 1 PM; Friday: 9 AM to 1 PM; Saturday: 9 AM to 12 PM; Sunday: 9 AM to 12 PM</t>
  </si>
  <si>
    <t>Perry Hall United Methodist Church operates as a local church offering weekly worship, Bible study, and music programs, along with active community outreach such as a food pantry and thrift shop.</t>
  </si>
  <si>
    <t>http://perryhallumc.org/</t>
  </si>
  <si>
    <t>Review data indicate a positive community presence with recurring mentions of the church’s outreach activities, such as the food pantry and thrift shop, as well as accessible programs and community events. When reviewers describe the experience, they focus on supportive services and welcoming community, with no clear negative trends in the available text. The newest reviews are brief, but the overall sentiment in the sample remains favorable.</t>
  </si>
  <si>
    <t>accepted google identity: 14.2/15; review volume: 26.4/30; review consistency: 5.4/7; review freshness: 6.7/8; verified website: 14.2/15; confirmed irs record: 0.0/20; source corroboration: 3.3/5; Synthesis metadata: high (not part of numeric confidence)</t>
  </si>
  <si>
    <t>800 S, 800 Oldham St, Baltimore, MD 21224</t>
  </si>
  <si>
    <t>(410) 327-0177</t>
  </si>
  <si>
    <t>Charm City Church of God</t>
  </si>
  <si>
    <t>Evidence shows hours for the East Baltimore Food Distribution Center on Tuesdays and Thursdays from 10:00 AM to 1:00 PM; basic site accessibility features include wheelchair-accessible entrance, parking, and restroom; a contact phone is listed. No formal eligibility or intake requirements are evidenced.</t>
  </si>
  <si>
    <t>Charm City Church of God operates a physical church location in Baltimore, with an affiliated East Baltimore Church of God – Food Distribution Center referenced in the listing.</t>
  </si>
  <si>
    <t>http://www.eastbaltimorechurchofgod.com/</t>
  </si>
  <si>
    <t>Review data indicate generally positive feedback with some variation; there is at least one low review in 2025, but more recent reviews are favorable, suggesting overall positive sentiment among current visitors.</t>
  </si>
  <si>
    <t>accepted google identity: 14.2/15; review volume: 24.0/30; review consistency: 1.6/7; review freshness: 6.7/8; verified website: 14.2/15; confirmed irs record: 0.0/20; source corroboration: 3.3/5; Synthesis metadata: medium (not part of numeric confidence)</t>
  </si>
  <si>
    <t>601 Hammonds Ln, Baltimore, MD 21225</t>
  </si>
  <si>
    <t>(410) 636-0123</t>
  </si>
  <si>
    <t>Compassion Place Ministries \ Lutheran Mission Society HQ</t>
  </si>
  <si>
    <t>Compassion Place (Lutheran Mission Society) operates a Maryland network of compassion centers that provide basic physical-needs support (food, clothing, shelter) and spiritual care to neighbors in the community.</t>
  </si>
  <si>
    <t>https://compassionplace.org/</t>
  </si>
  <si>
    <t>Review data shows an overall 4.4 rating from 9 reviews, but there is no usable text to summarize recurring themes. The listing is corroborated by multiple sources (official website and IRS Business Master File), and the organization appears operational with published hours. Because review content is too thin for theme extraction, reliability should be treated cautiously.</t>
  </si>
  <si>
    <t>accepted google identity: 14.2/15; review volume: 12.7/30; review consistency: 0.0/7; review freshness: 0.0/8; verified website: 14.2/15; confirmed irs record: 20.0/20; source corroboration: 5.0/5; Synthesis metadata: high (not part of numeric confidence)</t>
  </si>
  <si>
    <t>7400 German Hill Rd, Baltimore, MD 21222</t>
  </si>
  <si>
    <t>(410) 284-1353</t>
  </si>
  <si>
    <t>Synergy Community Church</t>
  </si>
  <si>
    <t>Monday: Closed; Tuesday: Closed; Wednesday: 6:30 to 9 PM; Thursday: Closed; Friday: Closed; Saturday: Closed; Sunday: 10:30 AM to 2 PM</t>
  </si>
  <si>
    <t>Synergy Community Church is a local faith community located at 7400 German Hill Rd, Baltimore, MD 21222, offering regular gatherings in a church setting.</t>
  </si>
  <si>
    <t>http://synergycc.us/</t>
  </si>
  <si>
    <t>Review data describe a welcoming, friendly atmosphere with open-hearted leadership and supportive programs. The most recent floating reviews are several months to years old, but the overall tone is positive and mentions of community and staff support appear consistently in the available text. While recency is limited, the gathered feedback suggests a favorable user experience based on the items that are accessible.</t>
  </si>
  <si>
    <t>accepted google identity: 14.2/15; review volume: 20.1/30; review consistency: 5.5/7; review freshness: 2.8/8; verified website: 14.2/15; confirmed irs record: 0.0/20; source corroboration: 3.3/5; Synthesis metadata: high (not part of numeric confidence)</t>
  </si>
  <si>
    <t>914 Middle River Rd, Middle River, MD 21220</t>
  </si>
  <si>
    <t>(410) 420-1011</t>
  </si>
  <si>
    <t>Freedom Church - Middle River Campus</t>
  </si>
  <si>
    <t>Public access with wheelchair accessible entrance, parking lot, and restroom.</t>
  </si>
  <si>
    <t>Freedom Church – Middle River Campus is a local Christian church with a Middle River, MD location. Evidence indicates it offers worship experiences and group activities, including teen and kid programs, and supports multiple campuses. The site directs visitors to find times, locations, and more info, suggesting regular gatherings and events for families and communities.</t>
  </si>
  <si>
    <t>http://myfreedom.org/</t>
  </si>
  <si>
    <t>Review data describe Freedom Church as welcoming with a strong sense of community and engaging worship, and they mention youth/teen programs. The newest reviews are highly positive, with consistent praise for friendliness and inclusivity; there is little negative feedback beyond a sparse older rating. Overall, the review data point to a positive, steady visitor experience.</t>
  </si>
  <si>
    <t>accepted google identity: 14.2/15; review volume: 28.8/30; review consistency: 3.9/7; review freshness: 7.7/8; verified website: 14.2/15; confirmed irs record: 0.0/20; source corroboration: 3.3/5; Synthesis metadata: high (not part of numeric confidence)</t>
  </si>
  <si>
    <t>438 Eastern Blvd, Essex, MD 21221</t>
  </si>
  <si>
    <t>(410) 391-6877</t>
  </si>
  <si>
    <t>LMS Compassion Place in Essex</t>
  </si>
  <si>
    <t>Monday: Closed; Tuesday: 10 AM to 3 PM; Wednesday: 10 AM to 3 PM; Thursday: 10 AM to 3 PM; Friday: 10 AM to 2 PM; Saturday: 10 AM to 2 PM; Sunday: Closed</t>
  </si>
  <si>
    <t>Compassion Place (LMS Compassion Place) provides community support through Compassion Center locations in Maryland, offering food, clothing, and other essential needs to neighbors, along with spiritual encouragement as part of its outreach.</t>
  </si>
  <si>
    <t>Review data show generally positive experiences with affordable prices and friendly staff, but some visitors report access issues such as doors not opening or unreturned calls. The newest reviews trend positive overall, though operational concerns persist for a subset of visitors.</t>
  </si>
  <si>
    <t>accepted google identity: 14.2/15; review volume: 28.8/30; review consistency: 0.0/7; review freshness: 7.6/8; verified website: 14.2/15; confirmed irs record: 0.0/20; source corroboration: 3.3/5; Synthesis metadata: high (not part of numeric confidence)</t>
  </si>
  <si>
    <t>1727 Lynch Rd, Baltimore, MD 21222</t>
  </si>
  <si>
    <t>(410) 284-6600</t>
  </si>
  <si>
    <t>Our Lady of Hope Church</t>
  </si>
  <si>
    <t>Our Lady of Hope Church is a Catholic church that serves as a place of worship and community gathering.</t>
  </si>
  <si>
    <t>https://shmstr.org/</t>
  </si>
  <si>
    <t>Review data from the listing shows consistently positive feedback, with recurring themes of a beautiful church, calm atmosphere, and strong sense of community. Recent reviews continue to reflect favorable impressions of the church and its leaders, indicating that newer reviews align with prior sentiment.</t>
  </si>
  <si>
    <t>accepted google identity: 14.2/15; review volume: 30.0/30; review consistency: 5.4/7; review freshness: 6.4/8; verified website: 14.2/15; confirmed irs record: 0.0/20; source corroboration: 3.3/5; Synthesis metadata: high (not part of numeric confidence)</t>
  </si>
  <si>
    <t>610 Middle River Rd, Middle River, MD 21220</t>
  </si>
  <si>
    <t>(410) 686-8810</t>
  </si>
  <si>
    <t>Middle River Baptist Church (MRBC)</t>
  </si>
  <si>
    <t>Monday: 8:30 AM to 4:30 PM; Tuesday: 8:30 AM to 4:30 PM; Wednesday: 8:30 AM to 4:30 PM, 5:30 to 9 PM; Thursday: 8:30 AM to 4:30 PM; Friday: Closed; Saturday: Closed; Sunday: 8:30 AM to 12 PM, 4 to 6:30 PM</t>
  </si>
  <si>
    <t>Middle River Baptist Church is a faith community that offers worship and family-focused programs, including a Child Development Center for children.</t>
  </si>
  <si>
    <t>http://www.middleriver.org/</t>
  </si>
  <si>
    <t>Review data portray MRBC as a welcoming faith community with praise for sermons and family programs, including a childcare component. One older review raised concerns about the childcare program, but the most recent reviews continue to express positive impressions. Overall, the review data suggests a positive and stable sentiment, though the childcare experience has had at least one critical account.</t>
  </si>
  <si>
    <t>7901 Bradshaw Rd, Upper Falls, MD 21156</t>
  </si>
  <si>
    <t>(410) 592-2543</t>
  </si>
  <si>
    <t>Salem United Methodist Church</t>
  </si>
  <si>
    <t>Pantry intake: call 410-592-2226 and leave a message; pantry hours: Monday, Wednesday, Friday 10:00 AM–12:00 PM. Donations to the pantry can be mailed as checks payable to Helping Hands Food Pantry c/o Salem United Methodist Church. Worship schedule (evidence from site): in-person worship at 8:00 AM (Chapel) and 10:45 AM (Sanctuary), with online worship Sundays at 10:45 AM; Evening Vespers Wednesdays at 6:30 PM.</t>
  </si>
  <si>
    <t>Sun 8:00 AM (Chapel); Sun 10:45 AM (Sanctuary) and Online Worship 10:45 AM; Wed 6:30 PM (Evening Vespers); Pantry hours: Mon, Wed, Fri 10:00 AM–12:00 PM</t>
  </si>
  <si>
    <t>Salem United Methodist Church is a faith community in Upper Falls that hosts in-person and online worship and operates the Helping Hands Food Pantry to serve local families.</t>
  </si>
  <si>
    <t>https://www.salemunited.org/</t>
  </si>
  <si>
    <t>Review data shows generally positive impressions from visitors, highlighting kind staff, welcoming atmosphere, and helpful pantry support. The newest available review lacks accompanying text, but earlier entries consistently describe helpful, friendly service. Overall, feedback available in the sample points in a consistently positive direction, though recent reporting is sparse.</t>
  </si>
  <si>
    <t>accepted google identity: 13.4/15; review volume: 17.8/30; review consistency: 3.7/7; review freshness: 3.0/8; verified website: 13.4/15; confirmed irs record: 0.0/20; source corroboration: 3.3/5; Synthesis metadata: high (not part of numeric confidence)</t>
  </si>
  <si>
    <t>1601 Old Eastern Ave, Essex, MD 21221</t>
  </si>
  <si>
    <t>(410) 686-9392</t>
  </si>
  <si>
    <t>St. Stephens A.M.E. Church</t>
  </si>
  <si>
    <t>St. Stephens A.M.E. Church is a local African Methodist Episcopal church serving the Essex community, with regular weekly hours.</t>
  </si>
  <si>
    <t>Review data show a welcoming church community and uplifting preaching as recurring positive themes. A negative review from 2025 mentions an issue during a food distribution event, but the majority of reviews express positive impressions; the newest reviews continue to reflect a favorable tone.</t>
  </si>
  <si>
    <t>accepted google identity: 14.2/15; review volume: 30.0/30; review consistency: 2.8/7; review freshness: 6.5/8; verified website: 0.0/15; confirmed irs record: 0.0/20; source corroboration: 1.7/5; Synthesis metadata: insufficient_evidence (not part of numeric confidence)</t>
  </si>
  <si>
    <t>3483 Liberty Pkwy, Dundalk, MD 21222</t>
  </si>
  <si>
    <t>(410) 282-1974</t>
  </si>
  <si>
    <t>Watersedge Baptist Church</t>
  </si>
  <si>
    <t>Sunday: Worship service at 11:00 am; Wednesday: Bible study/prayer meeting and youth activities at 6:00 pm</t>
  </si>
  <si>
    <t>Watersedge Baptist Church is a local congregation that hosts in-person worship, Bible study, youth programming (Kids for Christ), and community outreach activities at its Dundalk campus.</t>
  </si>
  <si>
    <t>https://watersedgebaptistchurch.org/</t>
  </si>
  <si>
    <t>Review data shows positive, welcoming feedback about the worship experience and ongoing community outreach, with the newest review continuing this favorable tone. The comments emphasize a comfortable worship environment and the church’s role in helping people in the community, including those facing addiction challenges. Overall, the available reviews convey consistent, favorable impressions of the church experience.</t>
  </si>
  <si>
    <t>accepted google identity: 14.2/15; review volume: 19.6/30; review consistency: 5.4/7; review freshness: 4.6/8; verified website: 14.2/15; confirmed irs record: 0.0/20; source corroboration: 3.3/5; Synthesis metadata: high (not part of numeric confidence)</t>
  </si>
  <si>
    <t>397 E Gude Dr, Rockville, MD 20850</t>
  </si>
  <si>
    <t>(301) 330-0222</t>
  </si>
  <si>
    <t>Nourish Now</t>
  </si>
  <si>
    <t>Off-site distribution locations with multiple sites and schedules; distributions are first-come, first-served; bring grocery bags or a cart if using public transportation; check back weekly for updates as new distribution locations are added.</t>
  </si>
  <si>
    <t>Nourish Now collects surplus food from local donors and donates it to children, families, seniors, and veterans in need in Montgomery County, Maryland and the DC metro area.</t>
  </si>
  <si>
    <t>http://nourishnow.org/</t>
  </si>
  <si>
    <t>Review data show a generally positive sentiment in the available reviews, with volunteers and supporters highlighting meaningful volunteer experiences, community impact, and personal growth. A few reviews are brief or mixed, but the newest feedback continues to reflect positive engagement and alignment with the organization’s mission.</t>
  </si>
  <si>
    <t>accepted google identity: 14.2/15; review volume: 27.6/30; review consistency: 4.7/7; review freshness: 6.3/8; verified website: 14.2/15; confirmed irs record: 0.0/20; source corroboration: 3.3/5; Synthesis metadata: high (not part of numeric confidence)</t>
  </si>
  <si>
    <t>3011 Ross Ave, Edgemere, MD 21219</t>
  </si>
  <si>
    <t>(410) 477-4149</t>
  </si>
  <si>
    <t>Edgemere Bible Church</t>
  </si>
  <si>
    <t>All are welcome; no intake or eligibility restrictions evidenced. In-person worship is offered (with online option for the 11:00 AM service), and a Family Bible School session is listed for Sundays, with a Wednesday Bible Study.</t>
  </si>
  <si>
    <t>Sunday: Bible School 10:00 AM; Worship Service 11:00 AM (in-person or online); Wednesday: Bible Study 6:30 PM (in-person)</t>
  </si>
  <si>
    <t>Edgemere Bible Church is a local congregation offering worship services and Bible study in Sparrows Point, with in-person gatherings and online options for worship accessible to guests and–as noted in site content–family Bible school and midweek study opportunities.</t>
  </si>
  <si>
    <t>https://www.edgemerebiblechurch.org/</t>
  </si>
  <si>
    <t>Review feedback portrays Edgemere Bible Church as welcoming and supportive, with praise for the pastor and community activities. Review text highlights kindness and outreach, though a single older review criticized preaching; overall, recent reviews remain positive and indicate a favorable, community-focused environment.</t>
  </si>
  <si>
    <t>accepted google identity: 14.2/15; review volume: 21.3/30; review consistency: 1.6/7; review freshness: 6.4/8; verified website: 14.2/15; confirmed irs record: 0.0/20; source corroboration: 3.3/5; Synthesis metadata: high (not part of numeric confidence)</t>
  </si>
  <si>
    <t>J &amp; C Unity Christian Church</t>
  </si>
  <si>
    <t>A church organization located at 7006 Graces Quarters Rd, Baltimore, MD 21220; operates as a faith‑based community organization.</t>
  </si>
  <si>
    <t>Review feedback was unavailable or too thin to summarize. The listing shows a very high overall rating based on a small, outdated sample, with no accessible text from recent reviews.</t>
  </si>
  <si>
    <t>accepted google identity: 14.2/15; review volume: 18.0/30; review consistency: 7.0/7; review freshness: 2.2/8; verified website: 0.0/15; confirmed irs record: 0.0/20; source corroboration: 1.7/5; Synthesis metadata: insufficient_evidence (not part of numeric confidence)</t>
  </si>
  <si>
    <t>2500 Conowingo Rd, Bel Air, MD 21015</t>
  </si>
  <si>
    <t>(410) 974-9296</t>
  </si>
  <si>
    <t>Lutheran Mission Society Hickory Compassion Center</t>
  </si>
  <si>
    <t>Donations accepted at center locations with center-specific hours; heavy items may require an appointment; call ahead to confirm donation eligibility and hours at a given location.</t>
  </si>
  <si>
    <t>Monday: Closed; Tuesday: 10 AM to 2 PM; Wednesday: 10 AM to 2 PM; Thursday: 10 AM to 2 PM; Friday: 10 AM to 2 PM; Saturday: Closed; Sunday: Closed</t>
  </si>
  <si>
    <t>Compassion Place centers operate across multiple Maryland locations to provide basic-need support, including food distribution and clothing/essential goods, along with faith-based outreach and community support.</t>
  </si>
  <si>
    <t>https://www.compassionplace.org/centers</t>
  </si>
  <si>
    <t>Review data show generally positive experiences at Compassion Place, with praise for friendly staff and affordable prices. Some recent notes mention donation rules and occasional limitations, but the overall feedback trend remains favorable across the latest reviews.</t>
  </si>
  <si>
    <t>accepted google identity: 14.2/15; review volume: 27.6/30; review consistency: 2.5/7; review freshness: 7.9/8; verified website: 14.2/15; confirmed irs record: 0.0/20; source corroboration: 3.3/5; Synthesis metadata: high (not part of numeric confidence)</t>
  </si>
  <si>
    <t>3799 East-West Hwy, West Hyattsville, MD 20782</t>
  </si>
  <si>
    <t>(301) 277-2302 ext. 23</t>
  </si>
  <si>
    <t>Lutheran Mission Society Hyattsville Compassion Center</t>
  </si>
  <si>
    <t>Wheelchair accessible entrance and parking documented.</t>
  </si>
  <si>
    <t>Monday: 10 AM to 4 PM; Tuesday: 10 AM to 4 PM; Wednesday: Closed; Thursday: Closed; Friday: Closed; Saturday: Closed; Sunday: Closed</t>
  </si>
  <si>
    <t>Compassion Center operated by Lutheran Mission Society, a physical site in Hyattsville that provides social services and charitable assistance to community members. Reviews describe accepting donations and distributing items to people in need, with some items also sold.</t>
  </si>
  <si>
    <t>Review data indicate positive sentiment about the center, with comments about donating items and receiving assistance. The newest available review is from 2024, and the overall sample is small, so the reliability signal is limited and should be interpreted with caution.</t>
  </si>
  <si>
    <t>accepted google identity: 14.2/15; review volume: 12.7/30; review consistency: 7.0/7; review freshness: 1.6/8; verified website: 0.0/15; confirmed irs record: 0.0/20; source corroboration: 1.7/5; Synthesis metadata: insufficient_evidence (not part of numeric confidence)</t>
  </si>
  <si>
    <t>Food pantry access: first come, first served; no ID required; quantities limited. Office hours listed for the church are 8:00 am–2:00 pm on weekdays. Calendar details for worship and pantry are taken from the official site and Google Maps listing.</t>
  </si>
  <si>
    <t>Grace United Methodist Church (110 W Bel Air Ave, Aberdeen, MD) offers in-person worship services and Sunday School (9:00 am worship with 10:30 am Sunday School) and runs a community food pantry, with Wednesdays 4:30–6:00 pm noted on the site. Weekday office hours are listed as 8:00 am–2:00 pm.</t>
  </si>
  <si>
    <t>Review data describe a welcoming church community with friendly staff and helpful volunteers; many reviewers note feeling at home and appreciated. The newest available reviews continue to reflect positive experiences, though some recent entries have no accompanying text. Overall, the visible review data point to consistently favorable impressions.</t>
  </si>
  <si>
    <t>accepted google identity: 14.2/15; review volume: 25.2/30; review consistency: 7.0/7; review freshness: 5.4/8; verified website: 14.2/15; confirmed irs record: 0.0/20; source corroboration: 3.3/5; Synthesis metadata: medium (not part of numeric confidence)</t>
  </si>
  <si>
    <t>230 West St, Annapolis, MD 21401</t>
  </si>
  <si>
    <t>(410) 269-5016</t>
  </si>
  <si>
    <t>LMS Compassion Place in Annapolis</t>
  </si>
  <si>
    <t>Onsite services are available. Heavy-item donations require an appointment. Wheelchair-accessible entrance and parking are available. Clothing recycling is accepted.</t>
  </si>
  <si>
    <t>Monday: 9 AM to 4 PM; Tuesday: 9 AM to 4 PM; Wednesday: 9 AM to 4 PM; Thursday: 9 AM to 4 PM; Friday: 9 AM to 4 PM; Saturday: 10 AM to 2 PM; Sunday: Closed</t>
  </si>
  <si>
    <t>Compassion Place operates a Maryland charitable network that provides for neighbors’ physical and spiritual needs, including food, clothing, shelter, and other essentials, through local centers and donation activities with a Christian mission.</t>
  </si>
  <si>
    <t>Review data show customers repeatedly describe staff as kind and helpful, with good value and a welcoming atmosphere. A few older reviews note disorganization or crowded spaces, but newer feedback remains largely positive about the staff and experience.</t>
  </si>
  <si>
    <t>accepted google identity: 14.2/15; review volume: 30.0/30; review consistency: 3.2/7; review freshness: 7.2/8; verified website: 14.2/15; confirmed irs record: 0.0/20; source corroboration: 3.3/5; Synthesis metadata: high (not part of numeric confidence)</t>
  </si>
  <si>
    <t>1827 Wiltberger St NW, Washington, DC 20001</t>
  </si>
  <si>
    <t>(202) 682-2245</t>
  </si>
  <si>
    <t>The DC LGBTQ+ Community Center</t>
  </si>
  <si>
    <t>Monday: 12 to 6 PM; Tuesday: 12 to 6 PM; Wednesday: 12 to 6 PM; Thursday: 12 to 6 PM; Friday: 12 to 6 PM; Saturday: 11 AM to 3 PM; Sunday: Closed</t>
  </si>
  <si>
    <t>The DC LGBTQ+ Community Center provides a welcoming space for LGBTQ+ communities in Washington, DC, with programming focused on health and wellness, arts and culture, social and peer support, and community advocacy.</t>
  </si>
  <si>
    <t>http://www.thedccenter.org/</t>
  </si>
  <si>
    <t>Review data describe the center as a welcoming space for the LGBTQ+ community, with many positive notes about gathering and events. There is at least one negative review detailing a canceled career workshop and poor communication, suggesting occasional organizational gaps. The newest reviews are about 88 days old, and overall sentiment appears mixed but leaning positive.</t>
  </si>
  <si>
    <t>accepted google identity: 14.2/15; review volume: 30.0/30; review consistency: 1.4/7; review freshness: 6.8/8; verified website: 14.2/15; confirmed irs record: 0.0/20; source corroboration: 3.3/5; Synthesis metadata: medium (not part of numeric confidence)</t>
  </si>
  <si>
    <t>531 Legion Dr, Havre De Grace, MD 21078</t>
  </si>
  <si>
    <t>(410) 939-0879</t>
  </si>
  <si>
    <t>Lutheran Mission Society Havre de Grace Compassion Center</t>
  </si>
  <si>
    <t>Onsite services available. Wheelchair accessible entrance and parking.</t>
  </si>
  <si>
    <t>Lutheran Mission Society Havre de Grace Compassion Center is a physical community service location that provides onsite social services. It operates at 531 Legion Dr, Havre De Grace, MD and is categorized as a social services organization based on the listing.</t>
  </si>
  <si>
    <t>Review data show consistently positive feedback highlighting helpful volunteers and a welcoming atmosphere; the newest sample reviews are from 2025, but the reviews are several months old, and there is a limited recent activity signal, which tempers confidence in current operations.</t>
  </si>
  <si>
    <t>accepted google identity: 14.2/15; review volume: 24.0/30; review consistency: 7.0/7; review freshness: 3.0/8; verified website: 0.0/15; confirmed irs record: 0.0/20; source corroboration: 1.7/5; Synthesis metadata: insufficient_evidence (not part of numeric confidence)</t>
  </si>
  <si>
    <t>Liberty Seventh-day Adventist Church</t>
  </si>
  <si>
    <t>All are welcome; no eligibility restrictions described.</t>
  </si>
  <si>
    <t>Church Service: Saturdays 11:00 am; Bible Study: Saturdays 9:15 am; Prayer Meeting: Wednesdays 7:15 pm</t>
  </si>
  <si>
    <t>Liberty Seventh-day Adventist Church is a faith community that conducts worship services, Bible study, and prayer meetings, and operates a monthly food kitchen to support neighbors.</t>
  </si>
  <si>
    <t>http://www.libertysda.org/</t>
  </si>
  <si>
    <t>Review data show a generally positive perception with frequent praise for welcoming worship and active community programs. Review feedback highlights the church’s ongoing outreach, including the monthly food kitchen and health-related events mentioned by readers. A smaller number of reviews note changes in branding or sanctuary setup, but recent feedback does not indicate a drop in overall satisfaction.</t>
  </si>
  <si>
    <t>accepted google identity: 14.2/15; review volume: 30.0/30; review consistency: 3.4/7; review freshness: 7.5/8; verified website: 14.2/15; confirmed irs record: 0.0/20; source corroboration: 3.3/5; Synthesis metadata: high (not part of numeric confidence)</t>
  </si>
  <si>
    <t>305 N Kent St, Chestertown, MD 21620</t>
  </si>
  <si>
    <t>(410) 778-4333</t>
  </si>
  <si>
    <t>Chestertown Seventh-day Adventist Church</t>
  </si>
  <si>
    <t>Monday: Closed; Tuesday: 10 AM to 12 PM; Wednesday: 6:30 to 8:15 PM; Thursday: Closed; Friday: Closed; Saturday: 9:15 AM to 1 PM; Sunday: Closed</t>
  </si>
  <si>
    <t>Chestertown SDA Church is a local Seventh-day Adventist congregation offering in-person worship and Bible study, with weekly Sabbath School and Worship Service on Saturdays.</t>
  </si>
  <si>
    <t>https://chestertownmd.adventistchurch.org/</t>
  </si>
  <si>
    <t>Reviews for this listing describe the church as friendly and welcoming, with multiple positive statements in the recent sample. The newest review dates back about a year, so current impressions may not be reflected; there is no recorded owner responsiveness to reviews.</t>
  </si>
  <si>
    <t>accepted google identity: 14.2/15; review volume: 20.1/30; review consistency: 7.0/7; review freshness: 4.0/8; verified website: 14.2/15; confirmed irs record: 0.0/20; source corroboration: 3.3/5; Synthesis metadata: medium (not part of numeric confidence)</t>
  </si>
  <si>
    <t>15045 Burnt Store Rd, Hughesville, MD 20637</t>
  </si>
  <si>
    <t>(301) 274-1922</t>
  </si>
  <si>
    <t>Tri-County Council for Southern Maryland</t>
  </si>
  <si>
    <t>Regional workforce development and business services organization that operates Southern Maryland JobSource and four American Job Centers to help job seekers and local employers with training, recruitment, and related support.</t>
  </si>
  <si>
    <t>http://www.tccsmd.org/</t>
  </si>
  <si>
    <t>Review data is sparse: Google Maps shows two public reviews with high ratings, but there is no accessible text to summarize reviewer experiences. The deterministic review quality score is very high, yet no review text is available to identify recurring themes. The official site and listings indicate verified hours and services, but user feedback usable for qualitative reliability is too thin to draw strong conclusions.</t>
  </si>
  <si>
    <t>21537 Great Mills Rd, Lexington Park, MD 20653</t>
  </si>
  <si>
    <t>(240) 577-5767</t>
  </si>
  <si>
    <t>Abundant Life Christian Outreach Center</t>
  </si>
  <si>
    <t>Sunday 11:00 am; Wednesday 6:30 pm (Prayer) and 7:00 pm (Bible Study)</t>
  </si>
  <si>
    <t>Abundant Life Christian Outreach Center is a local church in Lexington Park that hosts worship services and midweek prayer and Bible study gatherings for the community.</t>
  </si>
  <si>
    <t>http://www.alcocministry.com/</t>
  </si>
  <si>
    <t>Reviews describe a warm, supportive community and personal guidance, including caring support during difficult times. The most recent review in the available data highlights the church’s positive impact on the community, and the listing shows a favorable overall impression. Because the sample of reviews is small, however, this feedback may not fully reflect current conditions.</t>
  </si>
  <si>
    <t>accepted google identity: 14.2/15; review volume: 11.1/30; review consistency: 7.0/7; review freshness: 2.1/8; verified website: 14.2/15; confirmed irs record: 0.0/20; source corroboration: 3.3/5; Synthesis metadata: medium (not part of numeric confidence)</t>
  </si>
  <si>
    <t>398 Philos Ave, Westernport, MD 21562</t>
  </si>
  <si>
    <t>(301) 359-9706</t>
  </si>
  <si>
    <t>Bruce Outreach Center</t>
  </si>
  <si>
    <t>Wheelchair accessible entrance, parking, and restroom documented.</t>
  </si>
  <si>
    <t>Monday: 10 AM to 1 PM; Tuesday: 10 AM to 1 PM; Wednesday: 4 to 6 PM; Thursday: Closed; Friday: Closed; Saturday: 10 AM to 1 PM; Sunday: Closed</t>
  </si>
  <si>
    <t>Bruce Outreach Center is a physical community space categorized as a church.</t>
  </si>
  <si>
    <t>Review data from Google Maps shows generally positive feedback for Bruce Outreach Center, with recent comments highlighting favorable experiences and a sense of community. One older review expresses concerns about staff and leadership in a related program, contrasting with the more positive recent feedback. Overall, the newest reviews trend positive, but the small sample size means reliability is moderate.</t>
  </si>
  <si>
    <t>accepted google identity: 13.4/15; review volume: 24.0/30; review consistency: 1.4/7; review freshness: 7.4/8; verified website: 0.0/15; confirmed irs record: 0.0/20; source corroboration: 1.7/5; Synthesis metadata: medium (not part of numeric confidence)</t>
  </si>
  <si>
    <t>3210 SE Corporate Woods Dr, Ankeny, IA 50021</t>
  </si>
  <si>
    <t>(877) 508-6667</t>
  </si>
  <si>
    <t>Mom's Meals</t>
  </si>
  <si>
    <t>Monday: 8 AM to 6 PM; Tuesday: 8 AM to 6 PM; Wednesday: 8 AM to 6 PM; Thursday: 8 AM to 6 PM; Friday: 8 AM to 6 PM; Saturday: Closed; Sunday: Closed</t>
  </si>
  <si>
    <t>Mom’s Meals provides home-delivered, medically tailored meals and related nutrition services to support health at home, including nutrition counseling, nutrition education, produce boxes, and pantry boxes.</t>
  </si>
  <si>
    <t>https://www.momsmeals.com/?utm_medium=organic&amp;utm_source=google&amp;utm_content=google-business</t>
  </si>
  <si>
    <t>Review data from the primary reliability input show a mix of experiences. Reviewers frequently praise tasty meals and the availability of nutrition services, with some noting convenience and dietary options. However, recurring concerns in recent feedback include late deliveries, perceived poor customer service, and variability in meal quality. The newest reviews include both highly positive and highly negative experiences, indicating no clear, consistent trend in performance.</t>
  </si>
  <si>
    <t>accepted google identity: 14.2/15; review volume: 30.0/30; review consistency: 0.9/7; review freshness: 8.0/8; verified website: 14.2/15; confirmed irs record: 0.0/20; source corroboration: 3.3/5; Synthesis metadata: insufficient_evidence (not part of numeric confidence)</t>
  </si>
  <si>
    <t>2032 Highland Ave E, Twin Falls, ID 83301</t>
  </si>
  <si>
    <t>(866) 735-0921</t>
  </si>
  <si>
    <t>Homestyle Direct</t>
  </si>
  <si>
    <t>Eligibility generally includes Medicaid or Medicare Advantage benefits or self-pay; intake often handled via case managers who can provide member referrals.</t>
  </si>
  <si>
    <t>Monday: 7:30 AM to 4:30 PM; Tuesday: 7:30 AM to 4:30 PM; Wednesday: 7:30 AM to 4:30 PM; Thursday: 7:30 AM to 4:30 PM; Friday: 7:30 AM to 4:30 PM; Saturday: Closed; Sunday: Closed</t>
  </si>
  <si>
    <t>Homestyle Direct provides medically tailored, home-delivered frozen meals for Medicaid and Medicare Advantage beneficiaries, plus self-pay customers. Meals are designed by licensed dietitians to support chronic health conditions and are delivered nationwide by FedEx.</t>
  </si>
  <si>
    <t>http://www.homestyledirect.com/</t>
  </si>
  <si>
    <t>Review data show many customers praise the meals for taste and ease of preparation, and that the service supports dietary needs. Recurring concerns include inconsistent portions, changes to menu items, and occasional quality issues, with the newest reviews showing mixed feedback but no clear negative shift.</t>
  </si>
  <si>
    <t>accepted google identity: 14.2/15; review volume: 30.0/30; review consistency: 1.2/7; review freshness: 8.0/8; verified website: 14.2/15; confirmed irs record: 0.0/20; source corroboration: 3.3/5; Synthesis metadata: high (not part of numeric confidence)</t>
  </si>
  <si>
    <t>1550 Caton Center Dr, Baltimore, MD 21227</t>
  </si>
  <si>
    <t>(443) 433-2416</t>
  </si>
  <si>
    <t>Happy Helpers For The Homeless</t>
  </si>
  <si>
    <t>Eligibility: served populations include homeless and poverty‑stricken individuals; distribution events are location‑based with no stated formal intake requirements.</t>
  </si>
  <si>
    <t>Saturdays 1:00 PM – 2:00 PM at Harundale Presbyterian Church Parking Lot; Sundays 12:00 PM – 12:20 PM at Harundale Presbyterian Church IN FRONT; First Sunday of every month 10:30 AM – Noon in front of Our Daily Bread in Baltimore</t>
  </si>
  <si>
    <t>All‑volunteer charity that distributes food and basic necessities to people in need in the Baltimore area, with weekend food distributions at Harundale Presbyterian Church and occasional outreach events (including a First Sunday distribution near Our Daily Bread in Baltimore).</t>
  </si>
  <si>
    <t>https://happyhelpersforthehomeless.com/</t>
  </si>
  <si>
    <t>Review data shows three 5‑star reviews with messages of gratitude for local support and community help. The newest review is from about 445 days ago, and the overall tone across the reviews is consistently positive, emphasizing appreciation for volunteers and the help provided.</t>
  </si>
  <si>
    <t>accepted google identity: 14.2/15; review volume: 11.3/30; review consistency: 7.0/7; review freshness: 3.4/8; verified website: 14.2/15; confirmed irs record: 0.0/20; source corroboration: 3.3/5; Synthesis metadata: high (not part of numeric confidence)</t>
  </si>
  <si>
    <t>Baltimore County Courts Building, 401 Bosley Ave, Towson, MD 21204</t>
  </si>
  <si>
    <t>(410) 887-6600</t>
  </si>
  <si>
    <t>Baltimore County State's Attorney's Office</t>
  </si>
  <si>
    <t>Baltimore County State's Attorney's Office is a county government office located at 401 Bosley Ave, Towson, MD 21204, in the Baltimore County Courts Building.</t>
  </si>
  <si>
    <t>https://www.baltimorecountymd.gov/departments/states-attorney/</t>
  </si>
  <si>
    <t>Review data shows mixed experiences. Recurring concerns include unresponsiveness, perceived disrespect, and inconsistent communication from staff, while a minority of reviewers describe fair treatment and professionalism. The newest reviews continue to reflect a mix of positive and negative experiences, with no clear trend toward improvement or decline. The office is operational according to the reported business status.</t>
  </si>
  <si>
    <t>accepted google identity: 14.2/15; review volume: 30.0/30; review consistency: 0.6/7; review freshness: 7.7/8; verified website: 14.2/15; confirmed irs record: 0.0/20; source corroboration: 3.3/5; Synthesis metadata: medium (not part of numeric confidence)</t>
  </si>
  <si>
    <t>3451 Court House Dr, Ellicott City, MD 21043</t>
  </si>
  <si>
    <t>(410) 480-1057</t>
  </si>
  <si>
    <t>Maryland Legal Aid - Howard County Office</t>
  </si>
  <si>
    <t>Intake is via the main intake line (888-465-2468); Walk-in intake hours vary by office; For the Howard County Office, walk-in intake is CLOSED; Office hours are Monday–Friday 9:00 AM–5:00 PM; Local phone: (410) 480-1057.</t>
  </si>
  <si>
    <t>Maryland Legal Aid's Howard County Office provides legal services and civil legal aid assistance for residents.</t>
  </si>
  <si>
    <t>https://www.mdlab.org/contact-us/</t>
  </si>
  <si>
    <t>Review feedback for this listing is thin. The available sample shows a single 5-star review from January 2024 with no text, and the overall public rating is 3.5 out of 5 across eight reviews. Because there is limited narrative review data, there is insufficient evidence to identify consistent themes in user experiences, and trends cannot be confidently established.</t>
  </si>
  <si>
    <t>accepted google identity: 14.6/15; review volume: 13.3/30; review consistency: 7.0/7; review freshness: 1.3/8; verified website: 14.6/15; confirmed irs record: 0.0/20; source corroboration: 3.3/5; Synthesis metadata: medium (not part of numeric confidence)</t>
  </si>
  <si>
    <t>31 Hopkins Pl #1236, Baltimore, MD 21201</t>
  </si>
  <si>
    <t>(410) 230-4470</t>
  </si>
  <si>
    <t>Paralyzed Veterans of America</t>
  </si>
  <si>
    <t>Accessibility features: Wheelchair accessible entrance; Wheelchair accessible parking. No eligibility, intake, or referral requirements evidenced.</t>
  </si>
  <si>
    <t>Paralyzed Veterans of America is a congressionally chartered veterans service organization focused on helping veterans with spinal cord injuries and related conditions (SCI/D) and other diseases, with a mission to improve health care, benefits, and independence.</t>
  </si>
  <si>
    <t>https://pva.org/</t>
  </si>
  <si>
    <t>Review data for this listing is very sparse. There is one public review with a low rating and a low review-quality signal, making it difficult to draw conclusions about typical experiences or service consistency. No recent or corroborating review data is available to establish a broader pattern.</t>
  </si>
  <si>
    <t>31 Hopkins Pl #1229, Baltimore, MD 21201</t>
  </si>
  <si>
    <t>(410) 230-4440</t>
  </si>
  <si>
    <t>Disabled American Veterans</t>
  </si>
  <si>
    <t>Monday: 8:30 AM to 3:45 PM; Tuesday: 8:30 AM to 3:45 PM; Wednesday: 8:30 AM to 3:45 PM; Thursday: 8:30 AM to 3:45 PM; Friday: 8:30 AM to 3:45 PM; Saturday: Closed; Sunday: Closed</t>
  </si>
  <si>
    <t>Baltimore office of Disabled American Veterans, a local veterans organization with a physical office serving veterans.</t>
  </si>
  <si>
    <t>https://dav7bowiemd.org/?ai1ec_event=dav-mobile-service-office-glen-burnie-va-outpatient-clinic-2</t>
  </si>
  <si>
    <t>Review data show a pattern of negative experiences in the office, with multiple reports describing difficulty reaching staff, missed or incomplete filings, and unhelpful responses. A small subset of reviews mention positive interactions with individual staff, but the newest feedback continues to reflect frustration. Overall, the review data indicate ongoing concerns about responsiveness and service quality.</t>
  </si>
  <si>
    <t>accepted google identity: 14.2/15; review volume: 30.0/30; review consistency: 1.7/7; review freshness: 5.2/8; verified website: 14.2/15; confirmed irs record: 0.0/20; source corroboration: 3.3/5; Synthesis metadata: low (not part of numeric confidence)</t>
  </si>
  <si>
    <t>(800) 827-4839</t>
  </si>
  <si>
    <t>Maryland Department of Labor</t>
  </si>
  <si>
    <t>Eligibility includes filing for unemployment benefits if unemployed through no fault of your own; be prepared with personal information and last 18 months of employment history; file a claim online via BEACON or by phone; certify weekly; register for Maryland Workforce Exchange; in-person help is available at American Job Centers or Division of Unemployment Insurance kiosks.</t>
  </si>
  <si>
    <t>Maryland Department of Labor’s Division of Unemployment Insurance administers unemployment benefits, guides claim filing and weekly certifications, and connects claimants and employers with reemployment resources through online portals and American Job Centers.</t>
  </si>
  <si>
    <t>https://labor.maryland.gov/employment/unemployment.shtml</t>
  </si>
  <si>
    <t>Review data show a mix of positive and negative experiences. Some reviewers describe helpful staff and clear direction to resources, while many recent reviews criticize long wait times, call-line issues, and delays in unemployment benefit processing. The newest reviews are varied but overall indicate ongoing frustrations, with a few recent posts noting improvements or polite staff.</t>
  </si>
  <si>
    <t>accepted google identity: 13.3/15; review volume: 30.0/30; review consistency: 1.0/7; review freshness: 7.6/8; verified website: 13.3/15; confirmed irs record: 0.0/20; source corroboration: 3.3/5; Synthesis metadata: medium (not part of numeric confidence)</t>
  </si>
  <si>
    <t>101 N Gay St # J, Baltimore, MD 21202</t>
  </si>
  <si>
    <t>(410) 752-6474</t>
  </si>
  <si>
    <t>Veterans of Foreign Wars</t>
  </si>
  <si>
    <t>Most inquiries are answered via the FAQ page; for additional questions, use the contact form on the official site.</t>
  </si>
  <si>
    <t>The Veterans of Foreign Wars (VFW) is a national veterans service organization based in Baltimore that provides programs and services to support veterans, service members, and their families.</t>
  </si>
  <si>
    <t>https://www.vfw.org/</t>
  </si>
  <si>
    <t>Review data show two recent, highly positive reviews focused on the organization’s historical presence and relevance to veterans. While the sample is small, the listing is operational and has a verified website, which supports credibility. Overall, the review data suggest favorable impressions but should be interpreted with caution due to limited volume.</t>
  </si>
  <si>
    <t>accepted google identity: 14.2/15; review volume: 10.1/30; review consistency: 7.0/7; review freshness: 7.5/8; verified website: 14.2/15; confirmed irs record: 20.0/20; source corroboration: 5.0/5; Synthesis metadata: high (not part of numeric confidence)</t>
  </si>
  <si>
    <t>200 E Wells St, Baltimore, MD 21230</t>
  </si>
  <si>
    <t>(410) 659-9314</t>
  </si>
  <si>
    <t>National Federation-The Blind</t>
  </si>
  <si>
    <t>Baltimore-based facility of the National Federation of the Blind that provides social services and programs for the blind community.</t>
  </si>
  <si>
    <t>Review data for this listing are predominantly positive, with comments highlighting helpful programs and a well-maintained facility. The most recent feedback is favorable, though one mid-2025 review shows a more neutral rating, suggesting some variability over time. Overall, the available review data indicate steady satisfaction among users.</t>
  </si>
  <si>
    <t>accepted google identity: 14.2/15; review volume: 27.6/30; review consistency: 4.7/7; review freshness: 7.1/8; verified website: 0.0/15; confirmed irs record: 0.0/20; source corroboration: 1.7/5; Synthesis metadata: high (not part of numeric confidence)</t>
  </si>
  <si>
    <t>8719 Colesville Rd #100, Silver Spring, MD 20910</t>
  </si>
  <si>
    <t>(301) 585-4000</t>
  </si>
  <si>
    <t>Vietnam Veterans of America</t>
  </si>
  <si>
    <t>Vietnam Veterans of America (VVA) is a national veterans service organization offering veteran services, claims assistance, and outreach/advocacy. Evidence points to work on Agent Orange exposure, PTSD and related issues, and programs for homeless veterans.</t>
  </si>
  <si>
    <t>https://vva.org/</t>
  </si>
  <si>
    <t>Review data from Google Maps shows a mix of positive and negative experiences. Many reviewers report courteous drivers and on-time pickups for donations, while others describe delays, miscommunications, or items being mishandled. The newest reviews are positive, but older reviews highlight recurring issues, suggesting a mixed track record with some improvements over time.</t>
  </si>
  <si>
    <t>accepted google identity: 13.4/15; review volume: 30.0/30; review consistency: 0.4/7; review freshness: 7.1/8; verified website: 13.4/15; confirmed irs record: 20.0/20; source corroboration: 5.0/5; Synthesis metadata: high (not part of numeric confidence)</t>
  </si>
  <si>
    <t>2101 L St NW #225, Washington, DC 20037</t>
  </si>
  <si>
    <t>(888) 838-7727</t>
  </si>
  <si>
    <t>The Veterans Consortium Pro Bono Program</t>
  </si>
  <si>
    <t>Eligibility: qualifying veterans and family members can access services. Intake is online; potential clients must complete an online intake form and cooperate with records review. If matched, volunteers handle the case; if not qualified, clients are referred to additional resources (e.g., Stateside Legal) for local legal resources.</t>
  </si>
  <si>
    <t>The Veterans Consortium Pro Bono Program provides free legal representation to qualifying veterans and family members in appeals before the U.S. Court of Appeals for Veterans Claims, pairing clients with volunteer attorneys and offering training in veterans law.</t>
  </si>
  <si>
    <t>http://www.vetsprobono.org/</t>
  </si>
  <si>
    <t>Review data show a mix of experiences. Several reviews describe unhelpful responsiveness or generic guidance, while a smaller subset reports positive outcomes where staff were helpful and prompt. The newest reviews trend toward dissatisfaction, suggesting ongoing concerns about reliability and communication in some cases.</t>
  </si>
  <si>
    <t>accepted google identity: 13.3/15; review volume: 26.0/30; review consistency: 0.7/7; review freshness: 6.0/8; verified website: 13.3/15; confirmed irs record: 0.0/20; source corroboration: 3.3/5; Synthesis metadata: insufficient_evidence (not part of numeric confidence)</t>
  </si>
  <si>
    <t>535 Stone Cutters Way #202, Montpelier, VT 05602</t>
  </si>
  <si>
    <t>(802) 229-2306</t>
  </si>
  <si>
    <t>Craft Emergency Relief Fund</t>
  </si>
  <si>
    <t>The Craft Emergency Relief Fund (CERF+) provides support and resources for craft artists in disaster and emergency situations, including readiness education and grants designed to help artists prepare for, recover from, and navigate emergencies.</t>
  </si>
  <si>
    <t>https://cerfplus.org/</t>
  </si>
  <si>
    <t>There are no published Google Maps reviews for this listing, so review data is unavailable. The listing and official website indicate CERF+ offers emergency relief and readiness resources for craft artists, but user-experience data is not available to characterize satisfaction or performance. Overall, reliability signals are limited due to the lack of reviews.</t>
  </si>
  <si>
    <t>101 N Court St Pd, Westminster, MD 21157</t>
  </si>
  <si>
    <t>(410) 871-3636</t>
  </si>
  <si>
    <t>Public Defender's Office</t>
  </si>
  <si>
    <t>The Maryland Public Defender's Office provides public defense services in Maryland court proceedings, with a physical office in Westminster.</t>
  </si>
  <si>
    <t>http://www.opd.state.md.us/</t>
  </si>
  <si>
    <t>Review data from the available reliability sources show a small number of reviews with negative sentiment in the visible sample. One user describes not being notified about a verdict, highlighting a concern about communication. The newest review is several years old, and there is no clear indication of recent feedback, so the data provides only a tentative view of current performance. Overall, the review data suggests caution in interpreting the listing's reliability.</t>
  </si>
  <si>
    <t>accepted google identity: 14.2/15; review volume: 10.1/30; review consistency: 7.0/7; review freshness: 1.0/8; verified website: 14.2/15; confirmed irs record: 0.0/20; source corroboration: 3.3/5; Synthesis metadata: medium (not part of numeric confidence)</t>
  </si>
  <si>
    <t>102 W Pennsylvania Ave #100, Towson, MD 21204</t>
  </si>
  <si>
    <t>(410) 321-8761</t>
  </si>
  <si>
    <t>Women's Law Center of Maryland</t>
  </si>
  <si>
    <t>Legal aid organization delivering direct legal representation, information and referral services, and legislative advocacy to women and survivors of violence in Maryland.</t>
  </si>
  <si>
    <t>http://www.wlcmd.org/</t>
  </si>
  <si>
    <t>Review data show generally favorable experiences with staff providing legal help to survivors, with frequent praise for clear guidance and advocacy; a small subset report negative intake interactions. The newest reviews include a strongly negative intake encounter, while many prior reviews remain positive, indicating mixed but overall supportive sentiment.</t>
  </si>
  <si>
    <t>4805 Mt Hope Dr, Baltimore, MD 21215</t>
  </si>
  <si>
    <t>(410) 580-5777</t>
  </si>
  <si>
    <t>NAACP</t>
  </si>
  <si>
    <t>A national civil rights organization focused on voting rights, democracy, and social justice. It conducts advocacy, provides Know Your Rights information, and mobilizes supporters for civic engagement.</t>
  </si>
  <si>
    <t>https://naacp.org/</t>
  </si>
  <si>
    <t>Review data shows a mixed pattern: some reviewers report helpful responses and updates about membership or renewal, while others express frustration with outreach or follow-up. The recent reviews are infrequent (latest around 157 days ago) and reflect both positive and negative experiences. Overall, the feedback suggests variable experiences, with no clear consensus on current responsiveness.</t>
  </si>
  <si>
    <t>accepted google identity: 14.2/15; review volume: 27.6/30; review consistency: 1.2/7; review freshness: 5.9/8; verified website: 14.2/15; confirmed irs record: 0.0/20; source corroboration: 3.3/5; Synthesis metadata: high (not part of numeric confidence)</t>
  </si>
  <si>
    <t>5700 Wabash Ave, Baltimore, MD 21215</t>
  </si>
  <si>
    <t>(410) 878-8114</t>
  </si>
  <si>
    <t>Wabash Public Defenders Office</t>
  </si>
  <si>
    <t>Public defender's office serving as the legal defense provider for eligible clients in Maryland.</t>
  </si>
  <si>
    <t>Review data show a small sample of mainly negative feedback and a low overall rating, with a cited issue about a nonworking phone number. The newest review is more than a year old, and there are few corroborating reports, so the picture is likely not comprehensive. Overall, the review data suggest accessibility and communication concerns, but conclusions are limited by the tiny sample.</t>
  </si>
  <si>
    <t>accepted google identity: 14.2/15; review volume: 10.1/30; review consistency: 7.0/7; review freshness: 3.0/8; verified website: 0.0/15; confirmed irs record: 0.0/20; source corroboration: 1.7/5; Synthesis metadata: insufficient_evidence (not part of numeric confidence)</t>
  </si>
  <si>
    <t>401 Bosley Ave, Towson, MD 21204</t>
  </si>
  <si>
    <t>(410) 337-9103</t>
  </si>
  <si>
    <t>Baltimore County Bar Association Inc</t>
  </si>
  <si>
    <t>Baltimore County Bar Association is a professional association for attorneys in Baltimore County that promotes ethical conduct, professionalism, and public understanding of the legal system, while providing resources to support the legal profession and the community.</t>
  </si>
  <si>
    <t>http://bcba.org/</t>
  </si>
  <si>
    <t>Google Maps reviews indicate an overall positive rating of 4.4 from 8 reviews, but there is no usable review text in the data to summarize reviewer sentiments. The listing shows the organization as operational with a reachable website and valid phone, and posted hours from Google Maps corroborate its basic identity. Because no substantive review text is available, review feedback was unavailable or too thin to characterize trends.</t>
  </si>
  <si>
    <t>accepted google identity: 14.2/15; review volume: 12.1/30; review consistency: 0.0/7; review freshness: 0.0/8; verified website: 14.2/15; confirmed irs record: 0.0/20; source corroboration: 3.3/5; Synthesis metadata: high (not part of numeric confidence)</t>
  </si>
  <si>
    <t>200 Washington Ave 4th floor suite 412, Towson, MD 21204</t>
  </si>
  <si>
    <t>(410) 324-8900</t>
  </si>
  <si>
    <t>Baltimore County District Public Defender office</t>
  </si>
  <si>
    <t>Eligibility: indigent defendants. Intake/referral details not explicitly evidenced in sources.</t>
  </si>
  <si>
    <t>Baltimore County District Public Defender office provides criminal-defense representation for indigent defendants in Baltimore County, functioning as part of the Maryland Office of the Public Defender. The office handles district- and circuit-court cases and supports related divisions (appellate, post-conviction, parental defense, mental health, and forensics) to represent clients across relevant proceedings.</t>
  </si>
  <si>
    <t>https://opd.state.md.us/baltimore-county</t>
  </si>
  <si>
    <t>Review data show mixed experiences: some clients report respectful, professional service and friendly staff, while others describe difficulties contacting the office and slow responses. The newest review is positive, but a pattern of earlier negative experiences appears in older reviews. Overall, the data suggest cautious interpretation of service quality and accessibility.</t>
  </si>
  <si>
    <t>accepted google identity: 14.2/15; review volume: 30.0/30; review consistency: 0.2/7; review freshness: 5.9/8; verified website: 14.2/15; confirmed irs record: 0.0/20; source corroboration: 3.3/5; Synthesis metadata: low (not part of numeric confidence)</t>
  </si>
  <si>
    <t>1500 Union Ave #2000, Baltimore, MD 21211</t>
  </si>
  <si>
    <t>(410) 727-6352</t>
  </si>
  <si>
    <t>Disability Rights Maryland</t>
  </si>
  <si>
    <t>Disability Rights Maryland is Maryland’s designated Protection &amp; Advocacy agency and nonprofit that provides free legal services and disability-rights advocacy to people with disabilities in the state.</t>
  </si>
  <si>
    <t>http://www.disabilityrightsmd.org/</t>
  </si>
  <si>
    <t>Review data show mixed experiences. Recurring positives mention effective advocacy and helpful legal support for disability-related issues, while recurring concerns focus on communication gaps, delays, and follow-up. The newest reviews indicate those concerns persist, even as some clients express gratitude for DRM's work.</t>
  </si>
  <si>
    <t>accepted google identity: 14.2/15; review volume: 30.0/30; review consistency: 0.5/7; review freshness: 7.7/8; verified website: 14.2/15; confirmed irs record: 20.0/20; source corroboration: 5.0/5; Synthesis metadata: high (not part of numeric confidence)</t>
  </si>
  <si>
    <t>3600 Clipper Mill Rd Ste 200, Baltimore, MD 21211</t>
  </si>
  <si>
    <t>(410) 889-8555</t>
  </si>
  <si>
    <t>ACLU of Maryland</t>
  </si>
  <si>
    <t>No in-person intake is offered on the main line; use the online Civil Rights Tip Form for case referrals or guidance. The organization notes that it does not take legal intake via the main phone line.</t>
  </si>
  <si>
    <t>Civil liberties advocacy and information organization in Maryland that provides rights-related resources, education, and policy-oriented information. The site content shows Know Your Rights materials and guidance on interactions with law enforcement and immigration enforcement, reflecting a focus on civil rights education and public information.</t>
  </si>
  <si>
    <t>https://www.aclu-md.org/</t>
  </si>
  <si>
    <t>Review feedback is mixed: some reports describe helpful rights information and advocacy, while other reviews express frustration with accessibility and responsiveness, particularly regarding phone contact. Newer reviews continue to reflect accessibility challenges, suggesting readers may have variable experiences depending on contact method. Overall, the feedback indicates potential ongoing access issues but confirms the organization’s continued activity and public-facing resources.</t>
  </si>
  <si>
    <t>accepted google identity: 14.2/15; review volume: 22.2/30; review consistency: 0.4/7; review freshness: 6.9/8; verified website: 14.2/15; confirmed irs record: 20.0/20; source corroboration: 5.0/5; Synthesis metadata: low (not part of numeric confidence)</t>
  </si>
  <si>
    <t>1601 Guilford Ave, Baltimore, MD 21202</t>
  </si>
  <si>
    <t>(410) 202-2323</t>
  </si>
  <si>
    <t>Baltimore Action Legal Team</t>
  </si>
  <si>
    <t>Baltimore Action Legal Team provides free legal assistance to Baltimore community members, including expungement and warrant-recall services, along with legal education, rapid-response advocacy, training, and outreach.</t>
  </si>
  <si>
    <t>https://www.baltimoreactionlegal.org/contact</t>
  </si>
  <si>
    <t>Review data shows one positive review noting expungement assistance, and the official site confirms expungement and other legal services. The evidence base is small, so reliability should be interpreted with caution, but sources are consistent in describing expungement-focused services and accessible community legal support.</t>
  </si>
  <si>
    <t>accepted google identity: 14.2/15; review volume: 5.0/30; review consistency: 7.0/7; review freshness: 1.5/8; verified website: 14.2/15; confirmed irs record: 0.0/20; source corroboration: 3.3/5; Synthesis metadata: high (not part of numeric confidence)</t>
  </si>
  <si>
    <t>3355 Keswick Rd #200, Baltimore, MD 21211</t>
  </si>
  <si>
    <t>(410) 366-0922</t>
  </si>
  <si>
    <t>Community Law Center</t>
  </si>
  <si>
    <t>Appointments required; walk-ins not accommodated. Schedule ahead via the office phone (410-366-0922). To receive legal services, applicants must complete an intake/application and be assigned to an attorney.</t>
  </si>
  <si>
    <t>Community Law Center provides legal services and trainings to community organizations and nonprofit groups in Maryland, including help starting 501(c)(3) nonprofits, ongoing legal representation, and trainings for nonprofit boards.</t>
  </si>
  <si>
    <t>https://communitylaw.org/</t>
  </si>
  <si>
    <t>Review data shows mixed feedback: a recent 2-star review cites communication and staff interactions as a concern, while another review praises caring and talented professionals. Because the sample is small and the newest feedback is from many months ago, the trend is not clear, but overall impressions show both positives and criticisms.</t>
  </si>
  <si>
    <t>accepted google identity: 14.2/15; review volume: 17.0/30; review consistency: 1.8/7; review freshness: 2.8/8; verified website: 14.2/15; confirmed irs record: 0.0/20; source corroboration: 3.3/5; Synthesis metadata: high (not part of numeric confidence)</t>
  </si>
  <si>
    <t>5400 Loch Raven Blvd, Baltimore, MD 21239</t>
  </si>
  <si>
    <t>(410) 323-8564</t>
  </si>
  <si>
    <t>Immigration Outreach Service Center</t>
  </si>
  <si>
    <t>Walk-in immigration legal clinic; arrive 9:30–11:30 a.m. for check-in; consultations provided in order of arrival; in-person vs Zoom options; fees: $90 in person, $100 on Zoom. Note: There are occasional Wednesday closures; verify on the IOSC site before you go.</t>
  </si>
  <si>
    <t>Wednesday</t>
  </si>
  <si>
    <t>Immigration Outreach Service Center (IOSC) in Baltimore provides immigration-related social services and runs an immigration legal clinic offering one-on-one attorney consultations. The clinic is held weekly on Wednesdays with a check-in window of 9:30 to 11:30 a.m.; in-person consultations cost $90 and Zoom consultations cost $100.</t>
  </si>
  <si>
    <t>http://www.ioscbalt.org/</t>
  </si>
  <si>
    <t>Review feedback is sparse and textual reviewer commentary is not available, so we cannot summarize common themes. The listing and site materials confirm an active Wednesday immigration legal clinic with a first-come, first-served check-in policy and clear fee information.</t>
  </si>
  <si>
    <t>accepted google identity: 14.2/15; review volume: 11.3/30; review consistency: 3.5/7; review freshness: 5.3/8; verified website: 14.2/15; confirmed irs record: 20.0/20; source corroboration: 5.0/5; Synthesis metadata: high (not part of numeric confidence)</t>
  </si>
  <si>
    <t>2601 N Howard St Ste 120, Baltimore, MD 21218</t>
  </si>
  <si>
    <t>(410) 625-5428</t>
  </si>
  <si>
    <t>FreeState Justice</t>
  </si>
  <si>
    <t>Information on how to request services is available on the organization's website.</t>
  </si>
  <si>
    <t>FreeState Justice is a Maryland-based nonprofit that provides free legal services to LGBTQ+ Marylanders, along with policy advocacy and community education.</t>
  </si>
  <si>
    <t>https://www.freestate-justice.org/</t>
  </si>
  <si>
    <t>Review data show a single 1-star review describing slow or absent responses after initial outreach and missed deadlines. With only one data point, it is not possible to generalize about typical performance, and there is no corroborating positive feedback in the available data. The overall reliability signal is therefore weak due to scant review data.</t>
  </si>
  <si>
    <t>accepted google identity: 14.2/15; review volume: 5.0/30; review consistency: 7.0/7; review freshness: 7.5/8; verified website: 14.2/15; confirmed irs record: 0.0/20; source corroboration: 3.3/5; Synthesis metadata: low (not part of numeric confidence)</t>
  </si>
  <si>
    <t>2601 N Howard St #225, Baltimore, MD 21218</t>
  </si>
  <si>
    <t>(410) 327-1885</t>
  </si>
  <si>
    <t>International Rescue Committee</t>
  </si>
  <si>
    <t>International Rescue Committee (IRC) in Baltimore provides humanitarian relief and support to people affected by crises, including emergency aid, refugee resettlement and integration services, and programs to help children and families recover, learn, and rebuild their lives.</t>
  </si>
  <si>
    <t>http://www.rescue.org/us-program/us-baltimore-md</t>
  </si>
  <si>
    <t>Review data show a mix of experiences. Review text highlights courteous staff and helpful resources, and praise for programs addressing learning and resettlement needs. However, several reviews from earlier years describe delays and frustration with obtaining assistance, particularly around immigration-related support. The most recent reviews appear more positive, suggesting a shift toward better service, though the older concerns still echo in the overall feedback.</t>
  </si>
  <si>
    <t>accepted google identity: 14.2/15; review volume: 30.0/30; review consistency: 0.9/7; review freshness: 7.1/8; verified website: 14.2/15; confirmed irs record: 0.0/20; source corroboration: 3.3/5; Synthesis metadata: high (not part of numeric confidence)</t>
  </si>
  <si>
    <t>1401 N Charles St, Baltimore, MD 21201</t>
  </si>
  <si>
    <t>(410) 837-4468</t>
  </si>
  <si>
    <t>University of Baltimore School of Law</t>
  </si>
  <si>
    <t>The University of Baltimore School of Law is a law school that provides practical legal education, including doctrinal coursework, intensive writing instruction, clinics, and community-based learning to prepare students for legal practice.</t>
  </si>
  <si>
    <t>http://law.ubalt.edu/</t>
  </si>
  <si>
    <t>Review data show a generally favorable view of the school, with recurring praise for supportive staff, a solid educational program, and helpful guidance. Some reviewers raise concerns about counselor responsiveness and administrative communication, including at least one notably negative account of perceived predatory practices and poor communication. The newest feedback includes similar concerns, indicating that the overall impression is mixed rather than uniformly positive.</t>
  </si>
  <si>
    <t>accepted google identity: 13.3/15; review volume: 25.8/30; review consistency: 2.6/7; review freshness: 8.0/8; verified website: 13.3/15; confirmed irs record: 0.0/20; source corroboration: 3.3/5; Synthesis metadata: high (not part of numeric confidence)</t>
  </si>
  <si>
    <t>500 W Baltimore St, Baltimore, MD 21201</t>
  </si>
  <si>
    <t>(410) 706-7214</t>
  </si>
  <si>
    <t>University of Maryland Francis King Carey School of Law</t>
  </si>
  <si>
    <t>Monday: 7:30 AM to 12 AM; Tuesday: 7:30 AM to 12 AM; Wednesday: 7:30 AM to 12 AM; Thursday: 7:30 AM to 12 AM; Friday: 7:30 AM to 8 PM; Saturday: 9 AM to 8 PM; Sunday: 9 AM to 8 PM</t>
  </si>
  <si>
    <t>University of Maryland Francis King Carey School of Law is a law school offering JD programs and specialized legal education programs, including business law and immigration justice centers.</t>
  </si>
  <si>
    <t>http://www.law.umaryland.edu/</t>
  </si>
  <si>
    <t>Review data show a mix of sentiment. Several recent reviews describe poor administrative service and staff behavior, while others praise faculty, programs, and community. The newest reviews lean negative, but positive statements about the school's programs persist, indicating a divergent experience depending on department or context.</t>
  </si>
  <si>
    <t>accepted google identity: 13.3/15; review volume: 26.8/30; review consistency: 0.0/7; review freshness: 8.0/8; verified website: 13.3/15; confirmed irs record: 0.0/20; source corroboration: 3.3/5; Synthesis metadata: medium (not part of numeric confidence)</t>
  </si>
  <si>
    <t>201 St Paul St, Baltimore, MD 21202</t>
  </si>
  <si>
    <t>(410) 333-4900</t>
  </si>
  <si>
    <t>Baltimore City Office of the Public Defender</t>
  </si>
  <si>
    <t>Monday: 9 AM to 3:30 PM; Tuesday: 9 AM to 3:30 PM; Wednesday: 9 AM to 3:30 PM; Thursday: 9 AM to 3:30 PM; Friday: 9 AM to 3:30 PM; Saturday: Closed; Sunday: Closed</t>
  </si>
  <si>
    <t>Baltimore City Office of the Public Defender is the public defender's office for Baltimore City, providing publicly funded legal representation to residents facing criminal charges.</t>
  </si>
  <si>
    <t>Review data show mixed experiences from a small sample of reviews. Several recent comments describe difficulties reaching staff by phone and promptness issues, while other reviews praise the quality of representation. Because the newest reviews are several months old, it's hard to discern a clear current trend.</t>
  </si>
  <si>
    <t>accepted google identity: 14.2/15; review volume: 27.2/30; review consistency: 1.6/7; review freshness: 3.2/8; verified website: 14.2/15; confirmed irs record: 0.0/20; source corroboration: 3.3/5; Synthesis metadata: medium (not part of numeric confidence)</t>
  </si>
  <si>
    <t>201 N Charles St #1400, Baltimore, MD 21201</t>
  </si>
  <si>
    <t>(410) 547-6537</t>
  </si>
  <si>
    <t>Maryland Volunteer Lawyers Service</t>
  </si>
  <si>
    <t>Eligibility is based on income and case type, per the MVLS site. Intake and referrals occur through the Pro Bono Portal; volunteers may participate via MVLS's programs.</t>
  </si>
  <si>
    <t>Maryland Volunteer Lawyers Service (MVLS) provides free civil legal help to income-eligible Maryland residents and connects clients with volunteer attorneys through a Pro Bono Portal. Core services include an eligibility check and referral to pro bono representation for qualifying civil matters, as reflected on the MVLS website.</t>
  </si>
  <si>
    <t>http://www.mvlslaw.org/</t>
  </si>
  <si>
    <t>Review data show both positive and negative experiences. Recurring positives highlight staff empathy, professionalism, and the value of free legal help, while recurring concerns include delays, long holds, and instances where MVLS could not provide representation. The newest reviews are more favorable than some earlier feedback, suggesting a shift toward improving experiences, but overall reviewer sentiment remains mixed.</t>
  </si>
  <si>
    <t>accepted google identity: 14.2/15; review volume: 30.0/30; review consistency: 1.1/7; review freshness: 7.9/8; verified website: 14.2/15; confirmed irs record: 20.0/20; source corroboration: 5.0/5; Synthesis metadata: medium (not part of numeric confidence)</t>
  </si>
  <si>
    <t>1 N Charles St Ste 1301, Baltimore, MD 21201</t>
  </si>
  <si>
    <t>Maryland Crime Victims' Resource Center, Inc</t>
  </si>
  <si>
    <t>Monday: Closed; Tuesday: 8:30 AM to 5 PM; Wednesday: 8:30 AM to 5 PM; Thursday: 8:30 AM to 5 PM; Friday: 8:30 AM to 5 PM; Saturday: Closed; Sunday: Closed</t>
  </si>
  <si>
    <t>The Maryland Crime Victims Resource Center provides free legal representation and advocacy to crime victims across Maryland, helping clients navigate the criminal-justice system with advocacy, court accompaniment, and victim-rights information.</t>
  </si>
  <si>
    <t>Review data show predominantly positive experiences, with reviewers citing helpful referrals, advocacy, and follow-up support. A single mid-2025 review notes a lack of follow-through, but staff responses acknowledge the issue and emphasize ongoing improvements. Overall, the latest reviews suggest reliable assistance for crime victims, though individual experiences may vary.</t>
  </si>
  <si>
    <t>accepted google identity: 13.3/15; review volume: 27.3/30; review consistency: 4.1/7; review freshness: 7.5/8; verified website: 13.3/15; confirmed irs record: 0.0/20; source corroboration: 3.3/5; Synthesis metadata: high (not part of numeric confidence)</t>
  </si>
  <si>
    <t>111 N Calvert St #627, Baltimore, MD 21202</t>
  </si>
  <si>
    <t>(410) 539-5936</t>
  </si>
  <si>
    <t>BAR ASSOCIATION BALTIMORE CITY</t>
  </si>
  <si>
    <t>Bar Association of Baltimore City is a professional association for attorneys in Baltimore, MD, appearing as an attorney-focused organization that provides legal resources and connections for the public.</t>
  </si>
  <si>
    <t>Review data includes three public reviews. Review text describes one unfavorable experience where a referred lawyer was not helpful, and two positive reviews highlighting knowledgeable staff and helpful responses. The newest review is from 2024 and reflects a positive outcome, but overall feedback is mixed and not highly recent, so readers should expect variability in experiences.</t>
  </si>
  <si>
    <t>accepted google identity: 14.2/15; review volume: 15.1/30; review consistency: 0.4/7; review freshness: 2.3/8; verified website: 0.0/15; confirmed irs record: 20.0/20; source corroboration: 3.3/5; Synthesis metadata: insufficient_evidence (not part of numeric confidence)</t>
  </si>
  <si>
    <t>120 E Baltimore St Ste 2500, Baltimore, MD 21202</t>
  </si>
  <si>
    <t>(443) 853-1011</t>
  </si>
  <si>
    <t>Civil Justice</t>
  </si>
  <si>
    <t>Intake via online application or by phone; targeted to low- and moderate-income Marylanders; in-person contact available at the Baltimore location (as evidenced by the listed address in the listing).</t>
  </si>
  <si>
    <t>Monday: Closed; Tuesday: 10 AM to 3 PM; Wednesday: 10 AM to 3 PM; Thursday: 10 AM to 3 PM; Friday: 10 AM to 3 PM; Saturday: Closed; Sunday: Closed</t>
  </si>
  <si>
    <t>Civil Justice, Inc. provides legal services to Maryland residents, with a focus on low- and moderate-income communities, through in‑house programs and a statewide network of attorneys. The organization offers consumer protection and economic-justice oriented services (including landlord/tenant matters) to help clients obtain legal assistance and preserve assets.</t>
  </si>
  <si>
    <t>https://civiljusticeinc.org/</t>
  </si>
  <si>
    <t>Review data shows mixed experiences. Some clients report positive access to legal help and responsive staff, while others describe scheduling delays and communication issues. The most recent review sample suggests ongoing scheduling challenges, though the organization has shown responsiveness to concerns through owner responses. Overall, the reviews indicate continued demand for services with room for improvement in responsiveness.</t>
  </si>
  <si>
    <t>accepted google identity: 14.8/15; review volume: 20.8/30; review consistency: 0.9/7; review freshness: 6.3/8; verified website: 14.8/15; confirmed irs record: 20.0/20; source corroboration: 5.0/5; Synthesis metadata: medium (not part of numeric confidence)</t>
  </si>
  <si>
    <t>300 N Gay St, Baltimore, MD 21202</t>
  </si>
  <si>
    <t>(443) 263-6360</t>
  </si>
  <si>
    <t>Juvenile Office of Public Defender</t>
  </si>
  <si>
    <t>The Maryland Office of the Public Defender operates a Juvenile Protection Division that provides post-dispositional representation for OPD juvenile clients detained by or committed to the Maryland Department of Juvenile Services, and supports rights protections, appropriate placement decisions, and access to court-ordered services statewide.</t>
  </si>
  <si>
    <t>https://opd.state.md.us/juvenile-protection</t>
  </si>
  <si>
    <t>Review data is very thin: the listing shows a single 1-star review and a low deterministic quality score, with no additional reviews in the sample. The official OPD website confirms the Juvenile Protection Division and its scope, but more review data would help validate reliability.</t>
  </si>
  <si>
    <t>accepted google identity: 14.2/15; review volume: 3.8/30; review consistency: 0.0/7; review freshness: 0.0/8; verified website: 14.2/15; confirmed irs record: 0.0/20; source corroboration: 3.3/5; Synthesis metadata: low (not part of numeric confidence)</t>
  </si>
  <si>
    <t>4500 Frankford Ave, Baltimore, MD 21206</t>
  </si>
  <si>
    <t>(443) 850-0627</t>
  </si>
  <si>
    <t>Asylee Women Enterprises</t>
  </si>
  <si>
    <t>Eligibility includes asylum seekers, foreign-born survivors of trafficking, and other forced migrants. Open to individuals of all ages and genders. Intake and eligibility information are available via their website form and by calling the organization at 443-850-0627.</t>
  </si>
  <si>
    <t>Asylee Women Enterprise provides holistic, trauma‑informed support for asylum seekers and other forced migrants in Maryland, including case management, immigration legal services, assistance meeting basic needs, and connections to healthcare and community resources.</t>
  </si>
  <si>
    <t>https://www.asyleewomen.org/</t>
  </si>
  <si>
    <t>Review data shows strong, positive experiences from clients, with recurring themes of compassionate staff, effective case management, and support navigating asylum processes and basic needs. Several long-form reviews praise named staff and the organization’s impact, and newer reviews remain favorable, indicating stable, positive feedback over time.</t>
  </si>
  <si>
    <t>accepted google identity: 14.2/15; review volume: 27.6/30; review consistency: 5.5/7; review freshness: 3.9/8; verified website: 14.2/15; confirmed irs record: 20.0/20; source corroboration: 5.0/5; Synthesis metadata: high (not part of numeric confidence)</t>
  </si>
  <si>
    <t>191 E Jefferson St, Rockville, MD 20850</t>
  </si>
  <si>
    <t>(301) 563-8900</t>
  </si>
  <si>
    <t>Maryland Office of the Public Defender</t>
  </si>
  <si>
    <t>Eligibility: indigent defendants.</t>
  </si>
  <si>
    <t>Maryland Office of the Public Defender (OPD) provides legal defense for people who cannot afford an attorney in criminal matters, including representation in district and circuit court and related advocacy divisions (Appellate, Post Conviction, Parental Defense, Mental Health, and Innocence Project). This guidance reflects information published on its official site and its public-facing office listings.</t>
  </si>
  <si>
    <t>https://opd.state.md.us/montgomery</t>
  </si>
  <si>
    <t>Review data show mixed experiences. Some reviewers report helpful staff and clear guidance, while others criticize unresponsiveness and difficulty contacting the office. The most recent feedback indicates ongoing communication problems, though there are positive notes about individual staff members’ helpfulness.</t>
  </si>
  <si>
    <t>accepted google identity: 14.2/15; review volume: 26.5/30; review consistency: 3.7/7; review freshness: 6.2/8; verified website: 14.2/15; confirmed irs record: 0.0/20; source corroboration: 3.3/5; Synthesis metadata: low (not part of numeric confidence)</t>
  </si>
  <si>
    <t>8545 Piney Branch Rd, Silver Spring, MD 20901</t>
  </si>
  <si>
    <t>(301) 587-7217</t>
  </si>
  <si>
    <t>Spanish Speaking Community</t>
  </si>
  <si>
    <t>Monday: 8:30 AM to 5 PM; Tuesday: 8:30 AM to 5 PM; Wednesday: 8:30 AM to 5 PM; Thursday: 8:30 AM to 5 PM; Friday: 8:30 AM to 2 PM; Saturday: Closed; Sunday: Closed</t>
  </si>
  <si>
    <t>Spanish Speaking Community of Maryland ( SSCM ) provides immigrant-focused community support and services to low-income families, including immigration assistance, community development, healthcare access, housing/tenant intervention, and education/outreach; the organization also offers multilingual translation and related supportive services.</t>
  </si>
  <si>
    <t>https://www.spanishcommunityofmd.org/</t>
  </si>
  <si>
    <t>Review data indicate a favorable overall impression, with most ratings in the 4- and 5-star range and positive notes about accessible immigration services and language support. There is no accessible text for recent reviews in the dataset, so it is unclear whether the newest feedback aligns with earlier trends. The dataset shows no overt negative patterns in the available review data.</t>
  </si>
  <si>
    <t>1990 K Street Northwest Suite 500, Washington, DC 20006</t>
  </si>
  <si>
    <t>(202) 387-4848</t>
  </si>
  <si>
    <t>Ayuda</t>
  </si>
  <si>
    <t>Ayuda provides legal, social, and language services to help low‑income immigrants access justice and transform their lives within the DC metropolitan area.</t>
  </si>
  <si>
    <t>http://www.ayuda.com/</t>
  </si>
  <si>
    <t>Review data describe generally positive experiences, with recurring themes of helpful staff and strong advocacy. The sample includes several five‑star notes and one older negative report about communication and document readiness. The most recent reviews still indicate overall satisfaction, though the isolated low‑scoring incident suggests occasional accessibility or responsiveness challenges. Overall, the latest data point to continued positive sentiment, but the small sample may not capture all client experiences.</t>
  </si>
  <si>
    <t>accepted google identity: 14.2/15; review volume: 22.8/30; review consistency: 0.9/7; review freshness: 5.8/8; verified website: 14.2/15; confirmed irs record: 0.0/20; source corroboration: 3.3/5; Synthesis metadata: high (not part of numeric confidence)</t>
  </si>
  <si>
    <t>4520 East-West Hwy #700, Bethesda, MD 20814</t>
  </si>
  <si>
    <t>(301) 652-4462</t>
  </si>
  <si>
    <t>Klein Morris</t>
  </si>
  <si>
    <t>Appointment required; online and onsite appointment options; call 301-652-4462 to schedule; wheelchair-accessible entrance, parking, and restroom; service options include online appointments.</t>
  </si>
  <si>
    <t>Morris Klein Attorney at Law provides elder-law and related estate-planning legal services, including Medicaid eligibility planning, special needs planning, guardianships, powers of attorney, health care directives, trusts and wills, and probate/estate administration.</t>
  </si>
  <si>
    <t>http://www.morrisklein.com/</t>
  </si>
  <si>
    <t>Review data is unavailable or too thin to summarize. The listing shows an overall rating of 5.0 from two public reviews, but there is no available review text to capture recurring themes or concerns. The business otherwise appears operational with published hours and an active website describing elder-law services.</t>
  </si>
  <si>
    <t>1700 Margaret Ave, Annapolis, MD 21401</t>
  </si>
  <si>
    <t>(410) 295-8800</t>
  </si>
  <si>
    <t>Public Defenders Office</t>
  </si>
  <si>
    <t>Public Defender's Office provides public defense representation for individuals facing criminal charges in Maryland.</t>
  </si>
  <si>
    <t>Review data indicate positive experiences with defense representation and staff's care for clients, with a notably favorable account of an attorney assisting a client through a court matter. The newest reviews continue to express positive sentiment about the office's responsiveness and dedication. The sample is small, and broader conclusions are limited by the limited number of reviews.</t>
  </si>
  <si>
    <t>accepted google identity: 14.2/15; review volume: 14.5/30; review consistency: 7.0/7; review freshness: 7.4/8; verified website: 0.0/15; confirmed irs record: 0.0/20; source corroboration: 1.7/5; Synthesis metadata: insufficient_evidence (not part of numeric confidence)</t>
  </si>
  <si>
    <t>820 1st St NE LL160, Washington, DC 20002</t>
  </si>
  <si>
    <t>(202) 234-3062</t>
  </si>
  <si>
    <t>Equal Rights Center</t>
  </si>
  <si>
    <t>Equal Rights Center works to promote equal access and fair treatment, with a focus on fair housing and anti-discrimination in the Greater Washington, DC region.</t>
  </si>
  <si>
    <t>https://equalrightscenter.org/</t>
  </si>
  <si>
    <t>There are no public reviews available for this listing, so review feedback cannot be summarized. The listing is operational with a verified website attribution and published hours, and the website describes a focus on fair housing and civil rights in the DC region. Registry status shows no match and there is no IRS data linked to this listing to corroborate identity context.</t>
  </si>
  <si>
    <t>1500 K St NW #900, Washington, DC 20005</t>
  </si>
  <si>
    <t>(202) 662-8600</t>
  </si>
  <si>
    <t>Lawyers' Committee For Civil Rights Under Law</t>
  </si>
  <si>
    <t>Eligibility/intake: The organization does not provide direct legal representation for individual requests. It marshals pro bono resources for litigation, public policy, advocacy, and other lawyer-provided services. For referrals or intake, rely on partner organizations and the organization’s guidance for accessing resources.</t>
  </si>
  <si>
    <t>The Lawyers’ Committee for Civil Rights Under Law is a national civil rights nonprofit that uses legal advocacy, litigation, and public policy work to advance racial justice and protect civil rights. It coordinates pro bono legal resources and guidance for organizations and individuals, rather than providing direct representation for individual cases.</t>
  </si>
  <si>
    <t>http://www.lawyerscommittee.org/</t>
  </si>
  <si>
    <t>Review data show mixed feedback from a small sample of reviews, with the newest entry dating to November 2024. Some reviewers appear to find value in the information and resources provided, while at least one review raises questions about direct assistance in individual cases. Overall, the feedback does not point to a clear upward or downward trend.</t>
  </si>
  <si>
    <t>accepted google identity: 14.2/15; review volume: 18.2/30; review consistency: 1.1/7; review freshness: 2.2/8; verified website: 14.2/15; confirmed irs record: 0.0/20; source corroboration: 3.3/5; Synthesis metadata: high (not part of numeric confidence)</t>
  </si>
  <si>
    <t>1627 K St NW #610, Washington, DC 20006</t>
  </si>
  <si>
    <t>(202) 393-3572</t>
  </si>
  <si>
    <t>Asian Pacific American Legal</t>
  </si>
  <si>
    <t>Washington, DC–area legal resource center focused on advancing the civil and legal rights of Asian Americans and Pacific Islanders, offering community legal education, individual legal representation, and advocacy to help people access government services and the legal system.</t>
  </si>
  <si>
    <t>http://www.apalrc.org/</t>
  </si>
  <si>
    <t>Review data show generally positive experiences, with several reviewers praising clear explanations and compassionate staff in immigration-related matters. There is at least one negative review highlighting poor attorney responsiveness and delays, indicating mixed experiences. Overall, the listing appears solid with several high ratings, while new reviews continue to reflect helpful staff and professional operations, though the sample is small.</t>
  </si>
  <si>
    <t>accepted google identity: 13.3/15; review volume: 14.7/30; review consistency: 0.9/7; review freshness: 4.5/8; verified website: 13.3/15; confirmed irs record: 0.0/20; source corroboration: 3.3/5; Synthesis metadata: high (not part of numeric confidence)</t>
  </si>
  <si>
    <t>1331 Pennsylvania Ave NW #650, Washington, DC 20004</t>
  </si>
  <si>
    <t>(202) 898-1661</t>
  </si>
  <si>
    <t>National Fair Housing Alliance</t>
  </si>
  <si>
    <t>The National Fair Housing Alliance advocates for fair housing, educates the public, connects people to local fair housing resources, and supports efforts to end housing discrimination through resources, referrals, and advocacy.</t>
  </si>
  <si>
    <t>http://www.nationalfairhousing.org/</t>
  </si>
  <si>
    <t>Review data show generally positive feedback about NFHA’s services and resources, with recurring themes of helpful guidance and advocacy. A single older review describes a negative experience with staff, but the newest reviews remain favorable, suggesting overall consistency in service quality. The organization’s programs and resources are corroborated across platforms, though the sample size is small.</t>
  </si>
  <si>
    <t>accepted google identity: 14.2/15; review volume: 16.3/30; review consistency: 0.9/7; review freshness: 7.5/8; verified website: 14.2/15; confirmed irs record: 0.0/20; source corroboration: 3.3/5; Synthesis metadata: high (not part of numeric confidence)</t>
  </si>
  <si>
    <t>950 Pennsylvania Ave NW, Washington, DC 20530</t>
  </si>
  <si>
    <t>(202) 514-2000</t>
  </si>
  <si>
    <t>Civil Division</t>
  </si>
  <si>
    <t>U.S. Department of Justice, Civil Division office offering information and resources related to federal civil rights enforcement and crime-victim assistance.</t>
  </si>
  <si>
    <t>http://www.justice.gov/civil/</t>
  </si>
  <si>
    <t>Review data is thin: there is a single 2-star review with no written feedback, and no corroborating reviews from other platforms. The newest review is months old, and there is limited information to gauge user experiences. As a result, reliability is limited based on the available data.</t>
  </si>
  <si>
    <t>accepted google identity: 13.4/15; review volume: 5.0/30; review consistency: 7.0/7; review freshness: 6.2/8; verified website: 13.4/15; confirmed irs record: 0.0/20; source corroboration: 3.3/5; Synthesis metadata: insufficient_evidence (not part of numeric confidence)</t>
  </si>
  <si>
    <t>14330 Old Marlboro Pike, Upper Marlboro, MD 20772</t>
  </si>
  <si>
    <t>(301) 952-1442</t>
  </si>
  <si>
    <t>Prince George’s County Bar Association</t>
  </si>
  <si>
    <t>Prince George's County Bar Association is a local bar association that provides public-facing legal resources, including a lawyer referral service and access to pro bono programs and public resources.</t>
  </si>
  <si>
    <t>https://www.pgcba.com/</t>
  </si>
  <si>
    <t>Review data indicate accessibility challenges and limited attorney availability, based on recent comments. The listing’s overall rating is modest, but the newest reviews are from more than a year ago, making it hard to gauge current performance. Because the sample is small and not recent, reader should verify access and referrals directly.</t>
  </si>
  <si>
    <t>accepted google identity: 13.5/15; review volume: 14.5/30; review consistency: 5.2/7; review freshness: 3.6/8; verified website: 13.5/15; confirmed irs record: 20.0/20; source corroboration: 5.0/5; Synthesis metadata: medium (not part of numeric confidence)</t>
  </si>
  <si>
    <t>81 W Washington St A, Hagerstown, MD 21740</t>
  </si>
  <si>
    <t>(301) 791-4735</t>
  </si>
  <si>
    <t>The Office of the Public Defender</t>
  </si>
  <si>
    <t>Maryland Office of the Public Defender operates a public defender’s office that provides legal services.</t>
  </si>
  <si>
    <t>Review data shows mixed feedback about the public defender’s office. Some reviewers describe poor communication and perceived advocacy gaps, while others share positive experiences with staff. The most recent reviews skew toward negative sentiment, but there are still favorable accounts.</t>
  </si>
  <si>
    <t>accepted google identity: 14.2/15; review volume: 22.2/30; review consistency: 0.7/7; review freshness: 6.2/8; verified website: 14.2/15; confirmed irs record: 0.0/20; source corroboration: 3.3/5; Synthesis metadata: medium (not part of numeric confidence)</t>
  </si>
  <si>
    <t>170 E Main St, Elkton, MD 21921</t>
  </si>
  <si>
    <t>(410) 996-2850</t>
  </si>
  <si>
    <t>Cecil County Office of the Public Defender</t>
  </si>
  <si>
    <t>Cecil County Office of the Public Defender provides public defense services as part of the Maryland Office of the Public Defender, supporting individuals in Cecil County who need legal defense.</t>
  </si>
  <si>
    <t>https://www.opd.state.md.us/</t>
  </si>
  <si>
    <t>Review data is extremely sparse: one Google Maps review with a 5-star rating, but the text describes difficulty obtaining a public defender in a different county, not the Cecil County office’s service performance. This makes it difficult to gauge current experience or reliability, and no clear pattern emerges from the available review data.</t>
  </si>
  <si>
    <t>accepted google identity: 14.2/15; review volume: 5.0/30; review consistency: 7.0/7; review freshness: 3.0/8; verified website: 14.2/15; confirmed irs record: 0.0/20; source corroboration: 3.3/5; Synthesis metadata: low (not part of numeric confidence)</t>
  </si>
  <si>
    <t>301 Bay St Ste 308, Easton, MD 21601</t>
  </si>
  <si>
    <t>(410) 820-6100</t>
  </si>
  <si>
    <t>Talbot County Office of the Public Defender</t>
  </si>
  <si>
    <t>Talbot County Office of the Public Defender provides public defense services (criminal defense representation) for clients in Talbot County as part of the Maryland Office of the Public Defender.</t>
  </si>
  <si>
    <t>Review feedback was unavailable or too thin; no user reviews are available for this listing. The listing is reachable via the official site and is identifiable as the Talbot County Office of the Public Defender in Maryland, aligning with the Maryland Office of the Public Defender. With no recent reviews to gauge user experiences, this verification relies on a small set of static data.</t>
  </si>
  <si>
    <t>300 Market St, Denton, MD 21629</t>
  </si>
  <si>
    <t>(410) 479-5756</t>
  </si>
  <si>
    <t>Maryland Office of the Public Defender, Caroline County Office</t>
  </si>
  <si>
    <t>Appointments recommended; wheelchair‑accessible entrance, parking, and restroom; accessibility features noted on site.</t>
  </si>
  <si>
    <t>Maryland Office of the Public Defender, Caroline County Office provides public defense legal services and attorney representation for residents of Caroline County.</t>
  </si>
  <si>
    <t>Review data show mixed experiences: some reviewers report prompt responses at intake, while others describe difficulties with paperwork and communication. The newest reviews are several months old, and the sample overall reflects a range of positive and negative feedback rather than a clear trend.</t>
  </si>
  <si>
    <t>accepted google identity: 14.2/15; review volume: 18.0/30; review consistency: 0.8/7; review freshness: 6.3/8; verified website: 14.2/15; confirmed irs record: 0.0/20; source corroboration: 3.3/5; Synthesis metadata: medium (not part of numeric confidence)</t>
  </si>
  <si>
    <t>310 Gay St #2, Cambridge, MD 21613</t>
  </si>
  <si>
    <t>(410) 221-2570</t>
  </si>
  <si>
    <t>Public Defender</t>
  </si>
  <si>
    <t>Maryland Office of the Public Defender (OPD) provides publicly funded legal defense for indigent clients in criminal, juvenile, parental rights, and related proceedings, operating a Cambridge district office to ensure access to counsel.</t>
  </si>
  <si>
    <t>https://opd.state.md.us/dorchester</t>
  </si>
  <si>
    <t>Review data indicate positive experiences, with at least one staff member receiving praise in the available review text. The accessible sample of reviews is limited but conveys generally favorable sentiment and no clear recurring concerns.</t>
  </si>
  <si>
    <t>accepted google identity: 14.2/15; review volume: 18.2/30; review consistency: 5.4/7; review freshness: 3.6/8; verified website: 14.2/15; confirmed irs record: 0.0/20; source corroboration: 3.3/5; Synthesis metadata: high (not part of numeric confidence)</t>
  </si>
  <si>
    <t>Carter Building, 23110 Leonard Hall Dr #2059, Leonardtown, MD 20650</t>
  </si>
  <si>
    <t>(301) 880-2830</t>
  </si>
  <si>
    <t>Legal defense services for individuals who cannot afford an attorney in criminal and related proceedings, including district-trial defense for offenses with possible incarceration, appellate work, parental-rights defense, and mental-health-related representation, as described by the public-facing materials of the public defender program.</t>
  </si>
  <si>
    <t>https://opd.state.md.us/st-marys</t>
  </si>
  <si>
    <t>Reviews describe difficulty contacting the office and unreturned messages; the available sample is small and includes a single notably negative review, with the most recent feedback from 2024. Because the data are thin and not current, they provide only limited guidance about typical service experience and should be interpreted cautiously.</t>
  </si>
  <si>
    <t>accepted google identity: 14.2/15; review volume: 7.3/30; review consistency: 7.0/7; review freshness: 1.7/8; verified website: 14.2/15; confirmed irs record: 0.0/20; source corroboration: 3.3/5; Synthesis metadata: low (not part of numeric confidence)</t>
  </si>
  <si>
    <t>201 Baptist St #26, Salisbury, MD 21801</t>
  </si>
  <si>
    <t>(410) 713-3400</t>
  </si>
  <si>
    <t>Maryland Office of the Public Defender, Salisbury office; a county government office located in Salisbury, Maryland.</t>
  </si>
  <si>
    <t>Review data for this listing is too thin to draw meaningful conclusions. The available snapshot shows a low overall rating based on a small number of reviews, and there is no descriptive feedback in the current sample.</t>
  </si>
  <si>
    <t>accepted google identity: 14.2/15; review volume: 10.1/30; review consistency: 7.0/7; review freshness: 2.1/8; verified website: 14.2/15; confirmed irs record: 0.0/20; source corroboration: 3.3/5; Synthesis metadata: insufficient_evidence (not part of numeric confidence)</t>
  </si>
  <si>
    <t>30 N Mechanic St, Cumberland, MD 21502</t>
  </si>
  <si>
    <t>(301) 777-2142</t>
  </si>
  <si>
    <t>Maryland Office of the Public Defender – Allegany County office provides public defense services to individuals facing criminal charges.</t>
  </si>
  <si>
    <t>http://www.opd.state.md.us/allegany</t>
  </si>
  <si>
    <t>Review data show mixed experiences with this public defender's office. Some clients report long gaps in communication and concerns about the public defense system, while other reviews commend the work of individual attorneys. The newest reviews continue to reflect a blend of frustration and advocacy, with no single pattern dominating across cases.</t>
  </si>
  <si>
    <t>accepted google identity: 14.2/15; review volume: 11.3/30; review consistency: 0.0/7; review freshness: 6.9/8; verified website: 14.2/15; confirmed irs record: 0.0/20; source corroboration: 3.3/5; Synthesis metadata: medium (not part of numeric confidence)</t>
  </si>
  <si>
    <t>11785 Somerset Ave, Princess Anne, MD 21853</t>
  </si>
  <si>
    <t>(410) 651-3271</t>
  </si>
  <si>
    <t>The Somerset Office of the Maryland Office of the Public Defender provides public-defense services for indigent clients, including district-trial representation in criminal, juvenile, and traffic matters, and supports client representation through specialized divisions such as mental-health, forensic, and post-conviction work as described on official site pages.</t>
  </si>
  <si>
    <t>https://opd.state.md.us/somerset</t>
  </si>
  <si>
    <t>Review data are extremely thin: there is a single low rating available, with no textual review content to describe user experiences or patterns. Because there is no usable review text, overall reliability cannot be established from the available data.</t>
  </si>
  <si>
    <t>101 W Green St, Snow Hill, MD 21863</t>
  </si>
  <si>
    <t>(410) 632-1933</t>
  </si>
  <si>
    <t>Office of the Public Defender</t>
  </si>
  <si>
    <t>A government office listing in Snow Hill, Maryland for the Office of the Public Defender. The listing is categorized as a Government office; detailed services are not specified in the available evidence.</t>
  </si>
  <si>
    <t>Review data indicate a very thin feedback surface with at least one recent review describing a negative experience, and the newest review is about 494 days old. With only a small, stale sample, it is difficult to infer a current pattern of performance or satisfaction.</t>
  </si>
  <si>
    <t>accepted google identity: 13.3/15; review volume: 12.0/30; review consistency: 7.0/7; review freshness: 3.1/8; verified website: 0.0/15; confirmed irs record: 0.0/20; source corroboration: 1.7/5; Synthesis metadata: insufficient_evidence (not part of numeric confidence)</t>
  </si>
  <si>
    <t>2100 Starlite Plz, Oakland, MD 21550</t>
  </si>
  <si>
    <t>(301) 334-9196</t>
  </si>
  <si>
    <t>Public Defender office listed in Oakland, Maryland, identified as an attorney listing.</t>
  </si>
  <si>
    <t>Review data for this listing is sparse and not informative. The visible review text is minimal and provides no clear pattern about experiences, so it is difficult to describe recurring themes. The overall rating is 3.7 from 9 reviews, with the newest feedback dating back more than a year, which limits confidence in current performance.</t>
  </si>
  <si>
    <t>accepted google identity: 14.2/15; review volume: 13.9/30; review consistency: 7.0/7; review freshness: 1.1/8; verified website: 0.0/15; confirmed irs record: 0.0/20; source corroboration: 1.7/5; Synthesis metadata: insufficient_evidence (not part of numeric confidence)</t>
  </si>
  <si>
    <t>3075 Adeline St #210, Berkeley, CA 94703</t>
  </si>
  <si>
    <t>(510) 644-2555</t>
  </si>
  <si>
    <t>Disability Rights Education &amp; Defense Fund</t>
  </si>
  <si>
    <t>Disability Rights Education and Defense Fund (DREDF) is a national civil rights law and policy center led by people with disabilities and families of children with disabilities. It advances the civil and human rights of people with disabilities through legal advocacy, training, education, and public policy development.</t>
  </si>
  <si>
    <t>https://www.dredf.org/</t>
  </si>
  <si>
    <t>Review data show mixed experiences. Several reviews praise staff for knowledge and effective advocacy, with comments about empowering clients and delivering results; however, at least one review describes frustration with responsiveness and perceived misalignment with expectations. Overall, the available review text indicates a generally positive but nuanced picture, with some ongoing concerns mentioned in older feedback and no consistent shift in sentiment in the newest entries.</t>
  </si>
  <si>
    <t>accepted google identity: 14.2/15; review volume: 22.6/30; review consistency: 1.6/7; review freshness: 5.9/8; verified website: 14.2/15; confirmed irs record: 0.0/20; source corroboration: 3.3/5; Synthesis metadata: medium (not part of numeric confidence)</t>
  </si>
  <si>
    <t>9700 Old Harford Rd, Parkville, MD 21234</t>
  </si>
  <si>
    <t>(443) 297-7897</t>
  </si>
  <si>
    <t>Conflict Resolution Center of Baltimore County</t>
  </si>
  <si>
    <t>Monday to Friday - 9AM - 4PM</t>
  </si>
  <si>
    <t>A local organization with an office in Parkville, Maryland, that provides contact information and resources related to resolving conflicts.</t>
  </si>
  <si>
    <t>https://crcbaltimorecounty.org/contact-us/</t>
  </si>
  <si>
    <t>Review feedback was unavailable or too thin to summarize. There are no public platform reviews in the current data, so we cannot draw conclusions about user experiences. The listing and the official website provide basic contact information and hours.</t>
  </si>
  <si>
    <t>5400 Preakness Way, Baltimore, MD 21215</t>
  </si>
  <si>
    <t>(410) 601-4673</t>
  </si>
  <si>
    <t>Center for Hope</t>
  </si>
  <si>
    <t>Center for Hope provides violence prevention and response programming within LifeBridge Health, addressing violence and safety needs across the lifespan, including domestic abuse, child abuse, human trafficking, elder abuse, and community violence.</t>
  </si>
  <si>
    <t>http://www.lifebridgehealth.org/centerforhope</t>
  </si>
  <si>
    <t>Review data indicate a mix of experiences. Several reviewers describe positive support and helpful services, while at least one reviewer criticized staff and perceived quality. The most recent feedback is positive, but the small sample and mixed comments suggest variability in experiences.</t>
  </si>
  <si>
    <t>accepted google identity: 14.2/15; review volume: 18.7/30; review consistency: 0.4/7; review freshness: 7.0/8; verified website: 14.2/15; confirmed irs record: 20.0/20; source corroboration: 5.0/5; Synthesis metadata: high (not part of numeric confidence)</t>
  </si>
  <si>
    <t>2521 N Charles St, Baltimore, MD 21218</t>
  </si>
  <si>
    <t>(443) 569-0452</t>
  </si>
  <si>
    <t>House Of Ruth, Maryland</t>
  </si>
  <si>
    <t>Monday: 10 AM to 4:30 PM; Tuesday: 10 AM to 4:30 PM; Wednesday: 10 AM to 4:30 PM; Thursday: 10 AM to 4:30 PM; Friday: 10 AM to 4:30 PM; Saturday: Closed; Sunday: Closed</t>
  </si>
  <si>
    <t>House of Ruth Maryland provides shelter and wraparound services for survivors of intimate partner violence, including shelter or rapid re-housing, free legal aid, counseling, childcare, and job navigation. The organization also runs IPV education and an Abuse Intervention Program (Gateway Project) to address perpetrator accountability. Services are available to survivors across several Maryland counties where the organization operates.</t>
  </si>
  <si>
    <t>https://hruth.org/</t>
  </si>
  <si>
    <t>Review data show a generally positive picture of House of Ruth Maryland, with many reviewers noting helpful staff and comprehensive survivor services. There are also reports expressing frustration about call-center responsiveness and shelter availability in some cases. The newest reviews in the set are mixed, indicating that experiences may vary by circumstance, but overall the listing appears active and service offerings are supported by corroborating sources.</t>
  </si>
  <si>
    <t>accepted google identity: 14.2/15; review volume: 30.0/30; review consistency: 1.2/7; review freshness: 5.5/8; verified website: 14.2/15; confirmed irs record: 0.0/20; source corroboration: 3.3/5; Synthesis metadata: high (not part of numeric confidence)</t>
  </si>
  <si>
    <t>8990 Old Annapolis Rd Ste A, Columbia, MD 21045</t>
  </si>
  <si>
    <t>(410) 531-6677</t>
  </si>
  <si>
    <t>Grassroots Crisis Intervention</t>
  </si>
  <si>
    <t>Grassroots Crisis Intervention Center provides free, 24/7 crisis intervention and behavioral health support, housing and homelessness assistance, an emergency shelter, and a food/hygiene pantry, along with a 24-hour crisis line and walk-in access for mental health, substance use, housing, and related needs in Howard County, Maryland.</t>
  </si>
  <si>
    <t>http://www.grassrootscrisis.org/</t>
  </si>
  <si>
    <t>Review data show mixed experiences: some reviewers describe compassionate interactions and timely support, while others report outdated resources, long waits, or disrespectful treatment. The newest reviews are largely negative, indicating persistent concerns about service quality. Overall, the review data suggests ongoing challenges in meeting user needs, with occasional positive experiences.</t>
  </si>
  <si>
    <t>accepted google identity: 14.2/15; review volume: 30.0/30; review consistency: 0.5/7; review freshness: 7.4/8; verified website: 14.2/15; confirmed irs record: 0.0/20; source corroboration: 3.3/5; Synthesis metadata: medium (not part of numeric confidence)</t>
  </si>
  <si>
    <t>1400 E North Ave, Baltimore, MD 21213</t>
  </si>
  <si>
    <t>House of Ruth</t>
  </si>
  <si>
    <t>House of Ruth Maryland provides wraparound services for survivors of intimate partner violence, including shelter, rapid re-housing, free legal aid, counseling, childcare, and job navigation, along with IPV trainings and related programs such as the Gateway Project to address abuse and promote safety.</t>
  </si>
  <si>
    <t>Available review data provide limited content to summarize user experiences. The listing shows reviews exist, but there is no accessible text to extract recurring themes. The listing is active and reachable, though the small review sample means reliability for day-to-day service experiences remains uncertain.</t>
  </si>
  <si>
    <t>accepted google identity: 13.3/15; review volume: 13.7/30; review consistency: 0.0/7; review freshness: 0.0/8; verified website: 13.3/15; confirmed irs record: 0.0/20; source corroboration: 3.3/5; Synthesis metadata: medium (not part of numeric confidence)</t>
  </si>
  <si>
    <t>6701 Democracy Blvd #300, Bethesda, MD 20817</t>
  </si>
  <si>
    <t>(888) 417-2742</t>
  </si>
  <si>
    <t>Ashiyanaa</t>
  </si>
  <si>
    <t>Eligibility targets South Asian women and children; services include case management, helpline, and referrals. Intake is via the client services coordinator; emergencies call 911.</t>
  </si>
  <si>
    <t>Ashiyanaa provides culturally competent support services for South Asian women and children affected by interpersonal violence, including case management for survivors and seniors, English and job-readiness support for immigrants, and campus workshops. The organization maintains a toll-free helpline and makes referrals to other providers; emergencies should be directed to 911 if needed.</t>
  </si>
  <si>
    <t>http://ashiyanaa.org/</t>
  </si>
  <si>
    <t>Review data was unavailable or too thin to summarize. The listing appears accessible and active, with a reachable official website and corroborating registry information. There are no public Google Maps reviews in the fetched sample to reflect user feedback.</t>
  </si>
  <si>
    <t>1220 L St NW, Washington, DC 20005</t>
  </si>
  <si>
    <t>(202) 544-1034</t>
  </si>
  <si>
    <t>Rape Abuse Incest National Network</t>
  </si>
  <si>
    <t>Rape Abuse and Incest National Network (RAINN) is a social services organization with an office in Washington, DC.</t>
  </si>
  <si>
    <t>http://www.rainn.org/</t>
  </si>
  <si>
    <t>Review data show mixed experiences. Some reviewers praise the organization’s important work, while at least one 1-star review criticizes its handling and administration in relation to transgender survivors. The newest available reviews include both high and low ratings, and overall direction appears mixed rather than consistently positive or negative.</t>
  </si>
  <si>
    <t>accepted google identity: 13.3/15; review volume: 20.2/30; review consistency: 0.7/7; review freshness: 4.2/8; verified website: 13.3/15; confirmed irs record: 0.0/20; source corroboration: 3.3/5; Synthesis metadata: medium (not part of numeric confidence)</t>
  </si>
  <si>
    <t>Family Crisis Center of Baltimore County provides crisis intervention and shelter services to individuals and families, including a 24/7 crisis helpline and shelter, and engages in advocacy and programs aimed at interrupting cycles of violence so people can be safe and self-sufficient.</t>
  </si>
  <si>
    <t>Review data indicate a mix of experiences. Some reviewers report delays in intake decisions and unclear communication, and a few describe negative interactions with staff. A small number of newer reviews are positive or neutral, but textual feedback overall suggests challenges in the experience.</t>
  </si>
  <si>
    <t>accepted google identity: 14.2/15; review volume: 21.8/30; review consistency: 1.1/7; review freshness: 7.8/8; verified website: 14.2/15; confirmed irs record: 0.0/20; source corroboration: 3.3/5; Synthesis metadata: medium (not part of numeric confidence)</t>
  </si>
  <si>
    <t>3022 S Morgans Point Rd #118, Mt Pleasant, SC 29466</t>
  </si>
  <si>
    <t>(843) 965-5444</t>
  </si>
  <si>
    <t>Darkness To Light</t>
  </si>
  <si>
    <t>Darkness To Light offers education and training to prevent child sexual abuse, including the Stewards of Children program, to help adults, organizations, and communities recognize, prevent, and respond to abuse in safer environments.</t>
  </si>
  <si>
    <t>http://www.d2l.org/</t>
  </si>
  <si>
    <t>Review data for this listing show a very positive sentiment, with an overall 5.0 rating across multiple reviews. However, the newest available review text is empty, so there are no clear recurring themes or concerns to highlight. Given the thin review text, the reliability of sentiment signals is limited, and recent feedback does not contradict the positive impression.</t>
  </si>
  <si>
    <t>accepted google identity: 14.2/15; review volume: 10.1/30; review consistency: 7.0/7; review freshness: 7.6/8; verified website: 14.2/15; confirmed irs record: 0.0/20; source corroboration: 3.3/5; Synthesis metadata: high (not part of numeric confidence)</t>
  </si>
  <si>
    <t>(410) 887-0600</t>
  </si>
  <si>
    <t>Baltimore County Health Department</t>
  </si>
  <si>
    <t>Baltimore County residents.</t>
  </si>
  <si>
    <t>Baltimore County Health Department is a public health agency serving Baltimore County residents with in-person health services.</t>
  </si>
  <si>
    <t>Review data is sparse: there is some review information suggesting user feedback exists, but the actual review text is not provided. The data quality is moderate and there are no recent reviews in the sample, so trends are unclear. The attribution data shows a website access issue, which temper confidence in online details.</t>
  </si>
  <si>
    <t>accepted google identity: 13.4/15; review volume: 6.1/30; review consistency: 0.0/7; review freshness: 0.0/8; verified website: 13.4/15; confirmed irs record: 0.0/20; source corroboration: 3.3/5; Synthesis metadata: medium (not part of numeric confidence)</t>
  </si>
  <si>
    <t>7131 Liberty Rd #103, Gwynn Oak, MD 21207</t>
  </si>
  <si>
    <t>(410) 325-5700</t>
  </si>
  <si>
    <t>Goodtime Family Care</t>
  </si>
  <si>
    <t>Monday: 8 AM to 4 PM; Tuesday: 8 AM to 1 PM; Wednesday: 12 to 6 PM; Thursday: 8 AM to 1 PM; Friday: 8 AM to 4 PM; Saturday: Closed; Sunday: Closed</t>
  </si>
  <si>
    <t>A Maryland-based family medicine and primary care practice serving adults and children, with two locations in Gwynn Oak and Moravia, offering routine primary care and pediatric services.</t>
  </si>
  <si>
    <t>http://goodtimefamilycare.com/</t>
  </si>
  <si>
    <t>Feedback is mixed. Review data show positive experiences with doctors and friendly staff, but recurring concerns about appointment access, phone responsiveness, and delays in refills. The most recent reviews continue to report similar difficulties, though a subset note good care when they are able to be seen.</t>
  </si>
  <si>
    <t>accepted google identity: 14.2/15; review volume: 30.0/30; review consistency: 0.0/7; review freshness: 7.3/8; verified website: 14.2/15; confirmed irs record: 0.0/20; source corroboration: 3.3/5; Synthesis metadata: medium (not part of numeric confidence)</t>
  </si>
  <si>
    <t>4550 Montgomery Ave Ste 1100 n, Bethesda, MD 20814</t>
  </si>
  <si>
    <t>(800) 344-4823</t>
  </si>
  <si>
    <t>Cystic Fibrosis Foundation</t>
  </si>
  <si>
    <t>Non-profit organization; explicit programs or services are not detailed in the provided evidence.</t>
  </si>
  <si>
    <t>https://www.cff.org/</t>
  </si>
  <si>
    <t>Review data indicates a 3.9 average rating from 15 reviews, but there are no newest reviews available in the sample. With no recent feedback, it's hard to tell whether current experiences reflect earlier impressions. The listing is operational with set business hours, but some verification signals (including website access) are mixed, so use this listing with cautious interpretation.</t>
  </si>
  <si>
    <t>accepted google identity: 14.2/15; review volume: 15.3/30; review consistency: 0.0/7; review freshness: 0.0/8; verified website: 14.2/15; confirmed irs record: 0.0/20; source corroboration: 3.3/5; Synthesis metadata: medium (not part of numeric confidence)</t>
  </si>
  <si>
    <t>2700 Remington Ave #2000, Baltimore, MD 21211</t>
  </si>
  <si>
    <t>(667) 312-2450</t>
  </si>
  <si>
    <t>Johns Hopkins Community Physicians</t>
  </si>
  <si>
    <t>New patients are welcome. US Family Health Plan (USFHP) members have direct scheduling benefits. Online scheduling is available via MyChart; scheduling by phone is also offered. Lab work services are available by appointment.</t>
  </si>
  <si>
    <t>Monday - Friday: 8:00 a.m. to 5:00 p.m.</t>
  </si>
  <si>
    <t>Johns Hopkins Community Physicians Remington Location offers primary care and related medical services such as internal medicine, pediatrics, and obstetrics/gynecology at a Hopkins clinic in Baltimore.</t>
  </si>
  <si>
    <t>http://www.hopkinsmedicine.org/community-physicians/locations/remington/?utm_source=Google&amp;utm_medium=Organic&amp;utm_campaign=Yext&amp;utm_content=FAD&amp;utm_keyword=jhcp_rem_av_1</t>
  </si>
  <si>
    <t>Review data show a mix of experiences. Review text highlights strong clinicians and convenient on-site labs and pediatric care, especially in OB/GYN and pediatrics. However, several recent reviews describe difficulty reaching staff by phone and delays in appointment confirmations, sometimes after business hours. The newest reviews include both positive experiences and persistent accessibility issues.</t>
  </si>
  <si>
    <t>accepted google identity: 13.4/15; review volume: 30.0/30; review consistency: 1.5/7; review freshness: 7.2/8; verified website: 13.4/15; confirmed irs record: 0.0/20; source corroboration: 3.3/5; Synthesis metadata: medium (not part of numeric confidence)</t>
  </si>
  <si>
    <t>29 South Paca St, Baltimore, MD 21201</t>
  </si>
  <si>
    <t>(667) 214-1800</t>
  </si>
  <si>
    <t>University of Maryland Family &amp; Community Medicine at Paca Street</t>
  </si>
  <si>
    <t>Appointment required; appointments recommended. No other eligibility or intake details evidenced.</t>
  </si>
  <si>
    <t>Monday: Closed; Tuesday: 8:30 AM to 4:30 PM; Wednesday: 8:30 AM to 4:30 PM; Thursday: 8:30 AM to 7 PM; Friday: 8:30 AM to 4:30 PM; Saturday: Closed; Sunday: Closed</t>
  </si>
  <si>
    <t>University of Maryland Family &amp; Community Medicine at Paca Street provides primary care for patients of all ages, with an on-site immediate care option for staff and students. The clinic’s team delivers routine preventive and acute care through family medicine, including services such as immunizations, minor procedures, prenatal and gynecologic care, school physicals, and senior well/sick care, with referrals to specialists as needed.</t>
  </si>
  <si>
    <t>https://www.umms.org/ummc/locations/um-family-medicine-associates</t>
  </si>
  <si>
    <t>Review data for this listing show mixed experiences. Some patients praise doctors and staff, while others report long wait times, parking challenges, and administrative frustrations. The most recent reviews continue to reflect both positive and negative experiences, with owner responses indicating ongoing engagement.</t>
  </si>
  <si>
    <t>accepted google identity: 14.2/15; review volume: 30.0/30; review consistency: 0.4/7; review freshness: 7.7/8; verified website: 14.2/15; confirmed irs record: 20.0/20; source corroboration: 5.0/5; Synthesis metadata: high (not part of numeric confidence)</t>
  </si>
  <si>
    <t>8901 Herrmann Dr A, Columbia, MD 21045</t>
  </si>
  <si>
    <t>(410) 964-2880</t>
  </si>
  <si>
    <t>Maryland State Dental Association</t>
  </si>
  <si>
    <t>Maryland State Dental Association is a professional association for Maryland dentists that provides continuing education (ADA CERP‑recognized), resources for new dentists, member resources, and referrals/events for members.</t>
  </si>
  <si>
    <t>http://msda.com/</t>
  </si>
  <si>
    <t>Review data shows a small set of largely negative experiences described in user reviews. The most recent feedback expresses strong dissatisfaction, while earlier comments also critique value and quality. The overall signal is negative, but the sample size is limited and may not reflect current operations.</t>
  </si>
  <si>
    <t>accepted google identity: 14.2/15; review volume: 18.2/30; review consistency: 7.0/7; review freshness: 3.9/8; verified website: 14.2/15; confirmed irs record: 20.0/20; source corroboration: 5.0/5; Synthesis metadata: medium (not part of numeric confidence)</t>
  </si>
  <si>
    <t>1501 S Clinton St #200, Baltimore, MD 21224</t>
  </si>
  <si>
    <t>(410) 522-9940</t>
  </si>
  <si>
    <t>Johns Hopkins Community Physicians - Canton Crossing</t>
  </si>
  <si>
    <t>Monday: 8:30 AM to 5 PM; Tuesday: 8:30 AM to 5 PM; Wednesday: 8:30 AM to 7:30 PM; Thursday: 8:30 AM to 5 PM; Friday: 8:30 AM to 5 PM; Saturday: Closed; Sunday: Closed</t>
  </si>
  <si>
    <t>Johns Hopkins Community Physicians – Canton Crossing is a physical-location outpatient medical group offering primary care and specialty services across multiple providers at a Baltimore, MD area site.</t>
  </si>
  <si>
    <t>http://www.hopkinsmedicine.org/community_physicians/locations/baltimore_city/canton_crossing.html</t>
  </si>
  <si>
    <t>Review data for this location shows mixed experiences. Some patients report positive interactions with clinicians and courteous staff, while recurring concerns include long wait times, administrative communication challenges, and difficulty with paperwork or scheduling. The newest reviews continue to reflect a mix of satisfaction and frustration, with no clear trend toward improvement.</t>
  </si>
  <si>
    <t>accepted google identity: 14.2/15; review volume: 30.0/30; review consistency: 1.0/7; review freshness: 7.4/8; verified website: 14.2/15; confirmed irs record: 0.0/20; source corroboration: 3.3/5; Synthesis metadata: medium (not part of numeric confidence)</t>
  </si>
  <si>
    <t>8115 Maple Lawn Blvd Ste 140, Fulton, MD 20759</t>
  </si>
  <si>
    <t>(240) 459-1800</t>
  </si>
  <si>
    <t>Johns Hopkins Community Physicians - Fulton</t>
  </si>
  <si>
    <t>Monday: 8 AM to 5 PM; Tuesday: 8 AM to 5 PM; Wednesday: 8 AM to 7 PM; Thursday: 8 AM to 5 PM; Friday: 8 AM to 5 PM; Saturday: Closed; Sunday: Closed</t>
  </si>
  <si>
    <t>Primary care and related medical services at Johns Hopkins Community Physicians' Fulton location, including internal medicine, family medicine, pediatrics, gynecology &amp; obstetrics, and other specialty care.</t>
  </si>
  <si>
    <t>http://www.hopkinsmedicine.org/community_physicians/locations/howard_county/fulton.html</t>
  </si>
  <si>
    <t>Review data shows mixed experiences: many patients praise the physicians for being thorough, caring, and attentive, while others report billing frustrations and administrative issues. The most recent reviews include a negative billing complaint, suggesting ongoing concerns for some patients, though multiple recent reviews highlight positive experiences with staff and clinicians.</t>
  </si>
  <si>
    <t>accepted google identity: 14.2/15; review volume: 30.0/30; review consistency: 0.2/7; review freshness: 7.4/8; verified website: 14.2/15; confirmed irs record: 0.0/20; source corroboration: 3.3/5; Synthesis metadata: medium (not part of numeric confidence)</t>
  </si>
  <si>
    <t>1201 Seven Locks Rd #201, Rockville, MD 20854</t>
  </si>
  <si>
    <t>(301) 881-7995</t>
  </si>
  <si>
    <t>Johns Hopkins Community Physicians — Rockville Pediatrics</t>
  </si>
  <si>
    <t>Monday: 8:30 AM to 5 PM; Tuesday: 8:30 AM to 5 PM; Wednesday: 8:30 AM to 5 PM; Thursday: 8:30 AM to 5 PM; Friday: 8:30 AM to 5 PM; Saturday: 8:30 AM to 12 PM; Sunday: Closed</t>
  </si>
  <si>
    <t>Johns Hopkins Community Physicians — Rockville Pediatrics provides pediatric medical services, including routine checkups and well‑child visits, care for minor illnesses and injuries, and access to Hopkins specialists. The location also offers telemedicine, sports physicals, adolescent mental health support (including ADHD, anxiety, and depression), contraceptive management, and gender‑affirming care.</t>
  </si>
  <si>
    <t>https://www.hopkinsmedicine.org/community_physicians/locations/montgomery_county/rockville_pediatrics.html</t>
  </si>
  <si>
    <t>Review data show a mix of patient experiences. Many reviews praise clinicians for their care and responsiveness, while several recent posts raise concerns about scheduling and front-desk interactions. Overall, the latest review data suggest ongoing warmth and medical expertise, with mixed experiences around access and administrative processes.</t>
  </si>
  <si>
    <t>accepted google identity: 14.2/15; review volume: 30.0/30; review consistency: 1.5/7; review freshness: 7.2/8; verified website: 14.2/15; confirmed irs record: 0.0/20; source corroboration: 3.3/5; Synthesis metadata: high (not part of numeric confidence)</t>
  </si>
  <si>
    <t>6420 Rockledge Dr Suite 4100, Bethesda, MD 20817</t>
  </si>
  <si>
    <t>(301) 530-5151</t>
  </si>
  <si>
    <t>Johns Hopkins Community Physicians - Montgomery County, Breast Health &amp; Surgery and General Surgery</t>
  </si>
  <si>
    <t>Johns Hopkins Community Physicians, a medical clinic location in Bethesda, MD, providing general medical care in a physical setting.</t>
  </si>
  <si>
    <t>https://www.hopkinsmedicine.org/community-physicians/locations/breast-surgery-somc</t>
  </si>
  <si>
    <t>There is very limited review text available; a single rating is present with no accompanying review content. The listing shows the practice is operational, but structured hours are not published here and the website is not fully accessible, so user experience details are not well characterized.</t>
  </si>
  <si>
    <t>1400 Mercantile Ln #180, Upper Marlboro, MD 20774</t>
  </si>
  <si>
    <t>(301) 925-7022</t>
  </si>
  <si>
    <t>Lakewood Family Clinic</t>
  </si>
  <si>
    <t>Eligibility: immigrants targeted by Immigrant Services; intake/referral handled through Immigrant Services; bilingual staff available.</t>
  </si>
  <si>
    <t>Lakewood Family Clinic is a family medical center that provides primary medical care and a range of health services, including immigrant health support, maternal–child health, and outreach-oriented care coordination programs.</t>
  </si>
  <si>
    <t>https://www.lakewoodfamilyclinic.com/</t>
  </si>
  <si>
    <t>Review data show generally positive experiences with friendly, professional staff and clinicians. Some comments note variability in front-desk interactions during new-patient intake, but overall feedback remains favorable and recent reviews continue to reflect good service.</t>
  </si>
  <si>
    <t>accepted google identity: 14.2/15; review volume: 30.0/30; review consistency: 6.1/7; review freshness: 7.3/8; verified website: 14.2/15; confirmed irs record: 0.0/20; source corroboration: 3.3/5; Synthesis metadata: high (not part of numeric confidence)</t>
  </si>
  <si>
    <t>10905 Fort Washington Rd #105, Fort Washington, MD 20744</t>
  </si>
  <si>
    <t>(240) 766-4194</t>
  </si>
  <si>
    <t>A+ Counseling Center</t>
  </si>
  <si>
    <t>Open to adults and families seeking improved health and wellness; appointments required (same-day or next-day appointments may be available); wheelchair-accessible entrance, parking, and restroom; listed as open six days a week; scheduling and intake information available via the organization.</t>
  </si>
  <si>
    <t>Monday: 9 AM to 5 PM; Tuesday: 10 AM to 6 PM; Wednesday: 9 AM to 5 PM; Thursday: 9 AM to 6 PM; Friday: 9 AM to 3 PM; Saturday: 9 AM to 3 PM; Sunday: Closed</t>
  </si>
  <si>
    <t>Behavioral health counseling center offering individual and group therapy, assessments, and related supports for adults and families.</t>
  </si>
  <si>
    <t>https://acounseling.org/</t>
  </si>
  <si>
    <t>Review data show limited public feedback with at least one negative recent review describing rude phone interactions and pricing concerns. The available review sample is small and not highly recent, so conclusions about current performance should be cautious.</t>
  </si>
  <si>
    <t>accepted google identity: 14.2/15; review volume: 11.1/30; review consistency: 7.0/7; review freshness: 2.8/8; verified website: 14.2/15; confirmed irs record: 0.0/20; source corroboration: 3.3/5; Synthesis metadata: low (not part of numeric confidence)</t>
  </si>
  <si>
    <t>106 Bow St, Elkton, MD 21921</t>
  </si>
  <si>
    <t>(410) 398-4000</t>
  </si>
  <si>
    <t>ChristianaCare Union Hospital</t>
  </si>
  <si>
    <t>ChristianaCare Union Hospital is a full-service community hospital in Elkton, Maryland, offering general medical and surgical care with 24/7 hours and an on-site Emergency Department.</t>
  </si>
  <si>
    <t>https://www.uhcc.com/</t>
  </si>
  <si>
    <t>Review data describe inconsistent experiences: several patients report long wait times and communication gaps in the emergency department, while others praise particular staff members for kindness and clarity. The latest feedback largely echoes the concerns about wait times, with occasional positive experiences about care and staff. Overall, the review data indicate ongoing challenges with wait times, tempered by individual staff excellence.</t>
  </si>
  <si>
    <t>accepted google identity: 14.2/15; review volume: 30.0/30; review consistency: 0.2/7; review freshness: 8.0/8; verified website: 14.2/15; confirmed irs record: 0.0/20; source corroboration: 3.3/5; Synthesis metadata: high (not part of numeric confidence)</t>
  </si>
  <si>
    <t>130 W High St, Hancock, MD 21750</t>
  </si>
  <si>
    <t>(301) 678-7256</t>
  </si>
  <si>
    <t>Tri-State Community Health Center</t>
  </si>
  <si>
    <t>Eligibility open to all patients; primary target is low-income, uninsured, and underinsured; accepts most insurances; sliding fee scale; translation services available; after-hours coverage; referrals and case management available.</t>
  </si>
  <si>
    <t>Monday: 8 AM to 8 PM; Tuesday: 8 AM to 8 PM; Wednesday: 8 AM to 8 PM; Thursday: 8 AM to 8 PM; Friday: 8 AM to 5 PM; Saturday: Closed; Sunday: Closed</t>
  </si>
  <si>
    <t>Tri-State Community Health Center operates five rural community health sites that deliver primary care and related health services to residents in parts of Maryland, Pennsylvania, and West Virginia. The Hancock site provides general primary care and supports women’s health (OB/GYN), preventive services, and mental health care, with care coordination and referral support across the system.</t>
  </si>
  <si>
    <t>https://www.tschc.com/</t>
  </si>
  <si>
    <t>Review data show mixed experiences: a 2023 positive comment highlights attentive staff in pediatric care, while a 1-star review exists with no detail. The newest review is from well over a year ago, and the overall rating is modest, with limited recent feedback. Taken together, the available reviews suggest variable experiences and relatively sparse recent guidance, so the reliability of the listing’s performance signals is moderate.</t>
  </si>
  <si>
    <t>accepted google identity: 14.2/15; review volume: 17.7/30; review consistency: 0.0/7; review freshness: 2.4/8; verified website: 14.2/15; confirmed irs record: 0.0/20; source corroboration: 3.3/5; Synthesis metadata: medium (not part of numeric confidence)</t>
  </si>
  <si>
    <t>12502 Willowbrook Rd, Cumberland, MD 21502</t>
  </si>
  <si>
    <t>(301) 723-3940</t>
  </si>
  <si>
    <t>Tri-State Women's Health Center</t>
  </si>
  <si>
    <t>Appointment required (and recommended) for visits. Translation services available; sliding fee scale and broad insurance acceptance noted. Wheelchair accessible facility and entrance.</t>
  </si>
  <si>
    <t>Tri-State Community Health Center operates a Cumberland, MD site that provides primary medical care and women’s health services, including obstetrics/gynecology, preventive care, immunizations, diagnostic testing, translation services, and access to mental health treatment and counseling, with on-site case management and referrals as needed.</t>
  </si>
  <si>
    <t>https://www.tschc.com/cumberland-obgyn.html</t>
  </si>
  <si>
    <t>Review data show mixed experiences: some patients praise staff and clinicians for responsiveness and care, while at least one recent post raises concerns about billing and patient-rights issues. The newest reviews are sparse and sentiment is mixed, with several positive comments and a few negative reports. Overall, the signal is not strongly one-sided, so readers should weigh individual experiences.</t>
  </si>
  <si>
    <t>accepted google identity: 14.2/15; review volume: 26.4/30; review consistency: 0.1/7; review freshness: 6.8/8; verified website: 14.2/15; confirmed irs record: 0.0/20; source corroboration: 3.3/5; Synthesis metadata: medium (not part of numeric confidence)</t>
  </si>
  <si>
    <t>621 Kelly Rd, Cumberland, MD 21502</t>
  </si>
  <si>
    <t>(301) 722-3270</t>
  </si>
  <si>
    <t>Tri State Community Health Center</t>
  </si>
  <si>
    <t>Eligibility: primary target population is low-income, uninsured, and underinsured, but services are available to all patients. Payment: sliding-fee scale based on income. Most insurances accepted; they also submit to workers’ compensation and motor vehicle insurances. Language translation available; transportation assistance provided; intake/referral processes aligned with site practice. Five sites across MD/PA/WV.</t>
  </si>
  <si>
    <t>Tri-State Community Health Center is a multi-site community health center that provides primary care and related health services. It offers general primary care, family practice, and obstetrics/gynecology, plus mental health treatment and counseling, after-hours coverage, case management, referrals, translation services, and a sliding-fee scale for eligible patients.</t>
  </si>
  <si>
    <t>Review data from the listing show a mix of experiences. Several recent reviews raise concerns about phone access, billing, and front-desk service, while some patients report positive interactions with particular staff and satisfactory lab work. The most recent feedback indicates ongoing access and communication challenges, though there are recurring positive anecdotes about specific clinicians. Overall, the reviews depict a range of experiences rather than a consistent pattern.</t>
  </si>
  <si>
    <t>accepted google identity: 14.2/15; review volume: 30.0/30; review consistency: 2.5/7; review freshness: 7.7/8; verified website: 14.2/15; confirmed irs record: 0.0/20; source corroboration: 3.3/5; Synthesis metadata: medium (not part of numeric confidence)</t>
  </si>
  <si>
    <t>1301 York Rd, Lutherville, MD 21093</t>
  </si>
  <si>
    <t>(443) 901-1550</t>
  </si>
  <si>
    <t>Mental Health Association of Maryland</t>
  </si>
  <si>
    <t>Mental Health Association of Maryland provides advocacy, education, and public outreach around mental health and access to behavioral healthcare in Maryland. Core offerings include Mental Health First Aid Maryland, Engage training for older adults, children’s mental health initiatives, Healthy New Moms, and the Consumer Quality Team of Maryland for consumer-focused oversight and problem-solving in the public behavioral health system.</t>
  </si>
  <si>
    <t>http://www.mhamd.org/</t>
  </si>
  <si>
    <t>Review data are too thin to summarize themes from user feedback; there are no accessible review narratives. Registry checks confirm the organization is actively listed and reachable via its official website, supporting basic reliability.</t>
  </si>
  <si>
    <t>accepted google identity: 14.2/15; review volume: 10.8/30; review consistency: 0.0/7; review freshness: 0.0/8; verified website: 14.2/15; confirmed irs record: 20.0/20; source corroboration: 5.0/5; Synthesis metadata: high (not part of numeric confidence)</t>
  </si>
  <si>
    <t>1701 N Gay St, Baltimore, MD 21213</t>
  </si>
  <si>
    <t>(410) 381-7171</t>
  </si>
  <si>
    <t>Humanim</t>
  </si>
  <si>
    <t>Humanim provides programs and services to help people facing social and economic challenges, including youth services, workforce development, disability‑related supports, and social enterprise initiatives.</t>
  </si>
  <si>
    <t>http://www.humanim.com/</t>
  </si>
  <si>
    <t>Review data show generally positive experiences, with comments about a welcoming atmosphere and friendly staff. Some older reviews express concerns or mixed feedback, including a 2024 low rating and a 2023 note about staff. The newest reviews (from 2025) are favorable, suggesting current feedback trends align with positive impressions despite earlier mixed feedback.</t>
  </si>
  <si>
    <t>accepted google identity: 14.2/15; review volume: 22.8/30; review consistency: 1.2/7; review freshness: 4.0/8; verified website: 14.2/15; confirmed irs record: 0.0/20; source corroboration: 3.3/5; Synthesis metadata: high (not part of numeric confidence)</t>
  </si>
  <si>
    <t>2 N Kresson St, Baltimore, MD 21224</t>
  </si>
  <si>
    <t>(410) 558-3625</t>
  </si>
  <si>
    <t>The Loading Dock, Inc.</t>
  </si>
  <si>
    <t>The Loading Dock, Inc. operates as a nonprofit building materials reuse center in Baltimore, stocking new, used, and salvaged building materials for affordable home improvements and repairs, and emphasizing the reuse of surplus materials to keep them out of landfills.</t>
  </si>
  <si>
    <t>http://www.loadingdock.org/</t>
  </si>
  <si>
    <t>Review data shows generally positive experiences with this organization, with customers praising a large selection of affordable materials, organized displays, and friendly staff. The most recent reviews reinforce this positive sentiment, while a small number of isolated complaints describe occasional stock or service issues. Overall, the recent feedback aligns with earlier positive experiences.</t>
  </si>
  <si>
    <t>accepted google identity: 14.2/15; review volume: 30.0/30; review consistency: 3.9/7; review freshness: 7.9/8; verified website: 14.2/15; confirmed irs record: 20.0/20; source corroboration: 5.0/5; Synthesis metadata: high (not part of numeric confidence)</t>
  </si>
  <si>
    <t>8521 Edgeworth Dr, Capitol Heights, MD 20743</t>
  </si>
  <si>
    <t>(202) 350-7775</t>
  </si>
  <si>
    <t>Labor Intense</t>
  </si>
  <si>
    <t>Capitol Heights, MD-based contractor listing residential remodeling and accessibility-related services on its website, including carpentry, flooring, fences/decks, roofing and siding, as well as grab bars, stair lifts, ramps, railings, and bathroom/kitchen adaptations.</t>
  </si>
  <si>
    <t>https://www.labor-intense.com/contact</t>
  </si>
  <si>
    <t>Review data is unavailable; the listing has no published reviews or recent review samples, so user feedback cannot be summarized. The site is reachable and appears operational, with a verified address and working website. Because review data is so thin, confidence in the listing’s reliability remains limited.</t>
  </si>
  <si>
    <t>730 Ashburton St, Baltimore, MD 21216</t>
  </si>
  <si>
    <t>(410) 233-0684</t>
  </si>
  <si>
    <t>Tuerk House</t>
  </si>
  <si>
    <t>Walk-in intake is available.</t>
  </si>
  <si>
    <t>Monday: 7 AM to 9 PM; Tuesday: 7 AM to 9 PM; Wednesday: 7 AM to 9 PM; Thursday: 7 AM to 9 PM; Friday: 7 AM to 9 PM; Saturday: 9 AM to 5 PM; Sunday: 9 AM to 5 PM</t>
  </si>
  <si>
    <t>Tuerk House is a Baltimore-based community health provider that delivers behavioral health and addiction-treatment services, including walk-in intake and related supports for individuals seeking recovery.</t>
  </si>
  <si>
    <t>https://www.tuerkhouse.org/</t>
  </si>
  <si>
    <t>Reviews describe a mix of experiences: many praise compassionate staff, organized programs, and supportive recovery services; others raise concerns about privacy, communication, and administrative issues. The most recent feedback remains mixed, indicating that experiences may vary by staff and program area. Overall, the service aspects (hours, walk-in intake, and core offerings) appear stable, while user experiences vary.</t>
  </si>
  <si>
    <t>accepted google identity: 14.2/15; review volume: 30.0/30; review consistency: 0.4/7; review freshness: 7.8/8; verified website: 14.2/15; confirmed irs record: 0.0/20; source corroboration: 3.3/5; Synthesis metadata: medium (not part of numeric confidence)</t>
  </si>
  <si>
    <t>300 E Joppa Rd #312, Towson, MD 21286</t>
  </si>
  <si>
    <t>(410) 982-6311</t>
  </si>
  <si>
    <t>The IMAGE Center of Maryland</t>
  </si>
  <si>
    <t>The IMAGE Center of Maryland is a Center for Independent Living that provides advocacy, services, and resources to help people with disabilities live independently. It serves Baltimore City, Baltimore County, and Harford County, with select services offered statewide.</t>
  </si>
  <si>
    <t>http://imagemd.org/</t>
  </si>
  <si>
    <t>Review data show mixed experiences. A very recent review describes delays in obtaining promised resources after contacting a caseworker, while an earlier high-rated review lacks detail. The overall signal is cautious rather than consistently positive, with some concerns about responsiveness and follow-through.</t>
  </si>
  <si>
    <t>accepted google identity: 13.4/15; review volume: 8.5/30; review consistency: 0.0/7; review freshness: 7.7/8; verified website: 13.4/15; confirmed irs record: 0.0/20; source corroboration: 3.3/5; Synthesis metadata: medium (not part of numeric confidence)</t>
  </si>
  <si>
    <t>(410) 828-7700</t>
  </si>
  <si>
    <t>Abilities Network</t>
  </si>
  <si>
    <t>Abilities Network offers community-based supports in Maryland, including employment and independent-living supports for adults with disabilities, Move Management for seniors, family resources through Healthy Families Baltimore County, and training opportunities for families and child care providers.</t>
  </si>
  <si>
    <t>http://www.abilitiesnetwork.org/</t>
  </si>
  <si>
    <t>Review data shows a mix of experiences. Some reviewers praise the organization’s long-standing programs and individualized community supports, while several recent reviews describe turnover and communication gaps. The newest review is positive, but earlier feedback suggests ongoing concerns, so the overall signal is mixed. The organization is registry-confirmed and operational, which supports its ongoing activity.</t>
  </si>
  <si>
    <t>accepted google identity: 13.4/15; review volume: 19.9/30; review consistency: 0.4/7; review freshness: 4.3/8; verified website: 13.4/15; confirmed irs record: 20.0/20; source corroboration: 5.0/5; Synthesis metadata: high (not part of numeric confidence)</t>
  </si>
  <si>
    <t>3800 Frederick Ave, Baltimore, MD 21229</t>
  </si>
  <si>
    <t>(800) 446-8833</t>
  </si>
  <si>
    <t>Mountain Manor Treatment Center</t>
  </si>
  <si>
    <t>Mountain Manor Treatment Center provides addiction treatment and mental health rehabilitation and offers inpatient, outpatient, intensive outpatient, and medical detox services. It indicates acceptance of Medicaid and most major insurances through its listing.</t>
  </si>
  <si>
    <t>http://mountainmanor.org/</t>
  </si>
  <si>
    <t>Review data show a mix of experiences. Some reviewers describe caring staff, supportive peers, and meaningful progress, while others report a harsh environment and concerns about safety, particularly for younger residents. The newest reviews include both positive and negative feedback and do not point clearly in one direction, suggesting variable experiences across individuals.</t>
  </si>
  <si>
    <t>accepted google identity: 13.3/15; review volume: 28.8/30; review consistency: 1.9/7; review freshness: 7.4/8; verified website: 13.3/15; confirmed irs record: 0.0/20; source corroboration: 3.3/5; Synthesis metadata: medium (not part of numeric confidence)</t>
  </si>
  <si>
    <t>2140 McCulloh St, Baltimore, MD 21217</t>
  </si>
  <si>
    <t>(410) 523-1350</t>
  </si>
  <si>
    <t>Druid Heights Community Development Corporation</t>
  </si>
  <si>
    <t>A community development nonprofit with a physical office in Baltimore's Druid Heights neighborhood.</t>
  </si>
  <si>
    <t>http://druidheights.com/</t>
  </si>
  <si>
    <t>Review data indicate that staff are frequently described as friendly and treating people with dignity, and recognize the organization as a valuable community resource. However, several reviews point to limited options and inefficiencies that can hamper progress, with some negative experiences. The most recent reviews show a mix of positive and negative experiences, suggesting no clear, consistent direction.</t>
  </si>
  <si>
    <t>accepted google identity: 14.2/15; review volume: 26.4/30; review consistency: 1.4/7; review freshness: 5.6/8; verified website: 14.2/15; confirmed irs record: 20.0/20; source corroboration: 5.0/5; Synthesis metadata: medium (not part of numeric confidence)</t>
  </si>
  <si>
    <t>Appointments recommended; Spanish language services available; Wheelchair accessible entrance, parking, restroom, and seating.</t>
  </si>
  <si>
    <t>TIME Organization provides outpatient behavioral health services in Baltimore, including mental health counseling and addiction treatment supports, for families, adults, and children.</t>
  </si>
  <si>
    <t>Review data show a mix of positive and negative experiences. Many clients report supportive staff and effective therapy, while several reviews cite disorganization, high staff turnover, and a sense that care isn’t fully tailored to individual needs. The most recent reviews indicate that these themes persist, with a blend of praise and ongoing concerns about the organizational side of care.</t>
  </si>
  <si>
    <t>accepted google identity: 14.2/15; review volume: 30.0/30; review consistency: 0.9/7; review freshness: 7.3/8; verified website: 14.2/15; confirmed irs record: 0.0/20; source corroboration: 3.3/5; Synthesis metadata: medium (not part of numeric confidence)</t>
  </si>
  <si>
    <t>(410) 767-5600</t>
  </si>
  <si>
    <t>Developmental Disabilities Adm</t>
  </si>
  <si>
    <t>Eligibility generally depends on meeting criteria for Medicaid HCBS waivers (Community Pathways Waiver) and ongoing medical/financial criteria. Intake and inquiries are typically handled through the DDA's regional offices; most inquiries about services are best handled by the Regional Office for the county in which you reside.</t>
  </si>
  <si>
    <t>Maryland's Developmental Disabilities Administration coordinates and funds disability services in the community, including administering Medicaid Home and Community-Based Waiver programs and other state-funded supports.</t>
  </si>
  <si>
    <t>https://health.maryland.gov/dda/Pages/dda.aspx</t>
  </si>
  <si>
    <t>Review data show generally positive sentiments, with one recent review praising professionalism and step-by-step assistance. The remaining feedback is older, and the sample size is small, so the current experience may differ. Overall, the available reviews suggest positive experiences but cannot be taken as a comprehensive picture.</t>
  </si>
  <si>
    <t>accepted google identity: 14.2/15; review volume: 12.7/30; review consistency: 7.0/7; review freshness: 2.6/8; verified website: 14.2/15; confirmed irs record: 0.0/20; source corroboration: 3.3/5; Synthesis metadata: high (not part of numeric confidence)</t>
  </si>
  <si>
    <t>700 Light St, Baltimore, MD 21230</t>
  </si>
  <si>
    <t>(410) 983-4000</t>
  </si>
  <si>
    <t>Global Refuge</t>
  </si>
  <si>
    <t>Global Refuge provides refugee and immigrant support, including resettlement assistance, family reunification, foster care, mental health services, and employment-related support to help newcomers build stable lives in the United States.</t>
  </si>
  <si>
    <t>https://www.globalrefuge.org/</t>
  </si>
  <si>
    <t>Review data shows broadly positive feedback about Global Refuge and its staff. Review text highlights compassionate, knowledgeable support for refugees and immigrants and meaningful impact; a small number of posts mention external misinformation about the organization, not the service itself; the latest reviews continue to reflect positive experiences.</t>
  </si>
  <si>
    <t>accepted google identity: 14.2/15; review volume: 30.0/30; review consistency: 2.5/7; review freshness: 6.1/8; verified website: 14.2/15; confirmed irs record: 20.0/20; source corroboration: 5.0/5; Synthesis metadata: high (not part of numeric confidence)</t>
  </si>
  <si>
    <t>8241 Philadelphia Rd, Rosedale, MD 21237</t>
  </si>
  <si>
    <t>(410) 995-7774</t>
  </si>
  <si>
    <t>Reclaim Integrated Care</t>
  </si>
  <si>
    <t>Ages 18+; admission via standard intake/admission process; outpatient treatment.</t>
  </si>
  <si>
    <t>Monday: 9 AM to 5 PM; Tuesday: 9 AM to 6 PM; Wednesday: 9 AM to 5 PM; Thursday: 9 AM to 6 PM; Friday: 9 AM to 5 PM; Saturday: Closed; Sunday: Closed</t>
  </si>
  <si>
    <t>Reclaim Integrated Care offers outpatient treatment for adults with substance use disorders and co-occurring mental health issues in a community-based setting. Services include personalized counseling, group therapy, peer support, medication-assisted treatment, housing support, and vocational assistance.</t>
  </si>
  <si>
    <t>https://reclaimintegratedcare.com/contact</t>
  </si>
  <si>
    <t>Review data indicate generally positive experiences, with frequent praise for caring staff, effective program tools, and housing support. A small number of reviews describe negative experiences, noting judgment or disorganization in groups. The most recent reviews continue to be highly favorable, consistent with the high overall rating.</t>
  </si>
  <si>
    <t>accepted google identity: 14.2/15; review volume: 28.8/30; review consistency: 2.8/7; review freshness: 7.4/8; verified website: 14.2/15; confirmed irs record: 0.0/20; source corroboration: 3.3/5; Synthesis metadata: high (not part of numeric confidence)</t>
  </si>
  <si>
    <t>5901 Holabird Ave Ste A-2, Baltimore, MD 21224</t>
  </si>
  <si>
    <t>(410) 288-8000</t>
  </si>
  <si>
    <t>John Hopkins Care at Home</t>
  </si>
  <si>
    <t>Wheelchair accessible entrance; wheelchair accessible parking; accepts credit/debit cards.</t>
  </si>
  <si>
    <t>Johns Hopkins Care at Home provides health care services delivered in patients’ homes.</t>
  </si>
  <si>
    <t>https://www.hopkinsmedicine.org/care-at-home</t>
  </si>
  <si>
    <t>Review data show mixed experiences for Johns Hopkins Care at Home. Some patients report timely, helpful care and responsive staff, while recent reviews describe communication issues and delays. Overall, the most recent feedback indicates ongoing concerns about reliability, though positive experiences are still reported.</t>
  </si>
  <si>
    <t>accepted google identity: 14.2/15; review volume: 30.0/30; review consistency: 0.4/7; review freshness: 7.5/8; verified website: 14.2/15; confirmed irs record: 0.0/20; source corroboration: 3.3/5; Synthesis metadata: medium (not part of numeric confidence)</t>
  </si>
  <si>
    <t>435 Eastern Blvd, Essex, MD 21221</t>
  </si>
  <si>
    <t>(443) 596-8238</t>
  </si>
  <si>
    <t>Sabinas House</t>
  </si>
  <si>
    <t>Sabinas House is a Maryland-based addiction treatment center in Essex that provides comprehensive recovery services for alcohol and drug dependence, including inpatient rehabilitation, behavioral counseling, withdrawal management, evaluation and treatment of co-occurring issues, and relapse-prevention support.</t>
  </si>
  <si>
    <t>http://sabinashouse.com/</t>
  </si>
  <si>
    <t>Review data describe a consistently positive experience, with reviewers praising caring staff and the program’s supportive environment. The most recent entries continue to express strong satisfaction and appreciation for the care provided, suggesting a stable, favorable impression among the sample. Given the small review sample, conclusions should be cautious beyond what the available comments indicate.</t>
  </si>
  <si>
    <t>accepted google identity: 14.2/15; review volume: 16.3/30; review consistency: 7.0/7; review freshness: 7.7/8; verified website: 14.2/15; confirmed irs record: 0.0/20; source corroboration: 3.3/5; Synthesis metadata: high (not part of numeric confidence)</t>
  </si>
  <si>
    <t>8531 Veterans Hwy 3rd Floor, Millersville, MD 21108</t>
  </si>
  <si>
    <t>(410) 987-1048</t>
  </si>
  <si>
    <t>The Coordinating Center</t>
  </si>
  <si>
    <t>Monday: Closed; Tuesday: 8 AM to 5 PM; Wednesday: 8 AM to 5 PM; Thursday: 8 AM to 5 PM; Friday: 8 AM to 5 PM; Saturday: Closed; Sunday: Closed</t>
  </si>
  <si>
    <t>The Coordinating Center provides care coordination and related support services to individuals and families, including care management, service coordination, community health, and access to financial assistance through the Bridge Fund. It serves people of all ages and abilities and is positioned as a non-profit organization delivering coordinated care across Baltimore-Washington metropolitan areas.</t>
  </si>
  <si>
    <t>http://www.coordinatingcenter.org/</t>
  </si>
  <si>
    <t>Review data show generally positive feedback about staff care and helpful coordination, with several examples of compassionate support. A notable minority of recent reviews mention delays or difficulties in obtaining services, and the organization has responses intended to address concerns. Overall, the voice of reviews is mixed but leans toward commendation for ongoing assistance while highlighting timeliness as an area for improvement.</t>
  </si>
  <si>
    <t>accepted google identity: 14.2/15; review volume: 25.2/30; review consistency: 2.1/7; review freshness: 4.7/8; verified website: 14.2/15; confirmed irs record: 20.0/20; source corroboration: 5.0/5; Synthesis metadata: high (not part of numeric confidence)</t>
  </si>
  <si>
    <t>604 S Frederick Ave #411, Gaithersburg, MD 20877</t>
  </si>
  <si>
    <t>(301) 740-8444</t>
  </si>
  <si>
    <t>PLAN of Maryland- D.C.,Inc.</t>
  </si>
  <si>
    <t>In-person mental health services provided at a Gaithersburg, Maryland location.</t>
  </si>
  <si>
    <t>http://www.planofmd-dc.org/</t>
  </si>
  <si>
    <t>There are no usable reviews available for this listing in the provided data, and the registry shows the listing as in a review-queued state. Because review feedback is unavailable, reliability cannot be assessed from user experiences.</t>
  </si>
  <si>
    <t>8757 Georgia Ave Ste 805, Silver Spring, MD 20910</t>
  </si>
  <si>
    <t>(301) 589-0894</t>
  </si>
  <si>
    <t>Columbia Lighthouse for the Blind</t>
  </si>
  <si>
    <t>Columbia Lighthouse for the Blind provides programs and services for people who are blind or visually impaired. Based on the evidence, they offer low-vision evaluation and assistive technology, independent living and mobility training, case management, workforce development, and youth/family programs.</t>
  </si>
  <si>
    <t>https://www.clb.org/</t>
  </si>
  <si>
    <t>Review data indicate generally positive feedback about CLB’s impact on independence for people with vision loss, with several 5-star reviews and one older comment praising the organization. The most recent review provides little text, limiting detail, but the existing feedback points to helpful, ongoing support.</t>
  </si>
  <si>
    <t>accepted google identity: 13.4/15; review volume: 12.5/30; review consistency: 7.0/7; review freshness: 8.0/8; verified website: 13.4/15; confirmed irs record: 0.0/20; source corroboration: 3.3/5; Synthesis metadata: high (not part of numeric confidence)</t>
  </si>
  <si>
    <t>24 W Bel Air Ave, Aberdeen, MD 21001</t>
  </si>
  <si>
    <t>(410) 272-0230</t>
  </si>
  <si>
    <t>ARS of Aberdeen</t>
  </si>
  <si>
    <t>Eligibility: accepts Maryland Medicaid, Medicare, VA CCN, commercial plans (benefits dependent), and self-pay. Intake: confidential assessment; call to schedule.</t>
  </si>
  <si>
    <t>Monday: 5 AM to 1:30 PM; Tuesday: 5 AM to 1:30 PM; Wednesday: 5 AM to 1:30 PM; Thursday: 5 AM to 1:30 PM; Friday: 5 AM to 1:30 PM; Saturday: 6 to 8 AM; Sunday: Closed</t>
  </si>
  <si>
    <t>ARS Treatment Center of Aberdeen provides outpatient substance-use treatment, including medication-assisted treatment (MAT) with methadone or Suboxone, intensive outpatient programs, general outpatient services, and counseling (individual, group, and family).</t>
  </si>
  <si>
    <t>https://arshealth.com/aberdeen-maryland-addiction-addiction-treatment/</t>
  </si>
  <si>
    <t>Review data show mostly positive feedback about the staff and supportive environment, with reviewers praising counselors and front-desk staff and the non-judgmental atmosphere. A recurring concern notes strictness from one instructor and occasional gaps in consistency, though several reviews report helpfulness and effective guidance. The newest reviews continue to reflect an overall positive impression, with only a small subset expressing disappointment.</t>
  </si>
  <si>
    <t>accepted google identity: 13.4/15; review volume: 30.0/30; review consistency: 3.0/7; review freshness: 6.8/8; verified website: 13.4/15; confirmed irs record: 0.0/20; source corroboration: 3.3/5; Synthesis metadata: high (not part of numeric confidence)</t>
  </si>
  <si>
    <t>1360 Marshall St, Hagerstown, MD 21740</t>
  </si>
  <si>
    <t>(301) 791-4670</t>
  </si>
  <si>
    <t>Developmtl Disabilities Administration</t>
  </si>
  <si>
    <t>Maryland state government office (Maryland Developmental Disabilities Administration) listed with a physical location in Hagerstown, Maryland.</t>
  </si>
  <si>
    <t>Review data show a small number of mostly positive comments from people who describe receiving helpful support and going above expectations. The most recent detailed review expresses gratitude for the assistance provided. However, with only a couple of reviews available, it's hard to gauge consistency or identify any recurring concerns. Overall, the review data point to favorable impressions, though the evidence base is thin.</t>
  </si>
  <si>
    <t>accepted google identity: 14.2/15; review volume: 7.3/30; review consistency: 7.0/7; review freshness: 1.8/8; verified website: 0.0/15; confirmed irs record: 0.0/20; source corroboration: 1.7/5; Synthesis metadata: low (not part of numeric confidence)</t>
  </si>
  <si>
    <t>14299 Benedictine Ln, Ridgely, MD 21660</t>
  </si>
  <si>
    <t>(410) 634-2112</t>
  </si>
  <si>
    <t>Benedictine</t>
  </si>
  <si>
    <t>Benedictine provides education and residential, vocational, and day services for people with developmental disabilities, including a school for ages 5–21 and adult services focused on community living and employment.</t>
  </si>
  <si>
    <t>https://www.benschool.org/</t>
  </si>
  <si>
    <t>Review data describe staff as dedicated and responsive, with consistent positive feedback about students’ progress and the supportive environment. The newest reviews continue this positive trend, reinforcing a perception of meaningful impact and strong community support.</t>
  </si>
  <si>
    <t>accepted google identity: 14.2/15; review volume: 26.4/30; review consistency: 7.0/7; review freshness: 7.1/8; verified website: 14.2/15; confirmed irs record: 20.0/20; source corroboration: 5.0/5; Synthesis metadata: high (not part of numeric confidence)</t>
  </si>
  <si>
    <t>207 E Main St, Salisbury, MD 21801</t>
  </si>
  <si>
    <t>(410) 749-6422</t>
  </si>
  <si>
    <t>White Flint Recovery Eastern Shore, Inc.</t>
  </si>
  <si>
    <t>Monday: 10 AM to 7:30 PM; Tuesday: 10 AM to 7:30 PM; Wednesday: 10 AM to 7:30 PM; Thursday: 10 AM to 7:30 PM; Friday: Closed; Saturday: Closed; Sunday: Closed</t>
  </si>
  <si>
    <t>Outpatient substance-use treatment services, including intensive outpatient (IOP) and standard outpatient (OP) programs for individuals pursuing recovery.</t>
  </si>
  <si>
    <t>http://www.whiteflintrecoveryes.com/</t>
  </si>
  <si>
    <t>Review data show consistently positive feedback about caring, professional staff and a welcoming program; reviewers describe a supportive environment and the program as helpful for recovery. The latest reviews align with prior positive sentiment, with no notable recurring concerns reported.</t>
  </si>
  <si>
    <t>accepted google identity: 14.2/15; review volume: 11.3/30; review consistency: 7.0/7; review freshness: 4.1/8; verified website: 14.2/15; confirmed irs record: 0.0/20; source corroboration: 3.3/5; Synthesis metadata: high (not part of numeric confidence)</t>
  </si>
  <si>
    <t>926 Snow Hill Rd #100, Salisbury, MD 21804</t>
  </si>
  <si>
    <t>(410) 572-5920</t>
  </si>
  <si>
    <t>Maryland Developmental Disabilities Administration</t>
  </si>
  <si>
    <t>Online intake form is available; the agency mentions fair hearings and Medicaid-related appeal options on its site. The sources do not clearly document specific eligibility criteria in the provided materials.</t>
  </si>
  <si>
    <t>Maryland Developmental Disabilities Administration (DDA) is a state agency that provides supports and services for people with developmental disabilities, including focus areas such as self-determination, self-advocacy, housing, employment, and assistive technology.</t>
  </si>
  <si>
    <t>https://health.maryland.gov/dda/Pages/home.aspx</t>
  </si>
  <si>
    <t>Review data from a small Google Maps sample shows a low overall rating (2.3/5) with two recent, negative comments about priorities and impacts on families; the newest review is about 94 days old and reinforces the same concerns. The agency’s official website is verifiably reachable and provides information about its focus areas, but the user-review data is limited and largely negative in the available sample.</t>
  </si>
  <si>
    <t>31901 Tri-County Way, Salisbury, MD 21804</t>
  </si>
  <si>
    <t>(410) 546-4604</t>
  </si>
  <si>
    <t>Telamon Corporation</t>
  </si>
  <si>
    <t>Telamon Corporation provides integrated family-support programs across multiple states, including early childhood education, workforce development, housing stability, and financial empowerment.</t>
  </si>
  <si>
    <t>http://www.telamon.org/</t>
  </si>
  <si>
    <t>Review data indicate generally positive feedback about staff support and program impact for families. However, there are no recent reviews in the current dataset, so it is difficult to gauge current performance.</t>
  </si>
  <si>
    <t>accepted google identity: 13.5/15; review volume: 10.8/30; review consistency: 0.0/7; review freshness: 0.0/8; verified website: 13.5/15; confirmed irs record: 0.0/20; source corroboration: 3.3/5; Synthesis metadata: high (not part of numeric confidence)</t>
  </si>
  <si>
    <t>9199 Reisterstown Rd suite 105 b, Owings Mills, MD 21117</t>
  </si>
  <si>
    <t>(410) 989-9922</t>
  </si>
  <si>
    <t>First Choice Counseling Center</t>
  </si>
  <si>
    <t>All FCCC providers accept Maryland Medicaid; self‑pay options are available. Evidence also notes some clinicians accept other insurances (e.g., CIGNA/Evernorth and Aetna).</t>
  </si>
  <si>
    <t>Monday: 9 AM to 7 PM; Tuesday: 9 AM to 7 PM; Wednesday: 9 AM to 7 PM; Thursday: 9 AM to 7 PM; Friday: 9 AM to 5 PM; Saturday: 9 AM to 1 PM; Sunday: Closed</t>
  </si>
  <si>
    <t>First Choice Counseling Center is a behavioral health provider in Owings Mills offering mental health therapy, medication management, anger‑management education, substance‑use education, and related rehabilitative services.</t>
  </si>
  <si>
    <t>http://www.firstcccenter.com/</t>
  </si>
  <si>
    <t>Review data shows mixed experiences. Several clients praise therapists for compassion and effectiveness, while others report communication and administrative issues, including concerns about leadership. The newest reviews continue to reflect a divided experience, with both positive and negative feedback present.</t>
  </si>
  <si>
    <t>accepted google identity: 14.2/15; review volume: 20.1/30; review consistency: 0.0/7; review freshness: 5.8/8; verified website: 14.2/15; confirmed irs record: 0.0/20; source corroboration: 3.3/5; Synthesis metadata: medium (not part of numeric confidence)</t>
  </si>
  <si>
    <t>6110 Executive Blvd Ste 305, Rockville, MD 20852</t>
  </si>
  <si>
    <t>(800) 328-8476</t>
  </si>
  <si>
    <t>Autism Society</t>
  </si>
  <si>
    <t>Wheelchair accessible entrance and parking available.</t>
  </si>
  <si>
    <t>Monday: 8:30 AM to 4:30 PM; Tuesday: Closed; Wednesday: 8:30 AM to 4:30 PM; Thursday: Closed; Friday: Closed; Saturday: Closed; Sunday: Closed</t>
  </si>
  <si>
    <t>The Autism Society of America is a national autism advocacy and support organization that provides advocacy, education and referral, guidance, and community connections through a nationwide network of affiliates.</t>
  </si>
  <si>
    <t>https://autismsociety.org/</t>
  </si>
  <si>
    <t>Review data from Google Maps show an overall rating of 4.0 from 4 public reviews, but the fetched sample includes a 1-star review criticizing leadership. The newest review is about 315 days old, and the listing is marked operational, indicating limited recent feedback. Overall, the available reviews point to some concerns about management, but the small sample limits confidence in broader trends.</t>
  </si>
  <si>
    <t>accepted google identity: 13.3/15; review volume: 10.1/30; review consistency: 7.0/7; review freshness: 4.4/8; verified website: 13.3/15; confirmed irs record: 20.0/20; source corroboration: 5.0/5; Synthesis metadata: medium (not part of numeric confidence)</t>
  </si>
  <si>
    <t>2625 Mas Que Farm Rd, Annapolis, MD 21403</t>
  </si>
  <si>
    <t>(410) 990-0941</t>
  </si>
  <si>
    <t>Wellness House of Annapolis</t>
  </si>
  <si>
    <t>Wellness House of Annapolis offers free programs and services for people affected by cancer, including support groups for children, teens, and adults, as well as yoga, reiki, meditation, and therapeutic art classes along with grief support.</t>
  </si>
  <si>
    <t>https://www.annapoliswellnesshouse.org/</t>
  </si>
  <si>
    <t>Review data consistently highlights compassionate staff, helpful programs, and a welcoming space for people touched by cancer. The newest reviews reinforce this positive impression, and the overall sentiment remains very favorable across a sample of recent feedback. Registry status is confirmed, and official website attribution and filings corroborate the listing’s identity and ongoing operation.</t>
  </si>
  <si>
    <t>accepted google identity: 14.2/15; review volume: 26.4/30; review consistency: 7.0/7; review freshness: 6.2/8; verified website: 14.2/15; confirmed irs record: 20.0/20; source corroboration: 5.0/5; Synthesis metadata: high (not part of numeric confidence)</t>
  </si>
  <si>
    <t>1730 Rhode Island Ave NW, Washington, DC 20036</t>
  </si>
  <si>
    <t>(202) 872-0888</t>
  </si>
  <si>
    <t>Dementia Friendly America</t>
  </si>
  <si>
    <t>Dementia Friendly America Network does not offer direct supportive services or case management; it functions as a national network to promote dementia-friendly communities and to connect people with local resources, directing individuals to Eldercare Locator for assistance.</t>
  </si>
  <si>
    <t>http://www.dfamerica.org/contact-us/</t>
  </si>
  <si>
    <t>There are no public review data available for this listing, so reliability relies on non-review signals rather than user feedback. The site confirms a contact page and operational status, but does not document any specific services or programs. With minimal review data and limited corroborating details, the reliability assessment remains cautious and should be updated if more reviews or program information becomes available.</t>
  </si>
  <si>
    <t>1 M St SE Ste. 510, Washington, DC 20003</t>
  </si>
  <si>
    <t>(800) 344-4867</t>
  </si>
  <si>
    <t>National Multiple Sclerosis Society</t>
  </si>
  <si>
    <t>DC-area chapter of the National Multiple Sclerosis Society, a national nonprofit organization; has a local physical presence and regular business hours.</t>
  </si>
  <si>
    <t>https://www.nationalmssociety.org/</t>
  </si>
  <si>
    <t>Review data show a small set of public reviews with a newest review from 224 days ago stating 'Excellent.' The overall sample is sparse and lacks detail about user experiences, so conclusions are limited, though the available feedback is positive.</t>
  </si>
  <si>
    <t>accepted google identity: 14.2/15; review volume: 10.1/30; review consistency: 7.0/7; review freshness: 5.2/8; verified website: 14.2/15; confirmed irs record: 0.0/20; source corroboration: 3.3/5; Synthesis metadata: high (not part of numeric confidence)</t>
  </si>
  <si>
    <t>324 E Antietam St SUITE 308, Hagerstown, MD 21740</t>
  </si>
  <si>
    <t>(301) 766-0065</t>
  </si>
  <si>
    <t>Adac (Alternative Drug &amp; Alcohol Counseling)</t>
  </si>
  <si>
    <t>Medicaid accepted; other payment options include major credit cards and cash. Office locations in Hagerstown and Cumberland; intake/referral processes follow standard outpatient procedures. Hours vary by location: Hagerstown site generally Mon–Thu 9:00 AM–8:00 PM, Fri 9:00 AM–12:00 PM; Cumberland site Mon–Thu 9:00 AM–7:30 PM, Fri (Cumberland) closed.</t>
  </si>
  <si>
    <t>Monday: 8 AM to 8 PM; Tuesday: 8 AM to 7 PM; Wednesday: 8 AM to 8 PM; Thursday: 8 AM to 8 PM; Friday: 9 AM to 12 PM; Saturday: Closed; Sunday: Closed</t>
  </si>
  <si>
    <t>ADAC provides outpatient addiction treatment and substance-use counseling, including screenings and assessments, individual and group counseling, DUI education, urinalysis testing, and referrals to community resources. It operates outpatient offices in the area, offering services designed to support recovery and ongoing wellness without inpatient admission.</t>
  </si>
  <si>
    <t>https://adachelp.org/</t>
  </si>
  <si>
    <t>Review data show generally positive experiences, with recurring praise for supportive staff and counselors and a safe, welcoming environment that supports recovery. Several narratives describe staff as compassionate and effective, and some longtime clients credit the program with meaningful progress. The newest available review text is brief and does not contradict this positive pattern, while one very short entry provides limited information.</t>
  </si>
  <si>
    <t>accepted google identity: 14.2/15; review volume: 19.7/30; review consistency: 1.4/7; review freshness: 7.4/8; verified website: 14.2/15; confirmed irs record: 0.0/20; source corroboration: 3.3/5; Synthesis metadata: high (not part of numeric confidence)</t>
  </si>
  <si>
    <t>9770 Patuxent Woods Dr #308, Columbia, MD 21046</t>
  </si>
  <si>
    <t>(410) 290-3466</t>
  </si>
  <si>
    <t>Autism Society of Maryland</t>
  </si>
  <si>
    <t>Autism Society of Maryland provides autism-related resources and information for families, including a free parent/caregiver support group called Navigating the Autism Journey, along with back-to-school resources and community events described on its site.</t>
  </si>
  <si>
    <t>https://autismsocietymd.org/</t>
  </si>
  <si>
    <t>Review data show a small number of reviews with generally positive ratings and comments about the organization's resources and programs. One older review expresses frustration about receiving assistance. Because the newest review is several years old and the sample size is small, the review data are sparse and may not reflect current operations; however, the organization appears active, and corroborating signals from the site indicate it runs resources and events for families.</t>
  </si>
  <si>
    <t>accepted google identity: 13.4/15; review volume: 13.5/30; review consistency: 2.1/7; review freshness: 1.7/8; verified website: 13.4/15; confirmed irs record: 20.0/20; source corroboration: 5.0/5; Synthesis metadata: high (not part of numeric confidence)</t>
  </si>
  <si>
    <t>4 E Rolling Crossroads Ste 209, Catonsville, MD 21228</t>
  </si>
  <si>
    <t>(301) 507-1207</t>
  </si>
  <si>
    <t>Trusted Hearts Homecare Solutions</t>
  </si>
  <si>
    <t>Trusted Hearts Homecare Solutions provides in-home care for seniors in Catonsville, MD, including senior care, dementia support, personal assistance, and pediatric home care, delivered by caregivers in the client’s home.</t>
  </si>
  <si>
    <t>https://trustedheartshcs.com/</t>
  </si>
  <si>
    <t>Review data about this organization shows consistently high satisfaction, with many reviewers praising attentive, compassionate, and reliable in-home care. Recurring themes include responsive intake processes, ongoing communication, and caregivers who are dependable and genuinely caring, even during challenging situations like winter weather. The latest reviews continue to reflect positive experiences, suggesting stable, ongoing quality in the in-home care services provided.</t>
  </si>
  <si>
    <t>accepted google identity: 13.5/15; review volume: 25.7/30; review consistency: 6.0/7; review freshness: 5.4/8; verified website: 13.5/15; confirmed irs record: 0.0/20; source corroboration: 3.3/5; Synthesis metadata: high (not part of numeric confidence)</t>
  </si>
  <si>
    <t>3801 International Dr #210, Silver Spring, MD 20906</t>
  </si>
  <si>
    <t>(301) 562-7200</t>
  </si>
  <si>
    <t>The Neurology Center Leisure World Plaza</t>
  </si>
  <si>
    <t>Appointments are required; telemedicine and in-office visits are available. The center participates with most major insurance plans, and same-day or next-day appointments may be possible for urgent needs.</t>
  </si>
  <si>
    <t>A neurology clinic offering in-person neurological care and a suite of neurodiagnostic services, including ambulatory EEG, EEG, EMG, evoked responses, and neuropsychological evaluation.</t>
  </si>
  <si>
    <t>https://www.neurologycenter.com/?utm_source=GMBSocialClimb&amp;utm_medium=TheNeurologyCenterLeisureWorldPlaza</t>
  </si>
  <si>
    <t>Review data show consistently positive feedback from patients, with reviewers praising knowledgeable clinicians, thorough care, and a high level of attentiveness. The newest reviews continue to reflect satisfaction with the providers and the care experience, suggesting stable positive performance over time.</t>
  </si>
  <si>
    <t>400 Red Brook Blvd Ste 220, Owings Mills, MD 21117</t>
  </si>
  <si>
    <t>(410) 594-2600</t>
  </si>
  <si>
    <t>VNA of Maryland</t>
  </si>
  <si>
    <t>Generally Medicare/Medicaid may cover home health services for patients who meet eligibility requirements; private insurance or workers’ compensation may also cover. Evidence did not specify intake or referral procedures.</t>
  </si>
  <si>
    <t>Home health care services provided in patients’ homes, including skilled nursing, physical therapy, occupational therapy, speech therapy, infusion therapy, wound/ostomy care, medication management, nutritional support, medical social work, and caregiver/patient training.</t>
  </si>
  <si>
    <t>https://lhcgroup.com/locations/vna-of-maryland/</t>
  </si>
  <si>
    <t>Review data show recurring concerns about scheduling and timeliness, with multiple reviewers reporting late or missed visits and poor communication. The available review data also include responsive statements from the organization, but the newest feedback in the sample remains negative, indicating no clear improvement in recent experiences.</t>
  </si>
  <si>
    <t>accepted google identity: 14.2/15; review volume: 20.1/30; review consistency: 7.0/7; review freshness: 3.6/8; verified website: 14.2/15; confirmed irs record: 0.0/20; source corroboration: 3.3/5; Synthesis metadata: low (not part of numeric confidence)</t>
  </si>
  <si>
    <t>826 Washington Rd Suite 111, Westminster, MD 21157</t>
  </si>
  <si>
    <t>(443) 201-9990</t>
  </si>
  <si>
    <t>LifeBridge Health Physical Therapy - Westminster</t>
  </si>
  <si>
    <t>Appointments recommended; Wheelchair accessible parking; Payments accepted: Credit/debit cards and NFC mobile payments.</t>
  </si>
  <si>
    <t>Monday: Closed; Tuesday: 7:30 AM to 7 PM; Wednesday: 8 AM to 7 PM; Thursday: 7:30 AM to 7 PM; Friday: 7:30 AM to 1:30 PM; Saturday: Closed; Sunday: Closed</t>
  </si>
  <si>
    <t>Physical therapy clinic in Westminster, MD offering individualized rehabilitation plans and therapy services to help patients recover from injuries and improve function.</t>
  </si>
  <si>
    <t>https://www.novacare.com/contact/find-a-location/md/westminster/westminster/?ty=xt</t>
  </si>
  <si>
    <t>Review data shows consistently positive feedback emphasizing compassionate, professional staff and individualized care. The latest reviews continue to reflect high satisfaction with thorough evaluations and effective therapy, with no meaningful negative trends in the sample; however, new reviews are relatively infrequent.</t>
  </si>
  <si>
    <t>accepted google identity: 13.4/15; review volume: 30.0/30; review consistency: 7.0/7; review freshness: 6.7/8; verified website: 13.4/15; confirmed irs record: 0.0/20; source corroboration: 3.3/5; Synthesis metadata: high (not part of numeric confidence)</t>
  </si>
  <si>
    <t>FutureCare Courtland is a skilled nursing and rehabilitation center offering around-the-clock nursing, inpatient rehabilitation (physical therapy, occupational therapy, speech-language pathology), and on-site dialysis services, supported by a VitalStrong rehabilitation program and coordinated case management.</t>
  </si>
  <si>
    <t>Review data show a mix of experiences. Many reviewers praise the compassionate nursing and rehabilitation teams and meaningful recovery, while several recent comments express concerns about meals, family communication, and some facility aspects. Overall, the latest reviews appear mixed, with positive notes about care tempered by ongoing complaints in a few areas.</t>
  </si>
  <si>
    <t>3517 Langrehr Rd, Windsor Mill, MD 21244</t>
  </si>
  <si>
    <t>(410) 655-0752</t>
  </si>
  <si>
    <t>Precious Hearts</t>
  </si>
  <si>
    <t>Monday: 10 AM to 5:05 PM; Tuesday: 10 AM to 5:05 PM; Wednesday: 10 AM to 5:05 PM; Thursday: 10 AM to 5:05 PM; Friday: 10 AM to 5:05 PM; Saturday: Closed; Sunday: Closed</t>
  </si>
  <si>
    <t>Precious Hearts Companion Care is a Maryland home health care agency that provides in-home personal care and home health support to seniors and other clients, operating as a residential/home health care service licensed by the Maryland Department of Health and Mental Hygiene.</t>
  </si>
  <si>
    <t>http://preciousheartsmd.com/</t>
  </si>
  <si>
    <t>Review feedback was unavailable or too thin to summarize. No consumer reviews are published for this listing, so we cannot identify recurring themes. Operational status appears to be active based on available sources, and hours are corroborated by both the listing and the official website.</t>
  </si>
  <si>
    <t>222 Milford Mill Rd, Pikesville, MD 21208</t>
  </si>
  <si>
    <t>(410) 602-6493</t>
  </si>
  <si>
    <t>Reliable Medical &amp; Healthcare Services</t>
  </si>
  <si>
    <t>Home health care service offering physical health care.</t>
  </si>
  <si>
    <t>http://www.reliablemedical.net/</t>
  </si>
  <si>
    <t>Review data indicates one five-star review praising staff kindness and attentiveness; there is only a single review in the sample, posted about 236 days ago. The newest review notes friendly and attentive service, with no negative feedback in the available data. Because the review sample is small, the reliability of this listing cannot be strongly established.</t>
  </si>
  <si>
    <t>accepted google identity: 14.2/15; review volume: 5.0/30; review consistency: 7.0/7; review freshness: 5.1/8; verified website: 14.2/15; confirmed irs record: 0.0/20; source corroboration: 3.3/5; Synthesis metadata: low (not part of numeric confidence)</t>
  </si>
  <si>
    <t>120 Cockeysville Rd Ste 103, Cockeysville, MD 21030</t>
  </si>
  <si>
    <t>(410) 584-8500</t>
  </si>
  <si>
    <t>Forward Visions, Inc.</t>
  </si>
  <si>
    <t>Wheelchair accessible entrance and parking; On-site parking.</t>
  </si>
  <si>
    <t>Forward Visions, Inc. is a registered organization with a physical office in Hunt Valley, Maryland, categorized under Youth, Family, &amp; General Support Services.</t>
  </si>
  <si>
    <t>http://www.forwardvisionsinc.org/about-us/</t>
  </si>
  <si>
    <t>The listing shows a small set of public reviews with an overall low rating and a newest review from 171 days ago that contains no public comments. The organization is registered and physically located in Hunt Valley, but the official website page returns a not-found response and an address field is reported as not found in corrections. Because the review text is sparse and one linked page is not reliably reachable, reliability of the listed services is limited.</t>
  </si>
  <si>
    <t>accepted google identity: 14.2/15; review volume: 8.9/30; review consistency: 7.0/7; review freshness: 5.8/8; verified website: 14.2/15; confirmed irs record: 20.0/20; source corroboration: 5.0/5; Synthesis metadata: medium (not part of numeric confidence)</t>
  </si>
  <si>
    <t>6316 Greenspring Ave, Baltimore, MD 21209</t>
  </si>
  <si>
    <t>(410) 262-9355</t>
  </si>
  <si>
    <t>Onena Home Healthcare- Maryland</t>
  </si>
  <si>
    <t>Referral or inquiry via the website contact form; intake procedures are not specified. Administrative location at 6316 Greenspring Ave, Baltimore, MD 21209; Administrative hours Mon–Fri 9:00 am–5:00 pm; Sat–Sun closed.</t>
  </si>
  <si>
    <t>In-home private-duty care provider offering dementia and memory-care support, post-hospital recovery, chronic-illness care, and mobility assistance, with hourly, live-in, and 24-hour coverage options.</t>
  </si>
  <si>
    <t>https://www.onenahealth.org/</t>
  </si>
  <si>
    <t>Review data show consistently positive feedback: reviewers describe a clean, welcoming environment and staff who are kind, generous, and caring toward loved ones. Recurring themes include attentive staff and reliable assistance, with newest reviews from 117 days ago aligned with earlier praise.</t>
  </si>
  <si>
    <t>accepted google identity: 14.2/15; review volume: 11.3/30; review consistency: 7.0/7; review freshness: 6.4/8; verified website: 14.2/15; confirmed irs record: 0.0/20; source corroboration: 3.3/5; Synthesis metadata: high (not part of numeric confidence)</t>
  </si>
  <si>
    <t>3000 N Ridge Rd, Ellicott City, MD 21043</t>
  </si>
  <si>
    <t>(410) 461-7577</t>
  </si>
  <si>
    <t>Ellicott City Healthcare Center</t>
  </si>
  <si>
    <t>Ellicott City Healthcare Center is a skilled nursing facility that provides short-term recovery and rehabilitation services as well as long-term care.</t>
  </si>
  <si>
    <t>https://communicarehealth.com/location/ellicott-city-healthcare-center/?utm_source=google&amp;utm_medium=organic&amp;utm_campaign=gbp-ellicott-city</t>
  </si>
  <si>
    <t>Review data show a mix of sentiment. Recurring concerns in reviews focus on care quality and responsiveness, including accounts of neglect and slow staff response, while some reviewers mention positive experiences with admissions staff and the facility atmosphere. The newest reviews continue to present a divided picture, suggesting no clear, uniform improvement in quality over time.</t>
  </si>
  <si>
    <t>Sinai Hospital is a general hospital facility in Baltimore that provides medical care to the community.</t>
  </si>
  <si>
    <t>Review data show a mix of experiences at Sinai Hospital. Many reviewers describe positive experiences with staff and clinicians, noting professionalism and attentive care. A smaller set of reviews highlights negative experiences in the psychiatric unit and longer wait times, indicating variability across departments. Overall, the latest reviews reflect a range of experiences rather than a single, uniform pattern.</t>
  </si>
  <si>
    <t>accepted google identity: 13.4/15; review volume: 30.0/30; review consistency: 1.0/7; review freshness: 8.0/8; verified website: 13.4/15; confirmed irs record: 20.0/20; source corroboration: 5.0/5; Synthesis metadata: high (not part of numeric confidence)</t>
  </si>
  <si>
    <t>3290 Pine Orchard Ln Ste. 108, Ellicott City, MD 21042</t>
  </si>
  <si>
    <t>(410) 776-7515</t>
  </si>
  <si>
    <t>SYNERGY HomeCare</t>
  </si>
  <si>
    <t>SYNERGY HomeCare of Ellicott City offers non-medical, in-home care for aging individuals, people with disabilities, and others needing assistance. Core services include companionship, homemaking, personal care, and transportation, with caregiver matching and flexible availability to meet changing needs.</t>
  </si>
  <si>
    <t>https://www.synergyhomecare.com/md-ellicott-city-21042/?utm_source=google&amp;utm_medium=local&amp;utm_campaign=localmaps&amp;utm_content=2110</t>
  </si>
  <si>
    <t>Review data show consistently positive feedback from clients, with testimonials highlighting compassionate, attentive, and personalized in-home care. Several reports note quick responsiveness from the owner and staff, successful caregiver matching, and reliability during long-term care needs; the newest reviews indicate ongoing high satisfaction and strong service quality.</t>
  </si>
  <si>
    <t>accepted google identity: 14.2/15; review volume: 30.0/30; review consistency: 6.1/7; review freshness: 7.5/8; verified website: 14.2/15; confirmed irs record: 0.0/20; source corroboration: 3.3/5; Synthesis metadata: high (not part of numeric confidence)</t>
  </si>
  <si>
    <t>22 W Pennsylvania Ave Ste 602A, Towson, MD 21204</t>
  </si>
  <si>
    <t>(410) 630-9063</t>
  </si>
  <si>
    <t>Universal Key Solutions</t>
  </si>
  <si>
    <t>Eligibility: Medicare/Medicaid coverage for DME; accepts private pay; financing through CareCredit; intake and order fulfillment coordinated with clinicians; serves Baltimore County and Baltimore City with doorstep delivery.</t>
  </si>
  <si>
    <t>Universal Key Solutions is a Medicare/Medicaid‑approved durable medical equipment (DME) provider in Towson, MD, offering CPAP equipment, hospital beds, group 3 power wheelchairs, and complex rehab technology, with doorstep delivery and financing options. They supply a broad range of clinical supplies and equipment across Baltimore County and Baltimore City.</t>
  </si>
  <si>
    <t>http://www.universalkeysolutions.com/</t>
  </si>
  <si>
    <t>Review data shows consistently five-star experiences, with reviewers praising knowledgeable staff, proactive communication, and smooth, hassle-free service from start to finish. Review text highlights helpful coordination with doctors and hospitals, quick delivery of equipment, and professional, reliable customer service. The newest reviews indicate this positive trend remains stable.</t>
  </si>
  <si>
    <t>accepted google identity: 14.2/15; review volume: 21.7/30; review consistency: 7.0/7; review freshness: 7.3/8; verified website: 14.2/15; confirmed irs record: 0.0/20; source corroboration: 3.3/5; Synthesis metadata: high (not part of numeric confidence)</t>
  </si>
  <si>
    <t>1160 East Northern Parkway, Baltimore, MD 21239</t>
  </si>
  <si>
    <t>(443) 374-8188</t>
  </si>
  <si>
    <t>Caring With Love And Compassion Homecare Agency LLC</t>
  </si>
  <si>
    <t>Caring With Love And Compassion Homecare Agency provides in-home health care services in Baltimore, MD, delivering in-home care and supportive nursing services to clients in their own homes.</t>
  </si>
  <si>
    <t>https://cwlachomecare.com/</t>
  </si>
  <si>
    <t>Review data consistently highlights professional, compassionate staff and strong communication with families. Review text emphasizes dignity and respect in care and reliable, attentive service. The newest reviews continue to reflect high satisfaction, indicating the positive experience is stable over time.</t>
  </si>
  <si>
    <t>accepted google identity: 14.2/15; review volume: 15.9/30; review consistency: 7.0/7; review freshness: 4.0/8; verified website: 14.2/15; confirmed irs record: 0.0/20; source corroboration: 3.3/5; Synthesis metadata: high (not part of numeric confidence)</t>
  </si>
  <si>
    <t>5074 Dorsey Hall Dr #104, Ellicott City, MD 21042</t>
  </si>
  <si>
    <t>(410) 938-1354</t>
  </si>
  <si>
    <t>Gifted Hands Senior Care LLC</t>
  </si>
  <si>
    <t>Free in-home consultation available; intake begins with a consultation and staff can start services after assessment; service area includes Maryland counties; payment methods include Private Pay, Medicaid, Medicare, Long-Term Care Insurance, Private Health Insurance, and Veterans benefits.</t>
  </si>
  <si>
    <t>Gifted Hands Senior Care LLC provides in-home care for seniors and adults, including personal care, dementia and Alzheimer's care, medication administration, wound care, respite care, and post-hospital or end-of-life support, all delivered in the home.</t>
  </si>
  <si>
    <t>http://giftedhandsseniorcare.org/</t>
  </si>
  <si>
    <t>Review data shows consistently positive feedback from clients about Gifted Hands Senior Care's responsiveness and compassionate, personalized care. Review text highlights daily updates and trustful, attentive care for dementia and end-of-life needs. The most recent reviews continue the positive trend, and the owner actively responds to feedback, indicating ongoing reliability.</t>
  </si>
  <si>
    <t>accepted google identity: 14.2/15; review volume: 24.9/30; review consistency: 7.0/7; review freshness: 5.1/8; verified website: 14.2/15; confirmed irs record: 0.0/20; source corroboration: 3.3/5; Synthesis metadata: high (not part of numeric confidence)</t>
  </si>
  <si>
    <t>To request a tour, complete the form on the site. For individual patient inquiries, call the facility at 410-554-6300. For general questions or concerns, contact Customer Care at 888-227-3181.</t>
  </si>
  <si>
    <t>FutureCare Homewood is a skilled nursing and rehabilitation center offering short-stay rehab and complex medical care, including cardiac rehabilitation (HeartStrong), orthopedic rehabilitation (WalkStrong), a 31-bed ventilator/pulmonary care unit, on-site dialysis, wound and IV therapy, nutrition and pharmacy services, case management and social services, and comprehensive therapy (PT/OT/ST), all supported by around-the-clock nursing.</t>
  </si>
  <si>
    <t>Review data shows a mixed picture: staff are described as professional and caring in many positive notes, while several recent reviews raise concerns about care quality and safety. The newest feedback includes both praise and criticism, and does not point in a single direction overall. Review text indicates ongoing responsiveness from leadership in addressing concerns, but experiences vary by visit.</t>
  </si>
  <si>
    <t>accepted google identity: 14.2/15; review volume: 30.0/30; review consistency: 0.9/7; review freshness: 6.0/8; verified website: 14.2/15; confirmed irs record: 0.0/20; source corroboration: 3.3/5; Synthesis metadata: medium (not part of numeric confidence)</t>
  </si>
  <si>
    <t>2141 Huntingdon Ave, Baltimore, MD 21211</t>
  </si>
  <si>
    <t>(410) 630-8410</t>
  </si>
  <si>
    <t>Altimax Home Care</t>
  </si>
  <si>
    <t>Residential Services- Lebel 2 agency; licensed to provide Nursing and Personal Care Assistance by the Office of Health Care Quality (OHCQ); plans to work with Maryland Waiver Program, Medicaid, DDA, and other commercial insurance; COMAR-compliant.</t>
  </si>
  <si>
    <t>Home health care and at-home personal care services coordinated at clients’ residences, with caregiver recruitment and placement; licensed Residential Services- Lebel 2 and compliant with COMAR; primarily serves Maryland Waiver, Medicaid, and Developmental Disabilities Administration (DDA) programs.</t>
  </si>
  <si>
    <t>No usable consumer review data is available for this listing, so reliability cannot be assessed from reviews. The listing does include licensing status and a description of services, which helps verify the service scope. Without reviews, readers should verify expectations through direct contact or additional sources.</t>
  </si>
  <si>
    <t>1 N Charles St #703D, Baltimore, MD 21201</t>
  </si>
  <si>
    <t>(667) 324-7696</t>
  </si>
  <si>
    <t>Ameri Home Care Services LLC</t>
  </si>
  <si>
    <t>Ameri Home Care Services LLC provides in-home care solutions, offering companionship, help with daily activities, medication reminders, and respite care for clients in their own homes.</t>
  </si>
  <si>
    <t>https://amerihomecareservicesllc.com/</t>
  </si>
  <si>
    <t>Google Maps review data show overwhelmingly positive feedback, with reviewers describing caregivers as caring, patient, and dependable, and noting that the service provides peace of mind for families. The newest reviews continue to reflect satisfaction and appreciation for the staff's professionalism and responsiveness.</t>
  </si>
  <si>
    <t>accepted google identity: 14.2/15; review volume: 13.7/30; review consistency: 5.5/7; review freshness: 5.7/8; verified website: 14.2/15; confirmed irs record: 0.0/20; source corroboration: 3.3/5; Synthesis metadata: high (not part of numeric confidence)</t>
  </si>
  <si>
    <t>Ascension Saint Agnes Hospital is a medical center offering emergency care and a broad range of primary and specialty services, including surgical care, cancer care, OB-GYN &amp; maternity, heart care, imaging, lab testing, and rehabilitation on a single campus.</t>
  </si>
  <si>
    <t>Review data reflect a mix of experiences. Many reviewers highlight compassionate clinicians and high-quality care, while others report long ER wait times and communication gaps. The latest reviews show ongoing positive sentiment toward staff, with some recurring concerns that align with prior feedback.</t>
  </si>
  <si>
    <t>accepted google identity: 13.3/15; review volume: 30.0/30; review consistency: 3.0/7; review freshness: 8.0/8; verified website: 13.3/15; confirmed irs record: 0.0/20; source corroboration: 3.3/5; Synthesis metadata: high (not part of numeric confidence)</t>
  </si>
  <si>
    <t>5515 Selma Ave, Halethorpe, MD 21227</t>
  </si>
  <si>
    <t>443-857-7683</t>
  </si>
  <si>
    <t>Above The Rest Home Care LLC</t>
  </si>
  <si>
    <t>Monday: 9 AM to 5 PM; Tuesday: 9 AM to 5 PM; Wednesday: 9 AM to 5 AM; Thursday: 9 AM to 5 PM; Friday: 9 AM to 5 PM; Saturday: 9 AM to 5 PM; Sunday: 9 AM to 5 PM</t>
  </si>
  <si>
    <t>In-person training center offering educational and vocational training services.</t>
  </si>
  <si>
    <t>There is no usable review text available for this listing; review feedback is unavailable. The listing appears operational, with hours listed, but there is no corroborating customer feedback to summarize. With no reviews, trends in user experiences cannot be identified.</t>
  </si>
  <si>
    <t>accepted google identity: 13.4/15; review volume: 0.0/30; review consistency: 0.0/7; review freshness: 0.0/8; verified website: 0.0/15; confirmed irs record: 0.0/20; source corroboration: 1.7/5; Synthesis metadata: low (not part of numeric confidence)</t>
  </si>
  <si>
    <t>16 Tollington Court, Halethorpe, MD 21227</t>
  </si>
  <si>
    <t>(410) 240-8787</t>
  </si>
  <si>
    <t>Adams Loving Heart Healthcare Inc</t>
  </si>
  <si>
    <t>In-home health care support with caregivers providing daily living assistance and companionship in the client’s home.</t>
  </si>
  <si>
    <t>Review data is unavailable; there are no public reviews for this listing. The available listing describes in-home caregiving and daily living assistance, and it indicates the operation status as active with regular business hours. Because there are no user reviews to summarize, we cannot identify recurring themes; the service appears to operate normally based on hours provided.</t>
  </si>
  <si>
    <t>707 N Broadway, Baltimore, MD 21205</t>
  </si>
  <si>
    <t>Kennedy Krieger Institute</t>
  </si>
  <si>
    <t>Kennedy Krieger Institute provides specialized medical care and rehabilitative services for children and adults with neurological, developmental, or rehabilitative needs, including inpatient and day hospital programs, outpatient clinics, home and community services, education, and research.</t>
  </si>
  <si>
    <t>Review data for Kennedy Krieger Institute shows mixed feedback. Recurring positive themes in reviews include friendly staff and meaningful care, while recurring concerns mention difficulties scheduling, intake responsiveness, and communication with front-line staff. The newest reviews indicate access and scheduling challenges persist, though some patients still report helpful interactions and successful treatments. Overall, the organization continues to provide care with variability in the patient experience.</t>
  </si>
  <si>
    <t>accepted google identity: 13.5/15; review volume: 30.0/30; review consistency: 0.1/7; review freshness: 7.6/8; verified website: 13.5/15; confirmed irs record: 20.0/20; source corroboration: 5.0/5; Synthesis metadata: high (not part of numeric confidence)</t>
  </si>
  <si>
    <t>145 W Ostend St Ste 600, Baltimore, MD 21230</t>
  </si>
  <si>
    <t>(410) 226-4000</t>
  </si>
  <si>
    <t>A Treasured Living Home Care</t>
  </si>
  <si>
    <t>A Treasured Living Home Care provides in-home senior care, offering companionship, assistance with meals and daily activities, bathing and personal hygiene support, medication reminders, mobility assistance, and light housekeeping to help clients remain safely in their homes.</t>
  </si>
  <si>
    <t>https://atreasuredliving.com/</t>
  </si>
  <si>
    <t>Review data indicate consistently positive experiences, with reviewers describing professional, compassionate caregivers, clear communication, and dependable care that respects family routines. The newest reviews continue to reflect these strengths, suggesting ongoing satisfaction among clients and their families. Overall, the review text supports a favorable, steady impression of the service.</t>
  </si>
  <si>
    <t>accepted google identity: 14.2/15; review volume: 26.6/30; review consistency: 7.0/7; review freshness: 7.2/8; verified website: 14.2/15; confirmed irs record: 0.0/20; source corroboration: 3.3/5; Synthesis metadata: high (not part of numeric confidence)</t>
  </si>
  <si>
    <t>4404 Fitch Ave, Baltimore, MD 21236</t>
  </si>
  <si>
    <t>(410) 665-0107</t>
  </si>
  <si>
    <t>Bay View Homecare, Inc.</t>
  </si>
  <si>
    <t>Bay View Homecare is a home medical equipment supplier offering oxygen, respiratory equipment, CPAP devices, and related home-care supplies.</t>
  </si>
  <si>
    <t>http://www.bayviewhomecare.com/</t>
  </si>
  <si>
    <t>Review data show a mix of experiences. Many customers report positive interactions with staff who are described as caring, knowledgeable, and helpful, particularly in CPAP setup and device guidance. Some recurring concerns include billing issues, price changes, and communication delays. The most recent reviews continue to show both positive service experiences and ongoing concerns, indicating that while the staff can be responsive, customer experience may vary.</t>
  </si>
  <si>
    <t>accepted google identity: 14.2/15; review volume: 30.0/30; review consistency: 0.8/7; review freshness: 7.1/8; verified website: 14.2/15; confirmed irs record: 0.0/20; source corroboration: 3.3/5; Synthesis metadata: medium (not part of numeric confidence)</t>
  </si>
  <si>
    <t>Central Maryland Agency, 5235 King Ave Suite 400, Rosedale, MD 21237</t>
  </si>
  <si>
    <t>(410) 933-2900</t>
  </si>
  <si>
    <t>MedStar Health Home Care - Central Maryland</t>
  </si>
  <si>
    <t>Referral required from a physician or authorized provider; intake via the Refer a Patient process or provider portals; outside providers can submit referrals using the patient referral forms and related instructions available through MedStar Health Home Care.</t>
  </si>
  <si>
    <t>MedStar Health Home Care - Central Maryland offers physician-prescribed in-home health care, including skilled nursing, physical and occupational therapy, speech therapy, medical social work, and home health aide services for adults recovering from illness, injury, surgery, or managing complex medical needs.</t>
  </si>
  <si>
    <t>https://www.medstarhealth.org/services/medstar-health-home-care?utm_campaign=mhs_citations&amp;utm_medium=listing&amp;utm_source=citation_management&amp;utm_term=homecare_central_md</t>
  </si>
  <si>
    <t>Review data show consistently positive feedback from patients and families, praising staff professionalism, compassion, and effective home-based care. The newest reviews remain favorable, indicating ongoing satisfaction with the MedStar Health Home Care team.</t>
  </si>
  <si>
    <t>accepted google identity: 14.2/15; review volume: 30.0/30; review consistency: 5.4/7; review freshness: 8.0/8; verified website: 14.2/15; confirmed irs record: 0.0/20; source corroboration: 3.3/5; Synthesis metadata: high (not part of numeric confidence)</t>
  </si>
  <si>
    <t>1201 Pemberton Dr 1A &amp; 1B, Salisbury, MD 21801</t>
  </si>
  <si>
    <t>(443) 456-6779</t>
  </si>
  <si>
    <t>Certified Home Nursing Solutions LLC</t>
  </si>
  <si>
    <t>In-home nursing and related home-care services in Maryland, including skilled nursing, personal care, companionship, homemaker services, and DDA support.</t>
  </si>
  <si>
    <t>http://www.certifiedhomenursingsolutions.com/</t>
  </si>
  <si>
    <t>Current review data show a single recent, negative review describing unreturned calls and concerns about legitimacy; the business owner responded to the feedback. Because there is only one available review, this signal is not sufficient to confidently characterize typical experiences with the service. Review data are sparse and should be interpreted with caution.</t>
  </si>
  <si>
    <t>accepted google identity: 14.2/15; review volume: 5.0/30; review consistency: 7.0/7; review freshness: 7.2/8; verified website: 14.2/15; confirmed irs record: 0.0/20; source corroboration: 3.3/5; Synthesis metadata: low (not part of numeric confidence)</t>
  </si>
  <si>
    <t>4825 Brightwood Circle, Olney, MD 20832</t>
  </si>
  <si>
    <t>(301) 357-9902</t>
  </si>
  <si>
    <t>Adluxe Healthcare Services</t>
  </si>
  <si>
    <t>Adluxe Healthcare Services provides compassionate in-home health care for seniors, offering personal care, medication management, and support for dementia and Alzheimer's, chronic disease management, and post-hospital recovery.</t>
  </si>
  <si>
    <t>https://www.adluxehealthcare.com/</t>
  </si>
  <si>
    <t>Review data from Google Maps show consistently positive feedback, with recurring themes of compassionate, professional care and clear communication. Newest reviews continue to reflect satisfaction and trust in the home-care team. Overall, the review data indicate families feel supported and confident in Adluxe’s ability to deliver reliable in-home health services.</t>
  </si>
  <si>
    <t>accepted google identity: 14.2/15; review volume: 21.7/30; review consistency: 7.0/7; review freshness: 7.9/8; verified website: 14.2/15; confirmed irs record: 0.0/20; source corroboration: 3.3/5; Synthesis metadata: high (not part of numeric confidence)</t>
  </si>
  <si>
    <t>14440 Cherry Lane Ct Ste 102, Laurel, MD 20707</t>
  </si>
  <si>
    <t>(240) 755-3544</t>
  </si>
  <si>
    <t>Cymatex Consults, LLC</t>
  </si>
  <si>
    <t>Monday: 9 AM to 5:30 PM; Tuesday: 9 AM to 5:30 PM; Wednesday: 9 AM to 5:30 PM; Thursday: 9 AM to 5:30 PM; Friday: 9 AM to 5:30 PM; Saturday: 10 AM to 3 PM; Sunday: Closed</t>
  </si>
  <si>
    <t>Cymatex Consults, LLC provides in‑home health care and companion care as a Maryland‑licensed residential service agency, and also offers fingerprinting (livescan) services. The organization lists service coverage across many Maryland counties and emphasizes personalized, in‑home care.</t>
  </si>
  <si>
    <t>http://cymatexconsults.com/</t>
  </si>
  <si>
    <t>Review data is extremely thin: there is a single public review with a five‑star rating, but the review text is not available. Because there is little to no reviewer feedback, it is not possible to draw conclusions about user experiences. The listing does show current hours and a verified website, which supports ongoing operation.</t>
  </si>
  <si>
    <t>14502 Greenview Dr #500, Laurel, MD 20707</t>
  </si>
  <si>
    <t>(240) 202-2321</t>
  </si>
  <si>
    <t>GAVA Healthcare Services</t>
  </si>
  <si>
    <t>Payment options accepted: Private pay, Medicaid, long-term care insurance, and workers' compensation. The website also promotes a complimentary phone consultation.</t>
  </si>
  <si>
    <t>Monday: 9 AM to 6 PM; Tuesday: 9 AM to 6 PM; Wednesday: 9 AM to 6 PM; Thursday: 9 AM to 6 PM; Friday: 9 AM to 6 PM; Saturday: 10 AM to 3 PM; Sunday: 10 AM to 3 PM</t>
  </si>
  <si>
    <t>GAVA Healthcare Services provides in-home, non-medical care in Maryland, with services such as personal care, companionship, memory-care support, and respite care for seniors and older adults.</t>
  </si>
  <si>
    <t>http://www.gavahealthcareservices.com/</t>
  </si>
  <si>
    <t>Review data show overwhelmingly positive feedback about GAVA’s in-home care, with themes of compassion, attentiveness, and professionalism, and reports of responsive, personalized service. The newest reviews from late 2024 reinforce these impressions, and there are no negative themes in the available text.</t>
  </si>
  <si>
    <t>accepted google identity: 14.2/15; review volume: 21.7/30; review consistency: 7.0/7; review freshness: 2.2/8; verified website: 14.2/15; confirmed irs record: 0.0/20; source corroboration: 3.3/5; Synthesis metadata: high (not part of numeric confidence)</t>
  </si>
  <si>
    <t>718 Millhouse Drive, Glen Burnie, MD 21060</t>
  </si>
  <si>
    <t>(410) 231-3076</t>
  </si>
  <si>
    <t>My Home Cares, LLC</t>
  </si>
  <si>
    <t>Free consultation; intake and care planning are described as part of a no-obligation consultation; the site promotes statewide service areas and encouraging contact to discuss care.</t>
  </si>
  <si>
    <t>In-home care provider serving Maryland with services including personal care, skilled nursing, and 24-hour live-in support, delivered at clients’ homes. The organization is Maryland-licensed and provides statewide coverage.</t>
  </si>
  <si>
    <t>https://www.myhomecares.com/</t>
  </si>
  <si>
    <t>There are no public Google Maps reviews for this listing, so no review data can be summarized. The listing is active and supported by a verified website with published hours, and the business is identified as Maryland-licensed. A field check note shows the street address could not be located in the maps listing, but the business name is verified. Overall, the lack of user reviews limits reliability assessment.</t>
  </si>
  <si>
    <t>14502 Greenview Dr 4th floor Ste L48, Laurel, MD 20708</t>
  </si>
  <si>
    <t>(240) 524-1619</t>
  </si>
  <si>
    <t>Conquest Health LLC</t>
  </si>
  <si>
    <t>New patients are welcome. Appointment is typically required, and most insurance plans are accepted. For intake and scheduling, see the website; a patient portal is available and there are indications of same-day appointment options.</t>
  </si>
  <si>
    <t>Monday: 7 AM to 9 PM; Tuesday: 7 AM to 9 PM; Wednesday: 7 AM to 9 PM; Thursday: 7 AM to 9 PM; Friday: 7 AM to 9 PM; Saturday: 7 AM to 9:30 PM; Sunday: 3 to 9 PM</t>
  </si>
  <si>
    <t>Conquest Health LLC provides primary healthcare, mental health services, and home health care in Laurel, Maryland. The organization operates a physical clinic and offers in-person services, with hours extending through the week.</t>
  </si>
  <si>
    <t>http://www.conquesthealthllc.com/</t>
  </si>
  <si>
    <t>The listing appears active and serviceable, with corroboration from the official website. Hours align with the Google Maps listing, and the site confirms primary care and mental health services. Review data is very thin—only one positive review is visible—so reader experience signals remain limited, though there is no indication of ongoing operational issues. Some address information differs between sources, which users should verify when visiting.</t>
  </si>
  <si>
    <t>20465 Seneca Meadows Pkwy, Germantown, MD 20876</t>
  </si>
  <si>
    <t>(301) 353-0300</t>
  </si>
  <si>
    <t>Roberts Home Medical LLC</t>
  </si>
  <si>
    <t>Wheelchair accessible entrance; Wheelchair accessible parking</t>
  </si>
  <si>
    <t>Roberts Home Medical LLC is a medical supply store in Germantown, MD that sells medical supplies and equipment and offers delivery and onsite services.</t>
  </si>
  <si>
    <t>Review data show a consistently positive sentiment, with many customers describing friendly, professional staff and reliable service. A few newer comments mention occasional difficulties reaching staff by phone, but responses from the team suggest ongoing efforts to address concerns. Overall, the latest feedback remains favorable and aligns with long-standing positive reviews.</t>
  </si>
  <si>
    <t>accepted google identity: 14.2/15; review volume: 30.0/30; review consistency: 4.3/7; review freshness: 8.0/8; verified website: 0.0/15; confirmed irs record: 0.0/20; source corroboration: 1.7/5; Synthesis metadata: high (not part of numeric confidence)</t>
  </si>
  <si>
    <t>4412 Powder Mill Rd Ste 201, Beltsville, MD 20705</t>
  </si>
  <si>
    <t>(301) 708-4095</t>
  </si>
  <si>
    <t>One Nation HealthCare Solutions , Inc</t>
  </si>
  <si>
    <t>One Nation Healthcare Solutions, Inc. provides in-home health care services to support clients at home, including skilled nursing, home health aides and personal care, dementia/memory care, respite care, hospice, and transitional care.</t>
  </si>
  <si>
    <t>https://onenationhealthcare.com/</t>
  </si>
  <si>
    <t>Review data show four recent five-star reviews highlighting professionalism, helpful staff, and compassionate care. The newest review was posted about four months ago and repeats the same positive themes, indicating consistency in experience. Overall, the review feedback in this sample is strongly positive with no notable criticisms.</t>
  </si>
  <si>
    <t>accepted google identity: 13.4/15; review volume: 13.7/30; review consistency: 7.0/7; review freshness: 6.4/8; verified website: 13.4/15; confirmed irs record: 0.0/20; source corroboration: 3.3/5; Synthesis metadata: high (not part of numeric confidence)</t>
  </si>
  <si>
    <t>405 E Gude Dr Ste 209, Rockville, MD 20850</t>
  </si>
  <si>
    <t>(301) 977-6000</t>
  </si>
  <si>
    <t>Excellence Homecare Services</t>
  </si>
  <si>
    <t>Monday: 9 AM to 5 PM; Tuesday: 9 AM to 5 PM; Wednesday: 9 AM to 5 PM; Thursday: 9 AM to 5 PM; Friday: 9 AM to 5 PM; Saturday: 9 AM to 3 PM; Sunday: Closed</t>
  </si>
  <si>
    <t>An in-home health care provider offering personalized care in the client’s home, with customized care plans developed after a needs assessment and delivered by trained home health professionals.</t>
  </si>
  <si>
    <t>https://excellencehomecarellc.com/</t>
  </si>
  <si>
    <t>Review feedback was unavailable or too thin to summarize. Available reliability signals indicate the listing is operational with published hours, but there are no consumer reviews to reflect user experiences.</t>
  </si>
  <si>
    <t>FutureCare Cold Spring is a skilled nursing and rehabilitation center in Baltimore offering post-acute rehabilitation (physical, occupational, and speech therapy) seven days a week, with on-site dialysis through Renalis Kidney Services, wound care, and long-term nursing care available on-site. The facility supports VitalStrong rehabilitation and CAMPStrong programs and provides comprehensive on-site medical and therapy services to support recovery and ongoing care.</t>
  </si>
  <si>
    <t>Review data show mixed experiences: many reviewers praise staff attentiveness and the facility’s cleanliness, but recurring concerns involve communication gaps and delays in care. The most recent reviews include at least one account describing poor dementia care and unmet needs, indicating some ongoing issues. Overall, feedback points to strengths in staff and care quality alongside ongoing opportunities to improve responsiveness and communication.</t>
  </si>
  <si>
    <t>accepted google identity: 14.2/15; review volume: 30.0/30; review consistency: 1.8/7; review freshness: 7.9/8; verified website: 14.2/15; confirmed irs record: 0.0/20; source corroboration: 3.3/5; Synthesis metadata: high (not part of numeric confidence)</t>
  </si>
  <si>
    <t>12301 Academy Way, Rockville, MD 20852</t>
  </si>
  <si>
    <t>(301) 761-2701</t>
  </si>
  <si>
    <t>The Lourie Center for Children's Social &amp; Emotional Wellness</t>
  </si>
  <si>
    <t>Appointments recommended; services stated as available to children and families regardless of ability to pay.</t>
  </si>
  <si>
    <t>The Lourie Center provides mental health services for children and families, with clinicians such as child psychiatrists and child psychologists, and an emphasis on prevention, early intervention, education, research, and training.</t>
  </si>
  <si>
    <t>https://www.louriecenter.org/LC/?utm_source=local-listing&amp;utm_medium=organic&amp;utm_campaign=website-link</t>
  </si>
  <si>
    <t>Review data show a mixed picture: several recent reviews describe safety concerns and intimidating experiences on campus, while a smaller set of reviews mention positive interactions with staff. The most recent feedback trends negative, though the sample size is small and response from the organization appears active.</t>
  </si>
  <si>
    <t>accepted google identity: 13.3/15; review volume: 20.6/30; review consistency: 0.1/7; review freshness: 7.4/8; verified website: 13.3/15; confirmed irs record: 0.0/20; source corroboration: 3.3/5; Synthesis metadata: medium (not part of numeric confidence)</t>
  </si>
  <si>
    <t>4920 Niagara Rd #107, College Park, MD 20740</t>
  </si>
  <si>
    <t>(301) 446-3070</t>
  </si>
  <si>
    <t>Solid Rock Health Care Services LLC</t>
  </si>
  <si>
    <t>Solid Rock Health Care Services LLC provides home health care and related support, including personal care, physical/occupational therapy, skilled nursing, companionship, live-in or live-out care, post-hospitalization care, and medication administration.</t>
  </si>
  <si>
    <t>Review data shows consistently positive feedback from recent reviews, highlighting responsiveness, skilled staff, and compassionate care. The newest reviews indicate continued satisfaction, including praise for caregivers and patient-centered service, while one review notes strong instructional quality in related training. Overall, the reviews suggest stable, favorable perceptions of the organization’s services.</t>
  </si>
  <si>
    <t>accepted google identity: 14.2/15; review volume: 16.3/30; review consistency: 7.0/7; review freshness: 3.1/8; verified website: 0.0/15; confirmed irs record: 0.0/20; source corroboration: 1.7/5; Synthesis metadata: high (not part of numeric confidence)</t>
  </si>
  <si>
    <t>6404 Ivy Ln Ste 110, Greenbelt, MD 20770</t>
  </si>
  <si>
    <t>(240) 965-2900</t>
  </si>
  <si>
    <t>MedStar Health Home Care - Suburban Maryland Agency</t>
  </si>
  <si>
    <t>Referral required from a physician or other licensed provider. Referrals can be submitted electronically through Navihealth, Allscripts, Epic, or Aidin; outside providers can use a downloadable referral form. Refer to the Refer a Patient guidance for eligibility and orders.</t>
  </si>
  <si>
    <t>MedStar Health Home Care provides in-home health services, including nursing care, physical therapy, occupational therapy, speech therapy, medical social work, and home health aide support delivered in patients’ homes, with 24/7/365 availability.</t>
  </si>
  <si>
    <t>https://www.medstarhealth.org/services/medstar-health-home-care?utm_campaign=mhs_citations&amp;utm_medium=listing&amp;utm_source=citation_management&amp;utm_term=homecare_suburban_md</t>
  </si>
  <si>
    <t>Review data show generally positive experiences, with reviewers describing professional, attentive staff and thorough therapies that support recovery at home. The newest reviews continue to reflect these strengths, indicating consistent quality over time and satisfaction with the care provided.</t>
  </si>
  <si>
    <t>305 College Pkwy, Arnold, MD 21012</t>
  </si>
  <si>
    <t>(410) 647-0015</t>
  </si>
  <si>
    <t>FutureCare Chesapeake</t>
  </si>
  <si>
    <t>FutureCare Chesapeake provides short-stay rehabilitation with a VitalStrong program that includes physical, occupational, and speech therapy up to seven days a week, along with around-the-clock nursing care, on-site dialysis, wound care, IV therapy, pharmacy, nutritional services, case management, and social services at 305 College Pkwy, Arnold, MD 21012.</t>
  </si>
  <si>
    <t>https://futurecare.com/locations/chesapeake/</t>
  </si>
  <si>
    <t>Review data show generally positive feedback about rehab therapies and staff compassion, with some recent reports of staffing shortages and slower response times, and concerns about facility conditions in a minority of reviews. Overall, reviews suggest satisfactory rehab services with ongoing concerns about staffing and cleanliness echoed by newer posts.</t>
  </si>
  <si>
    <t>accepted google identity: 14.2/15; review volume: 30.0/30; review consistency: 2.1/7; review freshness: 7.9/8; verified website: 14.2/15; confirmed irs record: 0.0/20; source corroboration: 3.3/5; Synthesis metadata: medium (not part of numeric confidence)</t>
  </si>
  <si>
    <t>5711 Hillmeade Rd, Bowie, MD 20720</t>
  </si>
  <si>
    <t>(301) 575-4714</t>
  </si>
  <si>
    <t>ABC of Life Health Services</t>
  </si>
  <si>
    <t>A Bowie, Maryland-based health services organization listed at 5711 Hillmeade Rd with limited publicly available information about its exact offerings.</t>
  </si>
  <si>
    <t>Review data is unavailable or too thin for this listing; there are no public reviews to analyze and limited corroboration from other sources about the organization’s services. Given the scant information, it is not possible to confirm a defined set of offerings or a consistent service footprint.</t>
  </si>
  <si>
    <t>1000 N Gilmor St, Baltimore, MD 21217</t>
  </si>
  <si>
    <t>(410) 669-2750</t>
  </si>
  <si>
    <t>FutureCare - Sandtown</t>
  </si>
  <si>
    <t>Intake/tour requests can be made via the facility form; for admissions inquiries, contact the facility directly.</t>
  </si>
  <si>
    <t>FutureCare Sandtown is a short-stay rehabilitation facility in Baltimore offering a full suite of rehab and medical services, including VitalStrong rehabilitation, HeartStrong cardiac rehabilitation, CAMPStrong amputee management, orthopedic rehab (WalkStrong), around-the-clock nursing and physician services, IV therapy, wound care, pharmacy, lab and radiology services, nutritional and social services, case management, and therapeutic recreation.</t>
  </si>
  <si>
    <t>https://futurecare.com/locations/sandtown/</t>
  </si>
  <si>
    <t>Review data show generally positive feedback about staff friendliness and facility cleanliness, with multiple 5-star remarks. However, there are also negative reviews highlighting perceived staff demeanor and a frustrating sign-out process. The newest reviews include both very positive and critical comments, indicating mixed experiences and no clear directional trend.</t>
  </si>
  <si>
    <t>accepted google identity: 14.2/15; review volume: 30.0/30; review consistency: 2.1/7; review freshness: 6.3/8; verified website: 14.2/15; confirmed irs record: 0.0/20; source corroboration: 3.3/5; Synthesis metadata: high (not part of numeric confidence)</t>
  </si>
  <si>
    <t>4201 Connecticut Avenue NW, Agency Ste 200, Washington, DC 20008</t>
  </si>
  <si>
    <t>(202) 882-6988</t>
  </si>
  <si>
    <t>MedStar Health Home Care - District of Columbia Agency</t>
  </si>
  <si>
    <t>Physician-prescribed home health services; referrals through the MedStar Health Home Care referral process; hospital providers can refer via MedConnect; ambulatory and external providers can refer using fax or electronic submission per MedStar Home Care guidance.</t>
  </si>
  <si>
    <t>MedStar Health Home Care provides physician-prescribed in-home health services, including nursing, physical therapy, occupational therapy, speech therapy, medical social work, and home health aide support, with 24/7/365 availability for patients at home.</t>
  </si>
  <si>
    <t>https://www.medstarhealth.org/services/medstar-health-home-care?utm_campaign=mhs_citations&amp;utm_medium=listing&amp;utm_source=citation_management&amp;utm_term=homecare_dc</t>
  </si>
  <si>
    <t>Review data for MedStar Health Home Care shows high satisfaction with staff professionalism and responsiveness, with recurring praise for nurses and therapists. The newest reviews remain favorable, though a minority report difficulty reaching a care coordinator or clinician.</t>
  </si>
  <si>
    <t>1051 Brightseat Rd, Landover, MD 20785</t>
  </si>
  <si>
    <t>(240) 487-4400</t>
  </si>
  <si>
    <t>FutureCare Capital Region</t>
  </si>
  <si>
    <t>FutureCare Capital Region is a rehabilitation and long-term care center offering physical, occupational, and speech therapy, along with skilled nursing and dialysis services.</t>
  </si>
  <si>
    <t>https://futurecare.com/senior-care-maryland/capital-region/15/</t>
  </si>
  <si>
    <t>Review data shows a generally positive tone, with many reviewers praising the cleanliness, staff friendliness, and the quality of therapy. Some reviews note communication or accessibility concerns, including difficulties reaching staff by phone or coordinating care, and a few negative experiences. Overall, the latest review data indicate ongoing satisfaction with care alongside isolated reports of service gaps.</t>
  </si>
  <si>
    <t>accepted google identity: 14.2/15; review volume: 30.0/30; review consistency: 2.7/7; review freshness: 8.0/8; verified website: 14.2/15; confirmed irs record: 0.0/20; source corroboration: 3.3/5; Synthesis metadata: high (not part of numeric confidence)</t>
  </si>
  <si>
    <t>9106 Pine View Ln, Clinton, MD 20735</t>
  </si>
  <si>
    <t>(301) 856-2930</t>
  </si>
  <si>
    <t>FutureCare - Pineview</t>
  </si>
  <si>
    <t>FutureCare Pineview is a rehabilitation and skilled-nursing facility offering on-site VitalStrong rehabilitation (physical, occupational, and speech therapies), dialysis services, and long-term care.</t>
  </si>
  <si>
    <t>https://futurecare.com/senior-care-maryland/pineview/11/</t>
  </si>
  <si>
    <t>Review data show mixed experiences: some reviewers praise the staff's kindness and the quality of rehabilitation, while others report serious concerns about care quality and transfers. The newest reviews continue to reflect both positive and negative experiences, indicating that perceptions vary over time.</t>
  </si>
  <si>
    <t>accepted google identity: 14.2/15; review volume: 30.0/30; review consistency: 1.2/7; review freshness: 8.0/8; verified website: 14.2/15; confirmed irs record: 0.0/20; source corroboration: 3.3/5; Synthesis metadata: medium (not part of numeric confidence)</t>
  </si>
  <si>
    <t>10200 La Plata Rd, La Plata, MD 20646</t>
  </si>
  <si>
    <t>(301) 934-1900</t>
  </si>
  <si>
    <t>Green Acres Nursing and Rehab</t>
  </si>
  <si>
    <t>Admissions information and eligibility criteria are listed on the website; intake is coordinated by the admissions team.</t>
  </si>
  <si>
    <t>Green Acres Nursing and Rehab is a La Plata, MD-based nursing home and rehabilitation facility offering rehabilitation and long-term care, with physical therapy, medication management, and daily living assistance.</t>
  </si>
  <si>
    <t>https://www.greenacresnursingandrehab.com/</t>
  </si>
  <si>
    <t>Review data shows mixed experiences. Several recent reviews praise rehab staff, cleanliness, and helpful front-desk and activities staff, while other reviews describe safety concerns and inconsistent follow-up. Newer reviews trend toward positive experiences in rehab, but older posts include serious safety and care-delivery complaints, so reader experience may vary.</t>
  </si>
  <si>
    <t>accepted google identity: 13.4/15; review volume: 27.3/30; review consistency: 0.9/7; review freshness: 7.9/8; verified website: 13.4/15; confirmed irs record: 0.0/20; source corroboration: 3.3/5; Synthesis metadata: medium (not part of numeric confidence)</t>
  </si>
  <si>
    <t>21585 Peabody St, Leonardtown, MD 20650</t>
  </si>
  <si>
    <t>(301) 475-8000</t>
  </si>
  <si>
    <t>St. Mary's Nursing Center</t>
  </si>
  <si>
    <t>A long‑term care nursing home facility offering 24/7 on‑site residential care.</t>
  </si>
  <si>
    <t>Review data show mixed experiences. Some reviewers praise attentive staff and a clean facility, while others describe understaffing, delays in responsiveness, and discharge planning concerns. The most recent reviews are varied, with high and low ratings, indicating mixed experiences rather than a clear, consistent pattern.</t>
  </si>
  <si>
    <t>accepted google identity: 14.2/15; review volume: 20.5/30; review consistency: 0.6/7; review freshness: 7.1/8; verified website: 0.0/15; confirmed irs record: 20.0/20; source corroboration: 3.3/5; Synthesis metadata: medium (not part of numeric confidence)</t>
  </si>
  <si>
    <t>(301) 395-7874</t>
  </si>
  <si>
    <t>BEULAH NURSING SERVICES LLC</t>
  </si>
  <si>
    <t>Monday: 9 AM to 10 PM; Tuesday: 9 AM to 10 PM; Wednesday: 9 AM to 10 PM; Thursday: 9 AM to 10 PM; Friday: 9 AM to 10 PM; Saturday: 9 AM to 8 PM; Sunday: Closed</t>
  </si>
  <si>
    <t>Beulah Nursing Services LLC offers home health care services.</t>
  </si>
  <si>
    <t>There are no published user reviews available for this listing, so there is no review data to summarize. As a result, it is not possible to identify recurring themes or assess satisfaction from customers based on this listing.</t>
  </si>
  <si>
    <t>7365 Cedar Ave, Jessup, MD 20794</t>
  </si>
  <si>
    <t>(443) 755-5124</t>
  </si>
  <si>
    <t>Allwell Healthcare Solutions Inc</t>
  </si>
  <si>
    <t>Allwell Healthcare Solutions appears to provide home health care services, with staff who undergo background checks and a pre-employment screening process. The organization notes that you can schedule an assessment to determine care needs, indicating a needs-assessment step as part of their service flow.</t>
  </si>
  <si>
    <t>https://www.allwellhealthcaresolution.com/home-health-care-about-us/our-personnel</t>
  </si>
  <si>
    <t>Review feedback is unavailable for this listing; there are no user reviews on the primary reliability source. Without review text to summarize experiences, it’s not possible to draw conclusions about satisfaction or outcomes. Other signals, such as verified website content and contact information, help corroborate the listing, but they do not replace consumer reviews.</t>
  </si>
  <si>
    <t>402 W Pennsylvania Ave, Towson, MD 21204</t>
  </si>
  <si>
    <t>(410) 946-1700</t>
  </si>
  <si>
    <t>Delight Healthcare Services</t>
  </si>
  <si>
    <t>Intake form available on the website; assessment or consultation can be arranged by phone at 410-946-1700.</t>
  </si>
  <si>
    <t>Delight Healthcare Services LLC provides in-home health care services in Towson, Maryland, delivering skilled nursing, physical therapy, and speech therapy to clients in their homes. The organization appears to operate as a state-licensed residential home health program with office hours on weekdays.</t>
  </si>
  <si>
    <t>https://www.delighthealthcareservices.com/</t>
  </si>
  <si>
    <t>Review feedback is unavailable or too thin to summarize. The data indicate at least one public review exists, but the actual review text is not accessible here, so no recurring themes or concerns can be identified. Consequently, reader-facing impressions about reliability cannot be confirmed from this dataset.</t>
  </si>
  <si>
    <t>6151 Metro Dr, Baltimore, MD 21215</t>
  </si>
  <si>
    <t>(410) 653-3252</t>
  </si>
  <si>
    <t>The Arc Baltimore - Seton Day and Employment Services</t>
  </si>
  <si>
    <t>Eligibility: adults with developmental disabilities; intake/referral details not documented in sources.</t>
  </si>
  <si>
    <t>The Arc Baltimore provides center-based supports for adults with developmental disabilities, including employment training and support, day and residential services, family support and education, treatment foster care, assistive technology services, respite care, advocacy, and information and referrals. The organization also connects participants with community employment opportunities through its Seton Day and Employment Services program.</t>
  </si>
  <si>
    <t>http://www.thearcbaltimore.org/</t>
  </si>
  <si>
    <t>Review data indicate consistently positive experiences with The Arc Baltimore, reflected in a high average rating and favorable recent samples. However, the available review text is sparse, limiting extraction of specific themes. Overall, the latest data suggest continued positive perceptions of the organization's programs and staff.</t>
  </si>
  <si>
    <t>accepted google identity: 14.2/15; review volume: 24.0/30; review consistency: 5.6/7; review freshness: 5.2/8; verified website: 14.2/15; confirmed irs record: 0.0/20; source corroboration: 3.3/5; Synthesis metadata: high (not part of numeric confidence)</t>
  </si>
  <si>
    <t>Branch temporarily closed for facility improvements (as of 2026-03-28); anticipate fall reopening. ADA accessible entrance is listed as a feature.</t>
  </si>
  <si>
    <t>Enoch Pratt Free Library, Reisterstown Road Branch, is a public library location offering general library services plus access to computers, free Wi‑Fi, printing, and spaces for children and teens, along with job and career assistance and meeting-room reservations for events. The site notes that the branch is temporarily closed for facility improvements with a fall reopening anticipated.</t>
  </si>
  <si>
    <t>Review data show generally positive experiences with staff, quiet spaces, and useful resources like job assistance and meeting-space access. A recent 1‑star review notes frustration with temporary closure, while most feedback highlights helpful staff. Overall, reviews suggest steady, positive experiences, but the newest feedback aligns with the current closure status.</t>
  </si>
  <si>
    <t>accepted google identity: 13.4/15; review volume: 30.0/30; review consistency: 2.8/7; review freshness: 6.0/8; verified website: 13.4/15; confirmed irs record: 0.0/20; source corroboration: 3.3/5; Synthesis metadata: high (not part of numeric confidence)</t>
  </si>
  <si>
    <t>16940 York Rd, Hereford, MD 21111</t>
  </si>
  <si>
    <t>(410) 887-1919</t>
  </si>
  <si>
    <t>Baltimore County Public Library - Hereford Branch</t>
  </si>
  <si>
    <t>Public access; borrowing and some services require a valid BCPL library card; printing and copying services are available; hours vary by day; book drop is available 24 hours.</t>
  </si>
  <si>
    <t>Baltimore County Public Library Hereford Branch provides public library services such as borrowing books and media, access to computers and printing, study spaces, and community programs.</t>
  </si>
  <si>
    <t>https://bcpl.info/locations/hereford</t>
  </si>
  <si>
    <t>Review data indicate highly positive experiences at this branch, with recurring praise for friendly staff, convenient parking, and accessible services such as copying, printing, and borrowing a wide range of items. Recent reviews also note the branch’s welcoming atmosphere and useful programs. Overall, the newest reviews align with prior feedback, suggesting consistent satisfaction.</t>
  </si>
  <si>
    <t>accepted google identity: 14.2/15; review volume: 30.0/30; review consistency: 4.1/7; review freshness: 7.8/8; verified website: 14.2/15; confirmed irs record: 0.0/20; source corroboration: 3.3/5; Synthesis metadata: high (not part of numeric confidence)</t>
  </si>
  <si>
    <t>6660 Security Blvd #13, Woodlawn, MD 21207</t>
  </si>
  <si>
    <t>(410) 887-1336</t>
  </si>
  <si>
    <t>Baltimore County Public Library - Woodlawn Branch</t>
  </si>
  <si>
    <t>Eligibility requires a valid library card for borrowing and most online resources (e.g., Brainfuse and library databases). Borrowing limits and loan periods apply (e.g., many items have a 21‑day loan period; fines and damaged/lost item fees may apply). A valid library card may be required for certain services online, and outstanding balances can lead to denial of some library services. The branch provides a 24‑hour book drop and nearby parking.</t>
  </si>
  <si>
    <t>Woodlawn Branch of the Baltimore County Public Library is a public library location offering standard library services, including borrowing materials, printing, public computers, study rooms, Wi‑Fi, programs and events, and homework resources. The branch is currently undergoing renovation and expansion.</t>
  </si>
  <si>
    <t>http://www.bcpl.info/locations/woodlawn</t>
  </si>
  <si>
    <t>Review data for this listing show generally positive feedback, with patrons praising helpful staff, children's programs, and convenient services like printing and public computers. A small number of reviews mention disruptions related to the ongoing renovation, including a note about temporary closures in one instance, but the newest reviews indicate the branch remains active and service quality remains strong. Overall, the reviews support a positive view of the Woodlawn Branch despite renovation activity.</t>
  </si>
  <si>
    <t>accepted google identity: 14.2/15; review volume: 30.0/30; review consistency: 2.0/7; review freshness: 7.7/8; verified website: 14.2/15; confirmed irs record: 0.0/20; source corroboration: 3.3/5; Synthesis metadata: high (not part of numeric confidence)</t>
  </si>
  <si>
    <t>320 York Rd, Towson, MD 21204</t>
  </si>
  <si>
    <t>(410) 887-6166</t>
  </si>
  <si>
    <t>Baltimore County Public Library - Towson Branch</t>
  </si>
  <si>
    <t>General access to the library is public; a valid library card is required for some resources (e.g., Homework Help). Borrowing involves limits and potential fees for damaged items; intake/referral is not required for basic-library access.</t>
  </si>
  <si>
    <t>Towson Branch of the Baltimore County Public Library provides public library services to the Towson community, including passport services, homework help, access to computers and online resources, and programs for youth and adults (e.g., events, meeting rooms, study spaces).</t>
  </si>
  <si>
    <t>https://bcpl.info/locations/towson</t>
  </si>
  <si>
    <t>Review data from the platform show consistently positive feedback about Towson Branch, with several recent reviews praising staff, helpful service, and the library’s offerings. Review text highlights friendly, professional staff and a welcoming environment, and the newest reviews continue to be favorable. A few very brief or empty reviews exist, but overall sentiment remains positive.</t>
  </si>
  <si>
    <t>accepted google identity: 13.4/15; review volume: 30.0/30; review consistency: 4.6/7; review freshness: 7.9/8; verified website: 13.4/15; confirmed irs record: 20.0/20; source corroboration: 5.0/5; Synthesis metadata: high (not part of numeric confidence)</t>
  </si>
  <si>
    <t>1100 Frederick Rd, Catonsville, MD 21228</t>
  </si>
  <si>
    <t>(410) 887-0951</t>
  </si>
  <si>
    <t>Baltimore County Public Library - Catonsville Branch</t>
  </si>
  <si>
    <t>To borrow most items, a valid library card is required. Borrowing limits and loan periods apply (e.g., a 100-item borrowing limit; most items have a 21-day loan period and renewals may be possible). Fees can apply for damaged or lost items, and outstanding balances may temporarily restrict access to services.</t>
  </si>
  <si>
    <t>Baltimore County Public Library Catonsville Branch is a public library that offers community library services, including access to public computers and WiFi, printing and fax services, meeting and study spaces, and librarian assistance. The site also supports homework help resources and online reference services through its library network.</t>
  </si>
  <si>
    <t>https://bcpl.info/locations/catonsville</t>
  </si>
  <si>
    <t>Review data show recurring positive themes: friendly staff, a broad range of resources, and a welcoming, well-maintained facility. The newest reviews continue to reflect positive experiences, with no persistent concerns in the available sample.</t>
  </si>
  <si>
    <t>accepted google identity: 14.2/15; review volume: 30.0/30; review consistency: 5.9/7; review freshness: 8.0/8; verified website: 14.2/15; confirmed irs record: 0.0/20; source corroboration: 3.3/5; Synthesis metadata: high (not part of numeric confidence)</t>
  </si>
  <si>
    <t>1821 N Smallwood St, Baltimore, MD 21216</t>
  </si>
  <si>
    <t>(410) 225-7888</t>
  </si>
  <si>
    <t>Raven's Medical Adult Daycare</t>
  </si>
  <si>
    <t>Medicaid may cover adult day care services.</t>
  </si>
  <si>
    <t>Monday: 7:30 AM to 4 PM; Tuesday: 7:30 AM to 4 PM; Wednesday: 7:30 AM to 4 PM; Thursday: 7:30 AM to 4 PM; Friday: 7:30 AM to 4 PM; Saturday: 7:30 AM to 3:30 PM; Sunday: Closed</t>
  </si>
  <si>
    <t>Raven's Medical Adult Day Care Center provides daytime, supervised care for adults and seniors with medical needs, featuring trained nursing staff, therapeutic activities (physical, occupational, and mental health services), assistance with daily living, nutritious meals, transportation, and opportunities for social engagement.</t>
  </si>
  <si>
    <t>https://www.ravensmadc.com/</t>
  </si>
  <si>
    <t>Review data show generally positive experiences, with recurring praise for caring staff, engaging activities, and nutritious meals. A small number of reviews note dissatisfaction, including a 2025 1-star entry; the newest 2026 review remains positive, suggesting mixed but overall favorable feedback.</t>
  </si>
  <si>
    <t>accepted google identity: 14.2/15; review volume: 25.2/30; review consistency: 1.9/7; review freshness: 5.1/8; verified website: 14.2/15; confirmed irs record: 0.0/20; source corroboration: 3.3/5; Synthesis metadata: high (not part of numeric confidence)</t>
  </si>
  <si>
    <t>Onsite services; wheelchair accessible entrance, parking, restroom, seating.</t>
  </si>
  <si>
    <t>The League for People with Disabilities is a Baltimore-area organization offering programs and services for people of all abilities, including a Wellness Center and disability-support programs designed to foster independence and well-being.</t>
  </si>
  <si>
    <t>Review data show consistently positive feedback about the organization, with recurring themes of friendly staff, accommodating programs, and accessible facilities. The newest reviews continue to reflect positive experiences, and owners have actively responded to comments, indicating ongoing engagement. Overall, the review data points in a stable positive direction.</t>
  </si>
  <si>
    <t>accepted google identity: 14.2/15; review volume: 30.0/30; review consistency: 3.0/7; review freshness: 7.4/8; verified website: 14.2/15; confirmed irs record: 0.0/20; source corroboration: 3.3/5; Synthesis metadata: high (not part of numeric confidence)</t>
  </si>
  <si>
    <t>9104 Red Branch Rd, Columbia, MD 21045</t>
  </si>
  <si>
    <t>(410) 964-1241</t>
  </si>
  <si>
    <t>Athelas Institute</t>
  </si>
  <si>
    <t>Eligibility: adults with Intellectual and Developmental Disabilities.</t>
  </si>
  <si>
    <t>Athelas Institute, Inc. provides supports for adults with Intellectual and Developmental Disabilities, including educational, rehabilitative, residential, employment, and individualized services and community-based programs designed to promote growth, independence, and meaningful engagement in the community.</t>
  </si>
  <si>
    <t>http://www.athelasinstitute.org/</t>
  </si>
  <si>
    <t>Review data show consistently high ratings with recent positive entries; however, the available review text is not provided in the sources, so recurring themes or concerns cannot be summarized. The registry status confirms the organization is active and operating.</t>
  </si>
  <si>
    <t>accepted google identity: 14.2/15; review volume: 22.6/30; review consistency: 5.6/7; review freshness: 5.6/8; verified website: 14.2/15; confirmed irs record: 20.0/20; source corroboration: 5.0/5; Synthesis metadata: high (not part of numeric confidence)</t>
  </si>
  <si>
    <t>901 Hollins St, Baltimore, MD 21223</t>
  </si>
  <si>
    <t>(410) 685-7340</t>
  </si>
  <si>
    <t>ST PETER ADULT LEARNING CENTER</t>
  </si>
  <si>
    <t>Enrollment is handled by staff through an application process; staff will contact applicants to learn needs and guide them through enrollment. The site indicates wheelchair accessibility (entrance) for access.</t>
  </si>
  <si>
    <t>St. Peter's Adult Learning Center provides supervised programs for adults with developmental disabilities, including day habilitation, supported employment, and community-based development activities.</t>
  </si>
  <si>
    <t>http://www.stpetersalc.org/</t>
  </si>
  <si>
    <t>Review data drawn from a small set of Google Maps reviews shows consistently positive feedback about friendly staff, attentive program supports, and accessible facilities. The newest reviews are from 2024, and while the sample is limited, the available feedback indicates favorable experiences and alignment with the center’s described programs. Overall, the review data suggest a positive reception of the center’s services, with no strong indicators of current disruption.</t>
  </si>
  <si>
    <t>accepted google identity: 14.2/15; review volume: 16.3/30; review consistency: 7.0/7; review freshness: 1.6/8; verified website: 14.2/15; confirmed irs record: 20.0/20; source corroboration: 5.0/5; Synthesis metadata: high (not part of numeric confidence)</t>
  </si>
  <si>
    <t>(410) 887-1451</t>
  </si>
  <si>
    <t>Baltimore County Public Library - Arbutus Branch</t>
  </si>
  <si>
    <t>To borrow materials, a valid library card is required; fees apply for damaged or lost items and for other services; outstanding balances may limit access; Passport services are available at this location.</t>
  </si>
  <si>
    <t>Baltimore County Public Library – Arbutus Branch is a full-service public library branch offering borrowing of library materials, access to public computers and free Wi‑Fi, quiet study spaces, children's programs, homework help resources, and passport services at 855 Sulphur Spring Road in Arbutus, MD.</t>
  </si>
  <si>
    <t>https://bcpl.info/locations/arbutus</t>
  </si>
  <si>
    <t>Review data describe the Arbutus branch as a welcoming, family-friendly library with a strong children’s area and helpful staff. A recent comment notes front-desk service delays, indicating occasional bottlenecks. Overall, the feedback points to a positive library experience with minor concerns about service speed.</t>
  </si>
  <si>
    <t>accepted google identity: 14.2/15; review volume: 30.0/30; review consistency: 3.7/7; review freshness: 8.0/8; verified website: 14.2/15; confirmed irs record: 0.0/20; source corroboration: 3.3/5; Synthesis metadata: high (not part of numeric confidence)</t>
  </si>
  <si>
    <t>500 3rd Ave, Lansdowne, MD 21227</t>
  </si>
  <si>
    <t>(410) 887-5602</t>
  </si>
  <si>
    <t>Baltimore County Public Library - Lansdowne Branch</t>
  </si>
  <si>
    <t>Baltimore County Public Library – Lansdowne Branch is a public library that provides borrowing of books and media, printing and photocopying, free public computers and wifi, meeting spaces, and a range of programs, including youth activities and a Spanish-language collection.</t>
  </si>
  <si>
    <t>https://bcpl.info/locations/lansdowne</t>
  </si>
  <si>
    <t>Review data show overwhelmingly positive sentiment, with frequent notes about helpful staff, quiet spaces, printing services, and programs for families and kids. Recent reviews continue this positive trend, highlighting friendly staff, a well-stocked collection, and a comfortable environment.</t>
  </si>
  <si>
    <t>accepted google identity: 14.2/15; review volume: 30.0/30; review consistency: 6.3/7; review freshness: 8.0/8; verified website: 14.2/15; confirmed irs record: 0.0/20; source corroboration: 3.3/5; Synthesis metadata: high (not part of numeric confidence)</t>
  </si>
  <si>
    <t>1025 W Nursery Rd #112, Linthicum Heights, MD 21090</t>
  </si>
  <si>
    <t>(443) 422-6939</t>
  </si>
  <si>
    <t>Foundations Medical Adult Day Care</t>
  </si>
  <si>
    <t>Admissions coordinators oversee intake; a referral form is available.</t>
  </si>
  <si>
    <t>Monday: 8:30 AM to 4:30 PM; Tuesday: 8:30 AM to 4:30 PM; Wednesday: 8:30 AM to 4:30 PM; Thursday: 8:30 AM to 4:30 PM; Friday: 8:30 AM to 4:30 PM; Saturday: 8:30 AM to 4:30 PM; Sunday: 8:30 AM to 4:30 PM</t>
  </si>
  <si>
    <t>Foundations Medical Adult Day Services runs a medical adult day program in Linthicum Heights, MD, offering medical day services and psychiatric rehabilitation for adults.</t>
  </si>
  <si>
    <t>http://www.foundationsgroup.net/</t>
  </si>
  <si>
    <t>Review data show mixed experiences: some reviewers describe the day program as unengaging or problematic, while others report positive experiences; the newest reviews include a 1-star reflection. Overall, the latest sentiment suggests concerns in recent feedback, though older reviews contain positive notes.</t>
  </si>
  <si>
    <t>accepted google identity: 13.4/15; review volume: 23.8/30; review consistency: 0.6/7; review freshness: 4.3/8; verified website: 13.4/15; confirmed irs record: 0.0/20; source corroboration: 3.3/5; Synthesis metadata: medium (not part of numeric confidence)</t>
  </si>
  <si>
    <t>1401 North Point Rd, Dundalk, MD 21222</t>
  </si>
  <si>
    <t>(410) 282-3876</t>
  </si>
  <si>
    <t>The Arc Baltimore - Dundalk Day Services</t>
  </si>
  <si>
    <t>Intake appears to be via the organization’s Apply for Services page; accessible facilities include a wheelchair-accessible entrance and parking.</t>
  </si>
  <si>
    <t>The Arc Baltimore provides supports for people with intellectual and developmental disabilities, including day services, employment training and support, residential services, family support and education, assistive technology, respite care, treatment foster care, advocacy, and information and referrals.</t>
  </si>
  <si>
    <t>Review data show positive feedback from a small sample, with several 5-star reviews and brief positive notes such as “Lovely lovely” and “Did Santa for group.” The newest review (244 days old) suggests limited recent feedback, but overall sentiment in the review text is favorable regarding the program and staff.</t>
  </si>
  <si>
    <t>accepted google identity: 14.2/15; review volume: 13.5/30; review consistency: 5.4/7; review freshness: 5.0/8; verified website: 14.2/15; confirmed irs record: 0.0/20; source corroboration: 3.3/5; Synthesis metadata: high (not part of numeric confidence)</t>
  </si>
  <si>
    <t>Access Community Support</t>
  </si>
  <si>
    <t>Opening hours: Monday–Friday 9:00 AM–5:00 PM; Saturday 10:00 AM–3:00 PM; Sunday closed. Families may participate as paid caregivers.</t>
  </si>
  <si>
    <t>Access Community Support provides disability services and support for individuals with developmental disabilities, including intensive one-on-one support (IISP), autism waiver services, family consultation, and respite care in Rockville, Maryland.</t>
  </si>
  <si>
    <t>https://www.acsinc-md.com/</t>
  </si>
  <si>
    <t>Review feedback is limited to three Google Maps reviews with high ratings, but there is no visible review text to analyze. Because the textual feedback is unavailable, we cannot identify recurring positives or concerns; the listing appears reliable based on the rating, yet the lack of narrative reviews means the assessment is constrained.</t>
  </si>
  <si>
    <t>accepted google identity: 13.3/15; review volume: 11.3/30; review consistency: 7.0/7; review freshness: 5.8/8; verified website: 13.3/15; confirmed irs record: 0.0/20; source corroboration: 3.3/5; Synthesis metadata: high (not part of numeric confidence)</t>
  </si>
  <si>
    <t>410 University Blvd W, Silver Spring, MD 20901</t>
  </si>
  <si>
    <t>(202) 722-2369</t>
  </si>
  <si>
    <t>National Children's Center</t>
  </si>
  <si>
    <t>National Children’s Center provides community-based supports for people with intellectual and developmental disabilities, including early learning centers, schools, transition and adult vocational services, residential programs, and day supports such as day habilitation, individualized day services, employment readiness, and supported employment.</t>
  </si>
  <si>
    <t>http://nccinc.org/</t>
  </si>
  <si>
    <t>Reviews show generally positive feedback with an overall high rating. The listing indicates an 4.8/5 average across 8 public reviews, but the newest available review text is not provided, so detailed themes cannot be confirmed from the current sample.</t>
  </si>
  <si>
    <t>accepted google identity: 14.2/15; review volume: 13.3/30; review consistency: 7.0/7; review freshness: 4.0/8; verified website: 14.2/15; confirmed irs record: 0.0/20; source corroboration: 3.3/5; Synthesis metadata: high (not part of numeric confidence)</t>
  </si>
  <si>
    <t>13753 Broadfording Church Rd, Hagerstown, MD 21740</t>
  </si>
  <si>
    <t>(301) 791-0011</t>
  </si>
  <si>
    <t>Star Community Inc</t>
  </si>
  <si>
    <t>Star Community Inc. offers disability‑focused social services designed to help people participate in their communities through person-centered programs.</t>
  </si>
  <si>
    <t>http://www.starcommunityinc.org/</t>
  </si>
  <si>
    <t>Review data indicates generally positive experiences. A 2024 review praises the quality of services, and a 2025 sample shows favorable sentiment, though some recent entries include little or no text. Overall, the listing reflects positive engagement and steady activity, with limited detailed feedback available in the accessible reviews.</t>
  </si>
  <si>
    <t>accepted google identity: 14.2/15; review volume: 21.6/30; review consistency: 0.4/7; review freshness: 4.6/8; verified website: 14.2/15; confirmed irs record: 20.0/20; source corroboration: 5.0/5; Synthesis metadata: high (not part of numeric confidence)</t>
  </si>
  <si>
    <t>11116 Medical Campus Rd, Hagerstown, MD 21742</t>
  </si>
  <si>
    <t>(301) 790-8000</t>
  </si>
  <si>
    <t>Meritus Health</t>
  </si>
  <si>
    <t>Meritus Health is a regional health system operating a general hospital in Hagerstown, Maryland, providing in-person medical care and hospital services.</t>
  </si>
  <si>
    <t>http://meritushealth.com/</t>
  </si>
  <si>
    <t>Reviews about Meritus Health are mixed. Some patients report positive experiences with staff, while others describe long wait times and communication gaps in care. Recent feedback includes both praise for individual nurses and ongoing concerns about throughput in the ER, with newest reviews reflecting a similar mix of praise and criticism. Registry and official website presence corroborate that the organization remains an active general hospital in the region.</t>
  </si>
  <si>
    <t>accepted google identity: 13.4/15; review volume: 30.0/30; review consistency: 0.2/7; review freshness: 7.8/8; verified website: 13.4/15; confirmed irs record: 20.0/20; source corroboration: 5.0/5; Synthesis metadata: high (not part of numeric confidence)</t>
  </si>
  <si>
    <t>5632 The Alameda, Baltimore, MD 21239</t>
  </si>
  <si>
    <t>(410) 435-0008</t>
  </si>
  <si>
    <t>Adventure Dental and Orthodontics</t>
  </si>
  <si>
    <t>Medicaid accepted; most insurance plans accepted.</t>
  </si>
  <si>
    <t>Pediatric dental, vision, and orthodontic care for children and teens at Adventure Dental and Orthodontics, including exams, cleanings, X‑rays, fluoride treatments, sealants, and braces, with Medicaid and most insurance accepted.</t>
  </si>
  <si>
    <t>https://kidsdentalvisioncare.com/maryland/adventure-md/baltimore/baltimore-the-alameda</t>
  </si>
  <si>
    <t>Review data show generally positive experiences, with many customers praising friendly, knowledgeable staff and responsive owner interaction. A small number of recent reviews mention long wait times or phone/communication challenges, but the overall trend in the latest feedback remains favorable and consistent with earlier praise.</t>
  </si>
  <si>
    <t>accepted google identity: 13.5/15; review volume: 30.0/30; review consistency: 3.0/7; review freshness: 7.9/8; verified website: 13.5/15; confirmed irs record: 0.0/20; source corroboration: 3.3/5; Synthesis metadata: medium (not part of numeric confidence)</t>
  </si>
  <si>
    <t>650 W Baltimore St, Baltimore, MD 21201</t>
  </si>
  <si>
    <t>(410) 706-7101</t>
  </si>
  <si>
    <t>University of Maryland School of Dentistry</t>
  </si>
  <si>
    <t>The University of Maryland School of Dentistry provides general, specialty, and emergency dental care, delivered by dental students under faculty supervision.</t>
  </si>
  <si>
    <t>https://www.dental.umaryland.edu/</t>
  </si>
  <si>
    <t>Review data show a mix of positive experiences with clinicians and some persistent issues with front-desk staff and administrative communications. Patients frequently praise the care and professionalism of dentists and students, while several reviews reference difficulties with referrals, receptionist demeanor, and scheduling. The newest review activity suggests ongoing attention to service quality, with recent entries generally aligning with existing feedback.</t>
  </si>
  <si>
    <t>accepted google identity: 13.3/15; review volume: 30.0/30; review consistency: 1.0/7; review freshness: 8.0/8; verified website: 13.3/15; confirmed irs record: 0.0/20; source corroboration: 3.3/5; Synthesis metadata: high (not part of numeric confidence)</t>
  </si>
  <si>
    <t>(214) 833-2271</t>
  </si>
  <si>
    <t>Eternal Smiles Foundation</t>
  </si>
  <si>
    <t>Intake appears to be via an online grant application on the organization’s website; grant applications are open.</t>
  </si>
  <si>
    <t>Eternal Smiles Foundation provides orthodontic braces to children in need, focusing on families with single parents, to help them achieve a healthy, confident smile.</t>
  </si>
  <si>
    <t>https://eternalsmiles.org/</t>
  </si>
  <si>
    <t>Review data show consistently positive experiences, with families reporting life-changing improvements in their children's confidence after braces are provided and a responsive, helpful program staff during the intake and treatment process. The most recent reviews maintain the same positive tone, suggesting stable satisfaction across the latest feedback.</t>
  </si>
  <si>
    <t>accepted google identity: 14.2/15; review volume: 27.7/30; review consistency: 7.0/7; review freshness: 7.4/8; verified website: 14.2/15; confirmed irs record: 0.0/20; source corroboration: 3.3/5; Synthesis metadata: high (not part of numeric confidence)</t>
  </si>
  <si>
    <t>3506 Brenbrook Dr, Randallstown, MD 21133</t>
  </si>
  <si>
    <t>(410) 496-4272</t>
  </si>
  <si>
    <t>The Y Of Central Maryland</t>
  </si>
  <si>
    <t>Wheelchair-accessible entrance; wheelchair-accessible parking; wheelchair-accessible restroom.</t>
  </si>
  <si>
    <t>The YMCA of Central Maryland offers fitness classes, recreational programs, and youth/family programming for people of all ages, including after-school enrichment and community wellness services.</t>
  </si>
  <si>
    <t>https://ymaryland.org/</t>
  </si>
  <si>
    <t>Review feedback is unavailable or too thin to summarize. The listing is documented as operational with accessible facilities, but there is no textual user review to identify recurring strengths or concerns.</t>
  </si>
  <si>
    <t>accepted google identity: 14.2/15; review volume: 12.1/30; review consistency: 0.0/7; review freshness: 0.0/8; verified website: 14.2/15; confirmed irs record: 0.0/20; source corroboration: 3.3/5; Synthesis metadata: medium (not part of numeric confidence)</t>
  </si>
  <si>
    <t>1954 Greenspring Dr LL20, Timonium, MD 21093</t>
  </si>
  <si>
    <t>(443) 330-5370</t>
  </si>
  <si>
    <t>Pathfinders For Autism</t>
  </si>
  <si>
    <t>Help Line: 443-330-5341; Wheelchair-accessible entrance and parking.</t>
  </si>
  <si>
    <t>Pathfinders for Autism provides autism-specific information and resources via its Resource Center, plus trainings, workshops, recreational events, and family supports for individuals with autism in Maryland.</t>
  </si>
  <si>
    <t>http://www.pathfindersforautism.org/</t>
  </si>
  <si>
    <t>Review data indicate a friendly staff and a well-organized Resource Center that provides autism-specific information and printed materials. The newest publicly visible review notes a well-staffed office with practical resources, while an older review likewise expresses positive impressions. Overall, the available review data point toward a consistently favorable experience for families seeking support.</t>
  </si>
  <si>
    <t>accepted google identity: 14.2/15; review volume: 13.2/30; review consistency: 5.2/7; review freshness: 1.6/8; verified website: 14.2/15; confirmed irs record: 20.0/20; source corroboration: 5.0/5; Synthesis metadata: high (not part of numeric confidence)</t>
  </si>
  <si>
    <t>10628 Falls Rd, Timonium, MD 21093</t>
  </si>
  <si>
    <t>(410) 832-2719</t>
  </si>
  <si>
    <t>Hopewell Cancer Support</t>
  </si>
  <si>
    <t>No-charge, no-barrier access; open to people with cancer and their families; programs led by licensed clinicians; no referral required.</t>
  </si>
  <si>
    <t>HopeWell Cancer Support provides free, community-based psychosocial support for people affected by cancer, offering programs such as support groups, stress reduction, movement and exercise classes, education workshops, expressive arts, and grief support.</t>
  </si>
  <si>
    <t>http://www.hopewellcancersupport.org/</t>
  </si>
  <si>
    <t>Review data consistently describe HopeWell as a compassionate, free community resource offering cancer-related psychosocial support through groups, education, movement, and grief support. Recurring themes include access at no charge, supportive staff, and meaningful programs; several recent reviews simply note “Very helpful” without detailed critiques, indicating ongoing positive sentiment. Newest reviews align with earlier praise, suggesting sentiment has not shifted.</t>
  </si>
  <si>
    <t>accepted google identity: 14.2/15; review volume: 23.6/30; review consistency: 7.0/7; review freshness: 7.6/8; verified website: 14.2/15; confirmed irs record: 20.0/20; source corroboration: 5.0/5; Synthesis metadata: high (not part of numeric confidence)</t>
  </si>
  <si>
    <t>952 Ridgebrook Rd Unit #1000, Sparks, MD 21152</t>
  </si>
  <si>
    <t>(410) 484-4540</t>
  </si>
  <si>
    <t>Unified Community Connections Agency</t>
  </si>
  <si>
    <t>Unified Community Connections provides services and programs for people with intellectual and developmental disabilities in Maryland, including day-program services and assistive-technology support, with its Sparks headquarters and additional offices in Maryland.</t>
  </si>
  <si>
    <t>http://unified.org/contact-us/</t>
  </si>
  <si>
    <t>The listing indicates the organization is operational and provides hours across all days. Website attribution is verified and corroborated by the listing. Review data is extremely sparse, with only a single public review and no textual review content, so user-experience signals are not well represented. Registry status shows the listing is active.</t>
  </si>
  <si>
    <t>accepted google identity: 13.3/15; review volume: 3.8/30; review consistency: 0.0/7; review freshness: 0.0/8; verified website: 13.3/15; confirmed irs record: 20.0/20; source corroboration: 5.0/5; Synthesis metadata: high (not part of numeric confidence)</t>
  </si>
  <si>
    <t>4806 Seton Dr, Baltimore, MD 21215</t>
  </si>
  <si>
    <t>(410) 358-9711</t>
  </si>
  <si>
    <t>Girl Scouts of Central Maryland Council Offices</t>
  </si>
  <si>
    <t>Local Girl Scout council offices that support girls’ leadership development through youth programming, volunteer resources, and family-friendly activities, including camps, events, and cookie-program resources for Girl Scouts of Central Maryland.</t>
  </si>
  <si>
    <t>http://www.gscm.org/</t>
  </si>
  <si>
    <t>Review data show mostly positive feedback about staff friendliness and helpful service, with at least one older review describing exclusion from events due to a disability. The most recent reviews are favorable, suggesting the current experience aligns with the positive trend and the organization remains accessible and responsive to members.</t>
  </si>
  <si>
    <t>accepted google identity: 14.2/15; review volume: 24.0/30; review consistency: 1.4/7; review freshness: 7.9/8; verified website: 14.2/15; confirmed irs record: 20.0/20; source corroboration: 5.0/5; Synthesis metadata: high (not part of numeric confidence)</t>
  </si>
  <si>
    <t>850 S Rolling Rd, Baltimore, MD 21228</t>
  </si>
  <si>
    <t>(410) 747-9622</t>
  </si>
  <si>
    <t>Western Family Branch YMCA of Central Maryland</t>
  </si>
  <si>
    <t>Membership required to participate in group exercise classes; some outdoor classes may require tokens (tokens available at Y family centers after you scan in).</t>
  </si>
  <si>
    <t>The Y in Catonsville is a community fitness and wellness center offering a fitness facility, group exercise classes, water exercise, and Stay &amp; Play child-care services for members.</t>
  </si>
  <si>
    <t>https://ymaryland.org/locations/catonsvilley</t>
  </si>
  <si>
    <t>Review data show consistently positive experiences, with praise for the pool, variety of classes, and welcoming staff. A minority of posts note missing facilities, such as a basketball court, but the latest reviews continue to reflect a favorable overall impression.</t>
  </si>
  <si>
    <t>accepted google identity: 14.2/15; review volume: 30.0/30; review consistency: 6.0/7; review freshness: 3.5/8; verified website: 14.2/15; confirmed irs record: 0.0/20; source corroboration: 3.3/5; Synthesis metadata: high (not part of numeric confidence)</t>
  </si>
  <si>
    <t>9176 Springhill Ln, Greenbelt, MD 20770</t>
  </si>
  <si>
    <t>(240) 391-6246</t>
  </si>
  <si>
    <t>Camp Fire Patuxent Area</t>
  </si>
  <si>
    <t>Open to all children Preschool through High School; wheelchair accessible entrance and parking.</t>
  </si>
  <si>
    <t>Camp Fire Patuxent Area appears to be a youth-program provider offering development activities and leadership training for young people, with programs described on its site as youth development activities and adult leadership training opportunities.</t>
  </si>
  <si>
    <t>http://www.campfirepatuxent.org/</t>
  </si>
  <si>
    <t>Review feedback is unavailable in this feed; no verbatim user reviews are accessible. The listing and official website confirm the organization exists and describes youth development programs, but the evidence is sparse for a detailed reliability assessment. Because the available data are limited to two sources with no textual reviews, confidence in granular service details remains limited.</t>
  </si>
  <si>
    <t>accepted google identity: 14.2/15; review volume: 10.8/30; review consistency: 0.0/7; review freshness: 0.0/8; verified website: 14.2/15; confirmed irs record: 0.0/20; source corroboration: 3.3/5; Synthesis metadata: insufficient_evidence (not part of numeric confidence)</t>
  </si>
  <si>
    <t>6030 Public Landing Rd, Snow Hill, MD 21863</t>
  </si>
  <si>
    <t>(410) 632-2144</t>
  </si>
  <si>
    <t>Worcester County Parks &amp; Recreation</t>
  </si>
  <si>
    <t>ADA accommodations are available upon request; the site lists wheelchair-accessible entrance, parking, and restrooms, and on-site parking is available. No general eligibility restrictions are described.</t>
  </si>
  <si>
    <t>Monday: 8 AM to 4 PM; Tuesday: 8 AM to 4 PM; Wednesday: 8 AM to 4 PM; Thursday: 8 AM to 4 PM; Friday: 8 AM to 4 PM; Saturday: Closed; Sunday: 9 AM to 3 PM</t>
  </si>
  <si>
    <t>Worcester County Department of Recreation &amp; Parks provides parks, recreation programs, events, and fitness opportunities across Worcester County, including a recreation center in Snow Hill, for residents and visitors to enjoy throughout the year.</t>
  </si>
  <si>
    <t>https://worcesterrecandparks.org/</t>
  </si>
  <si>
    <t>Review data show a high overall rating across many reviews, but the most recent public review is 1 star, describing dirty conditions and health department concerns. Because the newest feedback diverges from the longer-term rating and the sample is small, the reliability signal is mixed and should be interpreted with caution.</t>
  </si>
  <si>
    <t>accepted google identity: 14.2/15; review volume: 15.4/30; review consistency: 7.0/7; review freshness: 4.6/8; verified website: 14.2/15; confirmed irs record: 20.0/20; source corroboration: 5.0/5; Synthesis metadata: medium (not part of numeric confidence)</t>
  </si>
  <si>
    <t>7229 Parkway Dr Ste 200, Hanover, MD 21076</t>
  </si>
  <si>
    <t>(410) 517-3600</t>
  </si>
  <si>
    <t>Maryland Department of Emergency Management</t>
  </si>
  <si>
    <t>The Maryland Department of Emergency Management is a state agency that provides official risk-reduction guidance and emergency-management leadership, offering information and resources to support disaster preparedness and response for Maryland residents, communities, and partners.</t>
  </si>
  <si>
    <t>Review data show a perfect rating based on available public reviews, but the newest review text is not provided, so recurring themes are not discernible. The limited content means it’s hard to draw conclusions about current experiences beyond the high rating. The agency appears operational with published hours, suggesting consistent access.</t>
  </si>
  <si>
    <t>accepted google identity: 14.2/15; review volume: 11.1/30; review consistency: 7.0/7; review freshness: 6.7/8; verified website: 0.0/15; confirmed irs record: 0.0/20; source corroboration: 1.7/5; Synthesis metadata: high (not part of numeric confidence)</t>
  </si>
  <si>
    <t>5809 Park Heights Ave, Baltimore, MD 21215</t>
  </si>
  <si>
    <t>(410) 500-5300</t>
  </si>
  <si>
    <t>CHAI, Comprehensive Housing Assistance, Inc.</t>
  </si>
  <si>
    <t>Monday: 8:30 AM to 5 PM; Tuesday: 8:30 AM to 5 PM; Wednesday: 8:30 AM to 5 PM; Thursday: 8:30 AM to 5 PM; Friday: 8:30 AM to 4 PM; Saturday: Closed; Sunday: Closed</t>
  </si>
  <si>
    <t>CHAI (Comprehensive Housing Assistance, Inc.) is a Baltimore-based nonprofit that provides housing-related support, information, and development work for residents in the northwest part of the city. Evidence describes housing assistance and counseling, information about subsidized housing, and efforts related to preservation and repair of affordable housing.</t>
  </si>
  <si>
    <t>http://www.chaibaltimore.org/</t>
  </si>
  <si>
    <t>Review data shows a mix of positive and negative experiences. Recurring positives include helpful, knowledgeable staff and useful guidance on housing options, while some reports note administrative frustrations and difficulties with documentation. The newest feedback includes a strongly negative post amid several positive comments, indicating mixed sentiment with a recent tilt toward dissatisfaction in the latest reviews.</t>
  </si>
  <si>
    <t>accepted google identity: 13.4/15; review volume: 25.5/30; review consistency: 0.1/7; review freshness: 6.7/8; verified website: 13.4/15; confirmed irs record: 20.0/20; source corroboration: 5.0/5; Synthesis metadata: medium (not part of numeric confidence)</t>
  </si>
  <si>
    <t>2108 N Charles St, Baltimore, MD 21218</t>
  </si>
  <si>
    <t>(410) 889-2300</t>
  </si>
  <si>
    <t>The Family Tree</t>
  </si>
  <si>
    <t>The Family Tree provides parenting education and family-support services, including home visiting, anger-management programs, parenting classes, and a 24/7 parenting help line.</t>
  </si>
  <si>
    <t>http://www.familytreemd.org/</t>
  </si>
  <si>
    <t>Review data show generally positive experiences, with many reviewers praising the organization’s helpful parenting programs and professional staff. A single recent low-rating review describes concerns about supervision and safety during a visit, but the majority of recent reviews convey satisfaction and appreciation for the services. Overall, the latest review data trend positively for The Family Tree.</t>
  </si>
  <si>
    <t>accepted google identity: 14.2/15; review volume: 27.6/30; review consistency: 2.6/7; review freshness: 7.3/8; verified website: 14.2/15; confirmed irs record: 20.0/20; source corroboration: 5.0/5; Synthesis metadata: high (not part of numeric confidence)</t>
  </si>
  <si>
    <t>1800 Washington Blvd Ste 445, Baltimore, MD 21230</t>
  </si>
  <si>
    <t>(410) 659-7701</t>
  </si>
  <si>
    <t>Maryland Family Network</t>
  </si>
  <si>
    <t>Maryland Family Network coordinates a statewide network of family support centers and early learning resources, connects families and child care providers to supports, and advocates for policies that help children.</t>
  </si>
  <si>
    <t>http://marylandfamilynetwork.org/</t>
  </si>
  <si>
    <t>Review data indicate generally positive sentiment with an overall rating of 4.1 from 16 public reviews and a 5-star rating in the most recent sample; however, the most recent review text is unavailable, making it hard to extract recurring themes. Given the thin textual feedback, conclusions about user experiences should be cautious, though the available data points to favorable impressions overall.</t>
  </si>
  <si>
    <t>accepted google identity: 14.2/15; review volume: 16.9/30; review consistency: 7.0/7; review freshness: 5.5/8; verified website: 14.2/15; confirmed irs record: 20.0/20; source corroboration: 5.0/5; Synthesis metadata: high (not part of numeric confidence)</t>
  </si>
  <si>
    <t>1800 Washington Blvd, Baltimore, MD 21230</t>
  </si>
  <si>
    <t>(410) 537-3000</t>
  </si>
  <si>
    <t>Maryland Department of the Environment</t>
  </si>
  <si>
    <t>Maryland Department of the Environment (MDE) is a state government agency protecting and preserving Maryland’s air, water, and land resources, enforcing environmental laws, and providing technical assistance and information about environmental programs and permits to the public, industry, and government entities.</t>
  </si>
  <si>
    <t>http://mde.maryland.gov/</t>
  </si>
  <si>
    <t>Review data show a mix of positive and negative experiences. Review text highlights helpful staff and timely information in some cases, but several recent reviews note slow responses, inconsistent communication, and frustration with processes. Overall, the newest reviews continue to show a blend of satisfaction and dissatisfaction, suggesting readers should approach with realistic expectations.</t>
  </si>
  <si>
    <t>accepted google identity: 14.2/15; review volume: 30.0/30; review consistency: 0.2/7; review freshness: 7.3/8; verified website: 14.2/15; confirmed irs record: 0.0/20; source corroboration: 3.3/5; Synthesis metadata: medium (not part of numeric confidence)</t>
  </si>
  <si>
    <t>1320 Innovation St Ste C, Middle River, MD 21220</t>
  </si>
  <si>
    <t>(410) 205-9977</t>
  </si>
  <si>
    <t>Lifeway Mobility</t>
  </si>
  <si>
    <t>Requires scheduling a consultation (in-home or video) to determine needed products; installation by licensed technicians; after-install service.</t>
  </si>
  <si>
    <t>Lifeway Mobility Baltimore provides mobility accessibility equipment and installation services, including stairlifts, ramps, lifts, and related transfer aids, with professional installation and post-installation service.</t>
  </si>
  <si>
    <t>https://www.lifewaymobility.com/baltimore/?utm_source=GMB&amp;utm_medium=organic&amp;utm_campaign=Lifeway_Baltimore</t>
  </si>
  <si>
    <t>Review data show strong satisfaction with Lifeway Mobility Baltimore, with frequent notes of professional installations, responsive service, and helpful staff. The latest reviews consistently reflect positive experiences, particularly around installation quality and customer support. A small minority of reviews describe issues such as incomplete equipment or communication gaps, but the most recent feedback remains overwhelmingly favorable.</t>
  </si>
  <si>
    <t>accepted google identity: 13.4/15; review volume: 30.0/30; review consistency: 4.3/7; review freshness: 7.9/8; verified website: 13.4/15; confirmed irs record: 0.0/20; source corroboration: 3.3/5; Synthesis metadata: medium (not part of numeric confidence)</t>
  </si>
  <si>
    <t>10903 New Hampshire Ave, Silver Spring, MD 20993</t>
  </si>
  <si>
    <t>(888) 463-6332</t>
  </si>
  <si>
    <t>U.S. Food and Drug Administration</t>
  </si>
  <si>
    <t>10:00 AM - 4:00 PM EST; Closed Thursdays 12:30 PM - 1:30 PM EST</t>
  </si>
  <si>
    <t>The U.S. Food and Drug Administration is a federal agency that regulates and oversees the safety and efficacy of food, drugs, medical devices, and related products to protect public health.</t>
  </si>
  <si>
    <t>https://www.fda.gov/</t>
  </si>
  <si>
    <t>Review data indicate an overall rating around 3.9 on the platform from a sizable number of reviews, with a mix of high and low ratings in the sample. However, many recent reviews show no text, making it difficult to identify recurring themes or issues. Because substantive feedback is sparse, the reliability of sentiment is limited and trends cannot be confidently generalized for all users.</t>
  </si>
  <si>
    <t>580 Taylor Ave, Annapolis, MD 21401</t>
  </si>
  <si>
    <t>(410) 260-8367</t>
  </si>
  <si>
    <t>Maryland Department of Natural Resources</t>
  </si>
  <si>
    <t>Monday: 9 AM to 5 PM; Tuesday: Closed; Wednesday: 9 AM to 5 PM; Thursday: 9 AM to 5 PM; Friday: 9 AM to 5 PM; Saturday: Closed; Sunday: Closed</t>
  </si>
  <si>
    <t>Maryland Department of Natural Resources is a state government agency that oversees Maryland’s natural resources, including wildlife, forests, water, and public lands, and provides information and public services related to conservation, outdoor recreation, hunting, fishing, and boating.</t>
  </si>
  <si>
    <t>http://dnr.maryland.gov/</t>
  </si>
  <si>
    <t>Review data show mixed experiences. Some reviewers describe knowledgeable, courteous in-person staff and successful outcomes, while others report long voicemails, difficulty reaching the office, or slow responsiveness; several wildlife-related complaints also surface. The latest reviews continue to reflect a mix of positive and negative experiences with no clear trend toward improvement or decline.</t>
  </si>
  <si>
    <t>accepted google identity: 13.4/15; review volume: 29.3/30; review consistency: 0.6/7; review freshness: 6.6/8; verified website: 13.4/15; confirmed irs record: 0.0/20; source corroboration: 3.3/5; Synthesis metadata: medium (not part of numeric confidence)</t>
  </si>
  <si>
    <t>333 John Carlyle St Ste 125, Alexandria, VA 22314</t>
  </si>
  <si>
    <t>(800) 843-5678</t>
  </si>
  <si>
    <t>National Center for Missing &amp; Exploited Children</t>
  </si>
  <si>
    <t>No specific eligibility requirements were evidenced. Access is described through Get Help Now resources for crisis intervention and referrals, and via the CyberTipline for reporting missing or exploited children.</t>
  </si>
  <si>
    <t>National Center for Missing &amp; Exploited Children (NCMEC) is a national child-protection organization that provides crisis intervention and referrals for missing or exploited children, resources to help prevent exploitation, and a CyberTipline for reporting suspected cases. The organization offers public guidance, online resources, andPrint and online tools to assist families and authorities in locating missing children and addressing exploitation.</t>
  </si>
  <si>
    <t>http://www.missingkids.com/</t>
  </si>
  <si>
    <t>Review data show a generally positive pattern, with reviewers praising staff and the organization’s mission to protect children. A small number of reviews report negative experiences, including a highly critical post, but the newest reviews overall remain favorable and reinforce confidence in the organization’s work.</t>
  </si>
  <si>
    <t>accepted google identity: 14.2/15; review volume: 30.0/30; review consistency: 1.8/7; review freshness: 7.5/8; verified website: 14.2/15; confirmed irs record: 0.0/20; source corroboration: 3.3/5; Synthesis metadata: high (not part of numeric confidence)</t>
  </si>
  <si>
    <t>(202) 642-6309</t>
  </si>
  <si>
    <t>Living at Home Consultations</t>
  </si>
  <si>
    <t>Intake is via scheduled consultation. For Environmental Assessments under Maryland DDA Medicaid Waivers, services are available for individuals with Self Directed Services (SDS) or Traditional Plans (PCP) through DDA. Schedule a consultation through the website; staff will contact you after form submission.</t>
  </si>
  <si>
    <t>Living at Home Consultations provides at‑home safety and accessibility services to help people age in place. Evidence-supported offerings include fall‑risk assessments, home‑accessibility evaluations, and environmental assessments for Medicaid waivers; the organization also provides related workshops and consulting.</t>
  </si>
  <si>
    <t>http://www.lahconsultations.com/</t>
  </si>
  <si>
    <t>Review data describe Living at Home Consultations as caring, responsive, and practical. Reviewers highlight compassionate guidance, fall‑prevention recommendations, and helpful referrals, with the newest feedback echoing these strengths. Overall, the review text suggests a positive, consistent experience across observed reviews.</t>
  </si>
  <si>
    <t>accepted google identity: 14.2/15; review volume: 13.9/30; review consistency: 7.0/7; review freshness: 2.4/8; verified website: 14.2/15; confirmed irs record: 0.0/20; source corroboration: 3.3/5; Synthesis metadata: high (not part of numeric confidence)</t>
  </si>
  <si>
    <t>200 N Wolfe St, Baltimore, MD 21287</t>
  </si>
  <si>
    <t>(410) 955-5711</t>
  </si>
  <si>
    <t>The Johns Hopkins Hospital :David M. Rubenstein Child Health Building</t>
  </si>
  <si>
    <t>Appointment required.</t>
  </si>
  <si>
    <t>Johns Hopkins Hospital – David M. Rubenstein Child Health Building offers in-person medical clinic services for individuals 21 years old and younger.</t>
  </si>
  <si>
    <t>https://www.hopkinsmedicine.org/patient-care/locations/the-david-m-rubenstein-child-health-building</t>
  </si>
  <si>
    <t>Review data from Google Maps show recurring positives about staff kindness, professionalism, and punctuality in some visits. However, several reviews recount scheduling errors, miscommunication, and long wait times, indicating ongoing administrative challenges. The most recent reviews are favorable about staff and on-time performance, suggesting some improvement, but overall feedback remains mixed. In short, patients report good patient-facing care when scheduled properly, yet organizational issues affect the overall experience.</t>
  </si>
  <si>
    <t>accepted google identity: 13.3/15; review volume: 27.4/30; review consistency: 0.4/7; review freshness: 7.4/8; verified website: 13.3/15; confirmed irs record: 0.0/20; source corroboration: 3.3/5; Synthesis metadata: medium (not part of numeric confidence)</t>
  </si>
  <si>
    <t>301 Hospital Dr, Glen Burnie, MD 21061</t>
  </si>
  <si>
    <t>(410) 787-4000</t>
  </si>
  <si>
    <t>UM Baltimore Washington Medical Center</t>
  </si>
  <si>
    <t>UM Baltimore Washington Medical Center is a hospital serving the Anne Arundel County area, offering a broad range of medical services including emergency care, cancer treatment, cardiology, orthopedics, and women’s health.</t>
  </si>
  <si>
    <t>https://www.umms.org/bwmc/locations/um-baltimore-washington-medical-center</t>
  </si>
  <si>
    <t>Review data show mixed experiences. Some patients praise the care teams, professionalism, and compassionate support, while other reviews describe long wait times in the emergency department and communication gaps. Recent reviews feature both positive and negative experiences, indicating ongoing variability rather than a consistently uniform experience.</t>
  </si>
  <si>
    <t>accepted google identity: 14.2/15; review volume: 30.0/30; review consistency: 0.2/7; review freshness: 8.0/8; verified website: 14.2/15; confirmed irs record: 0.0/20; source corroboration: 3.3/5; Synthesis metadata: insufficient_evidence (not part of numeric confidence)</t>
  </si>
  <si>
    <t>11890 Healing Wy, Silver Spring, MD 20904</t>
  </si>
  <si>
    <t>(240) 637-4000</t>
  </si>
  <si>
    <t>Adventist HealthCare White Oak Medical Center</t>
  </si>
  <si>
    <t>Appointments required; appointments recommended. Accessibility features include wheelchair accessible entrance, wheelchair accessible parking, wheelchair accessible restroom, and seating.</t>
  </si>
  <si>
    <t>A hospital facility providing emergency care along with a broad range of medical services, including heart programs, cancer care, maternity services, and surgical care.</t>
  </si>
  <si>
    <t>https://www.adventisthealthcare.com/locations/profile/white-oak-medical-center/?utm_source=local-listing&amp;utm_medium=organic&amp;utm_campaign=website-link</t>
  </si>
  <si>
    <t>Review data show a mix of experiences. Many reviewers praise the staff's kindness and the quality of care in some departments, while others report long ER waits and feeling dismissed. The newest reviews continue to show a range of experiences, with recent feedback remaining mixed.</t>
  </si>
  <si>
    <t>accepted google identity: 14.2/15; review volume: 30.0/30; review consistency: 1.5/7; review freshness: 8.0/8; verified website: 14.2/15; confirmed irs record: 0.0/20; source corroboration: 3.3/5; Synthesis metadata: medium (not part of numeric confidence)</t>
  </si>
  <si>
    <t>9901 Medical Center Dr, Rockville, MD 20850</t>
  </si>
  <si>
    <t>(240) 826-6000</t>
  </si>
  <si>
    <t>Adventist HealthCare Shady Grove Medical Center</t>
  </si>
  <si>
    <t>Appointments required; On-site services; Wheelchair accessible entrance, parking, restrooms, and seating; Accepts major payment methods (credit/debit/NFC mobile).</t>
  </si>
  <si>
    <t>Adventist HealthCare Shady Grove Medical Center is a hospital offering comprehensive medical services, including emergency care and surgical treatment, with a long-standing presence in the Rockville community.</t>
  </si>
  <si>
    <t>https://www.adventisthealthcare.com/locations/profile/shady-grove-medical-center/?utm_source=local-listing&amp;utm_medium=organic&amp;utm_campaign=website-link</t>
  </si>
  <si>
    <t>Review data show mixed experiences. Some reviewers praise compassionate staff and helpful front-desk, while others report long ER wait times and concerns about care quality. The most recent reviews include both praise and complaints, indicating ongoing variability in patient experiences.</t>
  </si>
  <si>
    <t>accepted google identity: 14.2/15; review volume: 30.0/30; review consistency: 0.9/7; review freshness: 8.0/8; verified website: 14.2/15; confirmed irs record: 0.0/20; source corroboration: 3.3/5; Synthesis metadata: medium (not part of numeric confidence)</t>
  </si>
  <si>
    <t>8600 Old Georgetown Rd, Bethesda, MD 20814</t>
  </si>
  <si>
    <t>(301) 896-3100</t>
  </si>
  <si>
    <t>Suburban Hospital</t>
  </si>
  <si>
    <t>Suburban Hospital is a Johns Hopkins Medicine–affiliated, community-based hospital in Bethesda, Maryland, providing general hospital-level care to the surrounding area.</t>
  </si>
  <si>
    <t>https://www.hopkinsmedicine.org/suburban_hospital/?utm_source=Google&amp;utm_medium=Organic&amp;utm_campaign=Yext&amp;utm_content=FAD&amp;utm_keyword=SUB</t>
  </si>
  <si>
    <t>Review data shows a mix of experiences. Many reviewers praise the nursing and clinical staff and note responsive, compassionate care, while other reviews describe serious concerns about missed diagnoses, delays, privacy issues, and perceived gaps in patient safety. The most recent reviews indicate both positive and negative experiences, suggesting that patient impressions at Suburban Hospital vary by department and staff.</t>
  </si>
  <si>
    <t>accepted google identity: 14.2/15; review volume: 30.0/30; review consistency: 1.4/7; review freshness: 8.0/8; verified website: 14.2/15; confirmed irs record: 20.0/20; source corroboration: 5.0/5; Synthesis metadata: insufficient_evidence (not part of numeric confidence)</t>
  </si>
  <si>
    <t>11711 Livingston Rd, Fort Washington, MD 20744</t>
  </si>
  <si>
    <t>(301) 292-7000</t>
  </si>
  <si>
    <t>Adventist HealthCare Fort Washington Medical Center</t>
  </si>
  <si>
    <t>Appointment required for planning—verify with admissions.</t>
  </si>
  <si>
    <t>Adventist HealthCare Fort Washington Medical Center is a 37-bed acute-care hospital offering general inpatient medical and surgical care, emergency services, diagnostic imaging and laboratory services, ambulatory surgery, rehabilitation, and specialty services (bariatric, cardiology, orthopedics, GI, respiratory therapy), plus related community programs.</t>
  </si>
  <si>
    <t>https://www.adventisthealthcare.com/locations/profile/fort-washington-medical-center/?utm_source=local-listing&amp;utm_medium=organic&amp;utm_campaign=website-link</t>
  </si>
  <si>
    <t>Review data show many recent patient comments celebrating compassionate staff and thorough care, especially nurses and clinicians in the emergency department and inpatient units. Some reviews note occasional delays with meals or other service aspects and comment that the facility could benefit from updates, but the newest reviews continue to reflect positive experiences and responsive care.</t>
  </si>
  <si>
    <t>accepted google identity: 14.2/15; review volume: 30.0/30; review consistency: 4.0/7; review freshness: 8.0/8; verified website: 14.2/15; confirmed irs record: 0.0/20; source corroboration: 3.3/5; Synthesis metadata: medium (not part of numeric confidence)</t>
  </si>
  <si>
    <t>801 Middleford Rd, Seaford, DE 19973</t>
  </si>
  <si>
    <t>(302) 629-6611</t>
  </si>
  <si>
    <t>TidalHealth Nanticoke</t>
  </si>
  <si>
    <t>Open 24 hours daily (Emergency Department)</t>
  </si>
  <si>
    <t>TidalHealth Nanticoke is a community hospital in Seaford, Delaware that provides emergency care and a broad range of hospital services, including surgery, cancer treatment, and maternity care.</t>
  </si>
  <si>
    <t>https://www.tidalhealth.org/our-locations/tidalhealth-nanticoke</t>
  </si>
  <si>
    <t>Review data describe a hospital with mixed experiences. Review data show recurring positive themes such as attentive staff and good bedside care in some visits, but recurring concerns include long wait times and perceived lack of professionalism in the emergency department. The newest reviews include both highly positive and highly negative experiences, indicating inconsistent experiences across visits.</t>
  </si>
  <si>
    <t>100 E Carroll St, Salisbury, MD 21801</t>
  </si>
  <si>
    <t>(410) 546-6400</t>
  </si>
  <si>
    <t>TidalHealth Peninsula Regional</t>
  </si>
  <si>
    <t>Appointment is required for certain services and appointments are recommended; the facility provides wheelchair-accessible entrances and restrooms.</t>
  </si>
  <si>
    <t>TidalHealth Peninsula Regional is a hospital that provides emergency care, inpatient treatment, surgical services, and comprehensive specialty care (including cardiothoracic surgery, neurosurgery, joint replacement, and cancer treatment). The organization appears to operate as a general medical center with emergency and trauma services and a broad range of diagnostic, therapeutic, and surgical offerings.</t>
  </si>
  <si>
    <t>https://www.tidalhealth.org/</t>
  </si>
  <si>
    <t>Review data show a pattern of negative experiences in recent reviews, including long wait times and concerns about care quality in the ED. Some reviewers note positive interactions with intake staff or certain clinicians, but the newest reviews continue to reflect mixed or negative experiences overall.</t>
  </si>
  <si>
    <t>accepted google identity: 14.2/15; review volume: 30.0/30; review consistency: 1.4/7; review freshness: 8.0/8; verified website: 14.2/15; confirmed irs record: 20.0/20; source corroboration: 5.0/5; Synthesis metadata: high (not part of numeric confidence)</t>
  </si>
  <si>
    <t>9733 Healthway Dr, Berlin, MD 21811</t>
  </si>
  <si>
    <t>(410) 641-1100</t>
  </si>
  <si>
    <t>TidalHealth Atlantic</t>
  </si>
  <si>
    <t>A hospital facility in Berlin, Maryland that provides general medical and hospital services to the community.</t>
  </si>
  <si>
    <t>http://www.atlanticgeneral.org/</t>
  </si>
  <si>
    <t>Review data indicate generally positive experiences, with many reviewers praising friendly, professional staff and attentive care. A number of comments note occasional delays or concerns about communication. There are a few notably negative accounts describing worse experiences, but these are less common. The most recent reviews continue to reflect a favorable impression overall, suggesting the trend remains stable but with ongoing room for improvement.</t>
  </si>
  <si>
    <t>11419 Cronridge Dr #2, Owings Mills, MD 21117</t>
  </si>
  <si>
    <t>(410) 701-0076</t>
  </si>
  <si>
    <t>Universal Pro Care Inc</t>
  </si>
  <si>
    <t>Monday: 8 AM to 5 PM; Tuesday: 8 AM to 5 PM; Wednesday: 8 AM to 5 PM; Thursday: 8 AM to 5 PM; Friday: 8 AM to 1 PM; Saturday: Closed; Sunday: Closed</t>
  </si>
  <si>
    <t>Universal Pro Care Inc appears to be a Maryland-based provider offering in-home health care and disability supports, including home health services, group-home options, private duty/home care, respite services, and Day Habilitation/employment supports for adults with disabilities and seniors.</t>
  </si>
  <si>
    <t>https://universalprocare.org/</t>
  </si>
  <si>
    <t>Review data consistently highlights a caring, professional team and reliable in-home care, with recurring positive feedback about staff quality and patient support. The newest reviews date from many months ago and the sample is small, so current performance cannot be fully confirmed; overall, the available review data point to a favorable impression, though recency is limited.</t>
  </si>
  <si>
    <t>accepted google identity: 14.2/15; review volume: 14.7/30; review consistency: 7.0/7; review freshness: 1.7/8; verified website: 14.2/15; confirmed irs record: 0.0/20; source corroboration: 3.3/5; Synthesis metadata: high (not part of numeric confidence)</t>
  </si>
  <si>
    <t>9722 Groffs Mill Drive, Suite 962, Owings Mills, MD 21117</t>
  </si>
  <si>
    <t>(612) 423-7658</t>
  </si>
  <si>
    <t>Honeywell Healthcare Services LLC</t>
  </si>
  <si>
    <t>Honeywell Healthcare Services LLC provides private home health care and at‑home caregiving services in Maryland, offering personalized care plans and caregiver support.</t>
  </si>
  <si>
    <t>https://www.honeywellhealthcare.com/</t>
  </si>
  <si>
    <t>Review data indicate consistently positive feedback about staff friendliness and quality of care, with several reviewers noting attentive front-desk service and compassionate caregivers. The most recent reviews are older, but they reinforce the same favorable impression, and owner responses show ongoing engagement with clients.</t>
  </si>
  <si>
    <t>accepted google identity: 14.2/15; review volume: 15.9/30; review consistency: 5.6/7; review freshness: 3.3/8; verified website: 14.2/15; confirmed irs record: 0.0/20; source corroboration: 3.3/5; Synthesis metadata: high (not part of numeric confidence)</t>
  </si>
  <si>
    <t>909 Baltimore Blvd Ste 137, Westminster, MD 21157</t>
  </si>
  <si>
    <t>(301) 241-7374</t>
  </si>
  <si>
    <t>Senior Care at Home</t>
  </si>
  <si>
    <t>Intake by inquiry; eligibility is determined during the initial in‑home nursing assessment. Service area includes Montgomery, Frederick, Baltimore City, Baltimore County, Howard, and Harford Counties. Eligible individuals may qualify for the Community First Choice (CFC) Medicaid program; call to confirm coverage and scheduling.</t>
  </si>
  <si>
    <t>Senior Care at Home provides in‑home care in Maryland, offering non‑medical personal care and skilled nursing services under a Maryland RSA license, with 24/7 availability and Medicaid Community First Choice (CFC) program participation.</t>
  </si>
  <si>
    <t>https://www.myseniorcareathome.com/</t>
  </si>
  <si>
    <t>Review data shows predominantly positive feedback, with reviewers praising staff kindness, knowledge, and responsiveness. A notable minority raise concerns about scheduling and ensuring licensed nursing is available, but owner responses indicate ongoing attention to client feedback. Overall, recent reviews continue to reflect high satisfaction and compassionate care.</t>
  </si>
  <si>
    <t>accepted google identity: 14.2/15; review volume: 30.0/30; review consistency: 4.1/7; review freshness: 7.5/8; verified website: 14.2/15; confirmed irs record: 0.0/20; source corroboration: 3.3/5; Synthesis metadata: high (not part of numeric confidence)</t>
  </si>
  <si>
    <t>1116 Reisterstown Rd Ste 202, Pikesville, MD 21208</t>
  </si>
  <si>
    <t>(443) 660-8757</t>
  </si>
  <si>
    <t>A+ Personal Home Care</t>
  </si>
  <si>
    <t>In-home care provider offering a range of home-based services for seniors and clients needing assistance, including around-the-clock care, personal care, companion care, and skilled nursing in the Baltimore–DC metro area.</t>
  </si>
  <si>
    <t>https://apluspersonalhomecare.com/?utm_GBP</t>
  </si>
  <si>
    <t>Review data indicate a strong, consistently positive sentiment, with recurring praise for professional, compassionate caregivers and reliable in-home care. The newest sample reviews are supportive, and themes of high-quality service and staff professionalism recur across entries. Overall, the available review data point to favorable experiences for clients and families.</t>
  </si>
  <si>
    <t>accepted google identity: 13.4/15; review volume: 30.0/30; review consistency: 6.3/7; review freshness: 4.8/8; verified website: 13.4/15; confirmed irs record: 0.0/20; source corroboration: 3.3/5; Synthesis metadata: high (not part of numeric confidence)</t>
  </si>
  <si>
    <t>7009 Lachlan Cir, Baltimore, MD 21239</t>
  </si>
  <si>
    <t>(443) 460-8684</t>
  </si>
  <si>
    <t>The Pacific Group Healthcare Services of MD,LLC</t>
  </si>
  <si>
    <t>Provides in-home health care services (home health care) as indicated by a Google Maps listing categorized as 'Home health care service'.</t>
  </si>
  <si>
    <t>There are no reviews available for this listing, so review data is unavailable. The non-review signals indicate the listing is categorized as home health care service, but corroboration from other sources is limited. Without consumer feedback, it is difficult to assess the quality or reliability of the services from the available data.</t>
  </si>
  <si>
    <t>Stella Maris</t>
  </si>
  <si>
    <t>Stella Maris is a nonprofit long-term care and nursing facility in Timonium, MD that provides skilled nursing care, rehabilitation services, and hospice programs, along with related elder-care supports including home hospice and short-term rehab.</t>
  </si>
  <si>
    <t>https://www.stellamaris.org/</t>
  </si>
  <si>
    <t>Review data show a mixed picture: many reviewers praise compassionate staff and positive interactions with caregivers, therapists, and aides, while a number of more recent reviews describe ongoing staffing shortages and concerns about responsiveness to call lights and day-to-day care. The newest reviews continue to present a range of experiences, with some satisfied visitors and others reporting persistent quality and staffing issues.</t>
  </si>
  <si>
    <t>accepted google identity: 13.4/15; review volume: 30.0/30; review consistency: 0.5/7; review freshness: 8.0/8; verified website: 13.4/15; confirmed irs record: 20.0/20; source corroboration: 5.0/5; Synthesis metadata: medium (not part of numeric confidence)</t>
  </si>
  <si>
    <t>1055 Taylor Ave Suites 207 &amp; 100, Towson, MD 21286</t>
  </si>
  <si>
    <t>(410) 321-6826</t>
  </si>
  <si>
    <t>Atosk Healthcare Services Inc.</t>
  </si>
  <si>
    <t>Eligibility: adults 18+. Intake by appointment; appointments are recommended. Facility notes indicate wheelchair accessible entrance, parking, restroom, and seating.</t>
  </si>
  <si>
    <t>Mental health clinic in Towson, Maryland, offering in-person mental health services to adults, with additional in-home healthcare and personalized care referenced by the provider.</t>
  </si>
  <si>
    <t>https://bit.ly/ATOSK</t>
  </si>
  <si>
    <t>Review feedback is unavailable or too thin to summarize. The listing shows public reviews with an average around 3.4, but there is no accessible text from reviews to identify recurring themes or trends.</t>
  </si>
  <si>
    <t>accepted google identity: 14.2/15; review volume: 9.9/30; review consistency: 0.0/7; review freshness: 0.0/8; verified website: 14.2/15; confirmed irs record: 0.0/20; source corroboration: 3.3/5; Synthesis metadata: medium (not part of numeric confidence)</t>
  </si>
  <si>
    <t>6211 Harford Rd, Baltimore, MD 21214</t>
  </si>
  <si>
    <t>(410) 444-0461</t>
  </si>
  <si>
    <t>Victoire Health Services</t>
  </si>
  <si>
    <t>Accepts private insurance and Medicaid.</t>
  </si>
  <si>
    <t>Victoire Health Services INC provides in-home health care for seniors and veterans in Baltimore, offering regular homecare services such as respite care, personal hygiene assistance, dressing and changing, meal preparation, and related in-home support.</t>
  </si>
  <si>
    <t>https://victoirehealthservices.com/</t>
  </si>
  <si>
    <t>The available review data are extremely limited: there is a single 1-star review with no text. The listing and the official website confirm the organization exists and provides home health care services, but address reporting appears inconsistent across sources, which reduces confidence in the completeness of the metadata.</t>
  </si>
  <si>
    <t>accepted google identity: 14.2/15; review volume: 5.0/30; review consistency: 7.0/7; review freshness: 1.9/8; verified website: 14.2/15; confirmed irs record: 0.0/20; source corroboration: 3.3/5; Synthesis metadata: low (not part of numeric confidence)</t>
  </si>
  <si>
    <t>7106 Ridge Rd Suite 110, Rosedale, MD 21237</t>
  </si>
  <si>
    <t>(410) 686-8413</t>
  </si>
  <si>
    <t>Amedisys Home Health Care</t>
  </si>
  <si>
    <t>Eligibility generally requires medical need with physician referral. There is an eligibility quiz available; the first visit is scheduled by phone and typically occurs within 24 hours after hospital discharge to establish a plan of care with the physician. Medicare, Medicaid, and private insurance are commonly accepted. Services are coordinated by a care team and individualized to the patient’s needs.</t>
  </si>
  <si>
    <t>Amedisys Home Health Care provides in-home medical and rehabilitative services in Rosedale, MD. The team includes registered nurses, physical therapists, occupational therapists, speech therapists, home health aides, and medical social workers who deliver skilled care and support in the home. Their documented services include skilled nursing, physical therapy, occupational therapy, speech therapy, wound care, and related home-health programs for conditions such as heart failure, COPD, falls risk, and diabetes management.</t>
  </si>
  <si>
    <t>https://locations.amedisys.com/md/rosedale/home-health-5013/?utm_source=google&amp;utm_medium=organic&amp;utm_campaign=locallisting</t>
  </si>
  <si>
    <t>Review data describe consistently positive experiences with compassionate, professional staff and effective in-home therapy. Recency of newest feedback indicates ongoing satisfaction, with multiple accounts highlighting attentive nurses and therapists and clear communication. Overall, review data suggest patients feel well-supported by the home-health team, and there is no strong contradictory sentiment in the latest entries.</t>
  </si>
  <si>
    <t>9424 Chessie Lane, Columbia, MD 21046</t>
  </si>
  <si>
    <t>(240) 390-7967</t>
  </si>
  <si>
    <t>Beall Care Services Inc</t>
  </si>
  <si>
    <t>Beall Care Services Inc provides in-home health care services, including skilled nursing, home health aide, wound/ostomy care, post-surgery and illness management, and support for chronic conditions, delivered in clients’ homes or other living settings.</t>
  </si>
  <si>
    <t>http://beallcareservices.org/</t>
  </si>
  <si>
    <t>Beall Care Services appears operational with verified contact details and 24/7 in-home service hours. There are no published user reviews available in the reliability input, so feedback on quality or satisfaction cannot be summarized. The available data from the listing and official site indicate a consistent service focus and reachable operations, but user-experience data is too thin to corroborate performance trends.</t>
  </si>
  <si>
    <t>5532 Perkins Cir, White Marsh, MD 21162</t>
  </si>
  <si>
    <t>(443) 600-6071</t>
  </si>
  <si>
    <t>D&amp;D Home Health Services</t>
  </si>
  <si>
    <t>D&amp;D Home Health Services provides in-home care and support in Maryland, offering non-medical home care and personal care assistance designed to help clients stay safely at home.</t>
  </si>
  <si>
    <t>https://www.dndhomehealthservices.com/</t>
  </si>
  <si>
    <t>Review data show consistently positive feedback from clients and families. Review text describes staff as compassionate, professional, and patient, with many notes about dignity, respect, and reliable communication during home visits. The newest reviews from the last several months continue to express satisfaction and willingness to recommend the service, indicating that this positive impression remains current.</t>
  </si>
  <si>
    <t>accepted google identity: 14.9/15; review volume: 25.7/30; review consistency: 6.0/7; review freshness: 6.5/8; verified website: 14.9/15; confirmed irs record: 0.0/20; source corroboration: 3.3/5; Synthesis metadata: high (not part of numeric confidence)</t>
  </si>
  <si>
    <t>811 Cromwell Park Dr Ste 109 &amp; 110, Glen Burnie, MD 21061</t>
  </si>
  <si>
    <t>(410) 590-4926</t>
  </si>
  <si>
    <t>Intake typically begins after referral, with a nurse or therapist contacting the patient by phone to schedule the first visit. Services are generally covered by Medicare, Medicaid, or private insurance for eligible patients, with an individualized plan of care guiding eligibility.</t>
  </si>
  <si>
    <t>Amedisys Home Health Care provides in-home health services in Glen Burnie, including skilled nursing, physical therapy, occupational therapy, speech therapy, home health aide support, medical social work, wound care, and empowerment programs to help patients recover at home and stay independent.</t>
  </si>
  <si>
    <t>https://locations.amedisys.com/md/glen-burnie/home-health-5001/?utm_source=google&amp;utm_medium=organic&amp;utm_campaign=locallisting</t>
  </si>
  <si>
    <t>Review data indicate generally positive experiences with the agency, highlighting professional staff, compassionate care, and effective home-health services. A small portion of reviews mention scheduling or visit-availability issues, but recent feedback remains favorable. The latest activity shows continued positive engagement, suggesting stable performance.</t>
  </si>
  <si>
    <t>1401 Mercantile Ln Ste 351, Largo, MD 20774</t>
  </si>
  <si>
    <t>(301) 322-6023</t>
  </si>
  <si>
    <t>Eligibility generally requires a physician’s plan of care and insurance coverage; intake eligibility quiz is available; initial visits are arranged after hospital discharge (often within 24 hours); services include 24/7 on-call for urgent needs.</t>
  </si>
  <si>
    <t>Amedisys Home Health Care provides in-home medical and rehabilitation services in Largo, MD, including skilled nursing, physical therapy, occupational therapy, speech therapy, home health aides, and medical social work, to support recovery and independence at home.</t>
  </si>
  <si>
    <t>https://locations.amedisys.com/md/largo/home-health-5009/?utm_source=google&amp;utm_medium=organic&amp;utm_campaign=locallisting</t>
  </si>
  <si>
    <t>Review data consistently describe attentive, professional staff and meaningful care at home. Review text highlights grateful families and patients who report therapists and nurses as knowledgeable, thorough, and supportive. The newest reviews reflect the same positive experiences, suggesting stable quality over time.</t>
  </si>
  <si>
    <t>accepted google identity: 14.2/15; review volume: 30.0/30; review consistency: 4.6/7; review freshness: 8.0/8; verified website: 14.2/15; confirmed irs record: 0.0/20; source corroboration: 3.3/5; Synthesis metadata: high (not part of numeric confidence)</t>
  </si>
  <si>
    <t>107 Chesapeake Blvd #124, Elkton, MD 21921</t>
  </si>
  <si>
    <t>(410) 398-4733</t>
  </si>
  <si>
    <t>Eligibility is typically determined via physician referral and a plan of care; Medicare/Medicaid and private insurance plans usually cover home health for eligible patients. An eligibility quiz is available on the site, and initial contact will coordinate scheduling for first visits.</t>
  </si>
  <si>
    <t>Amedisys Home Health Care provides in‑home medical and rehabilitative care in Elkton, MD, helping patients recover at home with a team of nurses, therapists, home health aides, and social workers.</t>
  </si>
  <si>
    <t>https://locations.amedisys.com/md/elkton/home-health-5010/?utm_source=google&amp;utm_medium=organic&amp;utm_campaign=locallisting</t>
  </si>
  <si>
    <t>Review data shows consistently positive experiences with compassionate, skilled staff delivering care at home. Recent reviews emphasize kindness, respect, and effective in‑home care, and the newest feedback continues to reflect satisfaction with the service. There are no clear negative trends in the available review data.</t>
  </si>
  <si>
    <t>5801 Scotchbroom Lane, Salisbury, MD 21801</t>
  </si>
  <si>
    <t>(443) 837-4493</t>
  </si>
  <si>
    <t>JollyCare Residential Services</t>
  </si>
  <si>
    <t>JollyCare Residential Services provides in‑home caregiving and home health support across Maryland, including dementia care, personal care and companionship, medication reminders, transportation assistance, meal preparation, light housekeeping, and respite care, with 24/7 availability and options for same‑day coverage.</t>
  </si>
  <si>
    <t>http://jollycarers-showell.com/</t>
  </si>
  <si>
    <t>Review data shows two recent five‑star reviews praising compassionate care and reliable communication from staff, including a caregiver named Ellie and the owner. The newest feedback continues to be positive, but the sample size is small, so readers should consider that the impression is based on limited experiences.</t>
  </si>
  <si>
    <t>(855) 479-4217</t>
  </si>
  <si>
    <t>Personic Health</t>
  </si>
  <si>
    <t>Personic Health provides in-home wound care services delivered by clinicians, bringing wound care to patients in their own homes.</t>
  </si>
  <si>
    <t>http://personichealth.com/</t>
  </si>
  <si>
    <t>Reviews consistently highlight knowledgeable, compassionate staff and professional care. However, recurring concerns include scheduling reliability, missed visits, and billing practices. The newest reviews show a mix of positive experiences and ongoing billing criticisms, indicating no clear shift in sentiment. A field-correction note indicates a data conflict with the listing name, which adds some uncertainty to the listing’s identity.</t>
  </si>
  <si>
    <t>accepted google identity: 14.2/15; review volume: 30.0/30; review consistency: 0.5/7; review freshness: 7.5/8; verified website: 14.2/15; confirmed irs record: 0.0/20; source corroboration: 3.3/5; Synthesis metadata: medium (not part of numeric confidence)</t>
  </si>
  <si>
    <t>330 Catoctin Ave, Frederick, MD 21701</t>
  </si>
  <si>
    <t>(866) 393-5847</t>
  </si>
  <si>
    <t>Whole Heart Center</t>
  </si>
  <si>
    <t>Appointments recommended (per Google Maps listing). Accessibility features include wheelchair-accessible entrance, parking, and restroom.</t>
  </si>
  <si>
    <t>Whole Heart Center appears to provide counseling and coaching services focused on grief, life challenges, and personal growth, including individual coaching, support groups, and related resources to support healing.</t>
  </si>
  <si>
    <t>https://wholeheartcenter.org/donate</t>
  </si>
  <si>
    <t>There are no usable review texts available in the provided data. The listing is shown as operational and reachable via a verified website, with a valid phone number. Review data is unavailable or too thin at this time; no trends to report.</t>
  </si>
  <si>
    <t>3101 Wilson Blvd Ste 600, Arlington, VA 22201</t>
  </si>
  <si>
    <t>(202) 588-8277</t>
  </si>
  <si>
    <t>Tragedy Assistance Program for Survivors</t>
  </si>
  <si>
    <t>Eligibility: families of fallen military heroes; services provided at no cost.</t>
  </si>
  <si>
    <t>Tragedy Assistance Program for Survivors (TAPS) provides support for families of fallen military heroes, including peer-based emotional support, grief resources, retreats and camps for adults and children, casework assistance, connections to community-based care, online and in-person support groups, and a 24/7 National Military Survivor Helpline, all at no cost to surviving families.</t>
  </si>
  <si>
    <t>Review data shows mixed experiences: several reviewers praise staff and the organization’s supportive programs, while other reviewers express concerns about perceived funding or political stances. The most recent feedback includes both a very positive and a strongly negative review, indicating ongoing variability in user experiences. Overall, the data present a range of perspectives rather than a single consistent trend.</t>
  </si>
  <si>
    <t>accepted google identity: 13.3/15; review volume: 24.9/30; review consistency: 0.7/7; review freshness: 7.8/8; verified website: 0.0/15; confirmed irs record: 0.0/20; source corroboration: 1.7/5; Synthesis metadata: insufficient_evidence (not part of numeric confidence)</t>
  </si>
  <si>
    <t>412 W 8th St, Erie, PA 16502</t>
  </si>
  <si>
    <t>(814) 464-5989</t>
  </si>
  <si>
    <t>Emma's Footprints</t>
  </si>
  <si>
    <t>Region: Northwest Pennsylvania; inquiries for financial assistance accepted; no fee for services; intake/referral by inquiry (contact via the organization’s channels; in-person or remote engagement as indicated).</t>
  </si>
  <si>
    <t>Emma's Footprints in Erie, PA provides grief support for families affected by pregnancy or infant loss and offers financial assistance for funeral-related expenses. It outlines services including Funeral &amp; Memorial assistance, Care Packages, Counseling referrals, a Support Group, and a Care Team to provide ongoing emotional and practical support.</t>
  </si>
  <si>
    <t>http://www.emmasfootprints.com/</t>
  </si>
  <si>
    <t>Review data show overwhelmingly positive feedback from individuals describing staff as compassionate, professional, and supportive during times of grief. The newest reviews (2025) continue to reflect meaningful impact and appreciation for both emotional and practical support, with multiple narratives emphasizing healing and comfort.</t>
  </si>
  <si>
    <t>accepted google identity: 14.2/15; review volume: 23.0/30; review consistency: 7.0/7; review freshness: 4.6/8; verified website: 14.2/15; confirmed irs record: 0.0/20; source corroboration: 3.3/5; Synthesis metadata: high (not part of numeric confidence)</t>
  </si>
  <si>
    <t>737 W Lombard St, Baltimore, MD 21201</t>
  </si>
  <si>
    <t>(410) 328-6749</t>
  </si>
  <si>
    <t>University Of Maryland School Of Medicine</t>
  </si>
  <si>
    <t>The University of Maryland School of Medicine is a medical school that trains physicians and other health professionals, conducts medical research, and provides patient care through its faculty.</t>
  </si>
  <si>
    <t>https://www.medschool.umaryland.edu/</t>
  </si>
  <si>
    <t>Review data indicates a very small set of reviews with a perfect rating, but there is no recent review content available in the sample. The official website corroborates the organization’s roles in education, research, and patient care, adding confidence to the listing’s identity. Because review content is thin and not recently surfaced, reliability is described as moderate.</t>
  </si>
  <si>
    <t>accepted google identity: 13.3/15; review volume: 7.7/30; review consistency: 0.0/7; review freshness: 0.0/8; verified website: 13.3/15; confirmed irs record: 0.0/20; source corroboration: 3.3/5; Synthesis metadata: medium (not part of numeric confidence)</t>
  </si>
  <si>
    <t>8615 Ridgelys Choice Dr #205, Nottingham, MD 21236</t>
  </si>
  <si>
    <t>(443) 869-4909</t>
  </si>
  <si>
    <t>Port Recovery</t>
  </si>
  <si>
    <t>Monday: 9 AM to 8:30 PM; Tuesday: 9 AM to 8:30 PM; Wednesday: 9 AM to 8:30 PM; Thursday: 9 AM to 8:30 PM; Friday: 9 AM to 5 PM; Saturday: 9 AM to 12 PM; Sunday: Closed</t>
  </si>
  <si>
    <t>Port Recovery provides behavioral health and substance-use treatment, including residential and outpatient programs, counseling, medication-assisted treatment, primary care, problem gambling treatment, and DUI education in Nottingham, Maryland.</t>
  </si>
  <si>
    <t>https://portrecovery.org/</t>
  </si>
  <si>
    <t>Review data describe generally positive experiences, with many comments about supportive staff, structured programming, and accessibility. A recent 1‑star review raises concerns about admissions decisions and re-engagement after setbacks, while the organization’s responses indicate admissions are guided by clinical criteria and individualized consideration. Overall, the available review data suggest ongoing engagement and responsiveness, though the newest feedback includes a notable negative perspective that appears not to reflect the prevailing pattern.</t>
  </si>
  <si>
    <t>accepted google identity: 14.2/15; review volume: 27.6/30; review consistency: 2.1/7; review freshness: 8.0/8; verified website: 14.2/15; confirmed irs record: 0.0/20; source corroboration: 3.3/5; Synthesis metadata: insufficient_evidence (not part of numeric confidence)</t>
  </si>
  <si>
    <t>555 Towsontown Blvd W, Towson, MD 21204</t>
  </si>
  <si>
    <t>(888) 823-8880</t>
  </si>
  <si>
    <t>Gilchrist Center Towson</t>
  </si>
  <si>
    <t>Intake and referrals are handled by care navigators; hospice referrals can be made by calling 443-849-8300; general inquiries and referrals can be directed to 888-823-8880; the website provides contact options and care-navigator support.</t>
  </si>
  <si>
    <t>Gilchrist Towson provides hospice care and related services for people with serious illness, focusing on comfort, symptom relief, and end‑of‑life support across settings from in‑home to care centers.</t>
  </si>
  <si>
    <t>https://www.gilchristcares.org/</t>
  </si>
  <si>
    <t>Review data show many families praise Gilchrist for compassionate, attentive care across inpatient, home hospice, and bereavement support, with multiple recent reviews highlighting comfort and clear communication. However, some reviews describe negative experiences with intake staff and concerns about pain management. Overall, the newest reviews reflect both warmth and areas for improvement, indicating a mixed but ongoing positive trajectory.</t>
  </si>
  <si>
    <t>accepted google identity: 14.2/15; review volume: 30.0/30; review consistency: 1.7/7; review freshness: 7.8/8; verified website: 14.2/15; confirmed irs record: 0.0/20; source corroboration: 3.3/5; Synthesis metadata: high (not part of numeric confidence)</t>
  </si>
  <si>
    <t>(503) 489-8348</t>
  </si>
  <si>
    <t>The Honey Bee Society</t>
  </si>
  <si>
    <t>Education and research nonprofit focused on pollinator education and habitat preservation in the Pacific Northwest, offering classroom and community bee-education programs along with preservation initiatives.</t>
  </si>
  <si>
    <t>http://thehoneybeesociety.org/</t>
  </si>
  <si>
    <t>Review data is unavailable; there are no public reviews to summarize. The listing shows 24/7 published hours and a functioning website, which suggests ongoing operations, but without user feedback it's hard to gauge consistency or quality. Until review data exists, the reliability of the service metadata remains based on the available site and hours data.</t>
  </si>
  <si>
    <t>14412 Old York Rd, Phoenix, MD 21131</t>
  </si>
  <si>
    <t>(410) 527-1466</t>
  </si>
  <si>
    <t>Defenders of Animal Rights Inc</t>
  </si>
  <si>
    <t>Adoption eligibility requires being 21+; proof of home ownership or lease; current pets up to date on vaccinations; and one form of personal identification. Applications are submitted online or in person, with references checked and a meet-and-greet with all household members. Surrender intake requires calling to schedule an appointment. Hours for adoptions are listed on the Google Maps listing; surrender intake is by appointment; donations are welcome.</t>
  </si>
  <si>
    <t>Monday: Closed; Tuesday: 10 AM to 5 PM; Wednesday: 10 AM to 5 PM; Thursday: 10 AM to 5 PM; Friday: 10 AM to 5 PM; Saturday: 10 AM to 4 PM; Sunday: Closed</t>
  </si>
  <si>
    <t>Defenders of Animal Rights is an animal shelter in Phoenix, MD that cares for dogs, cats, and small animals and supports a program of adoption, surrender intake, and community outreach.</t>
  </si>
  <si>
    <t>http://adopt-a-pet.org/</t>
  </si>
  <si>
    <t>Review data from the primary reliability input show generally positive experiences, with reviewers praising staff kindness, the care animals receive, and the adoption process. Recurring themes note a clean, well-kept facility and helpful staff, while a few reviews mention scheduling constraints or time limits during visits. The latest reviews continue to reflect overall satisfaction with the shelter and its services.</t>
  </si>
  <si>
    <t>accepted google identity: 14.2/15; review volume: 30.0/30; review consistency: 2.1/7; review freshness: 7.8/8; verified website: 14.2/15; confirmed irs record: 20.0/20; source corroboration: 5.0/5; Synthesis metadata: high (not part of numeric confidence)</t>
  </si>
  <si>
    <t>3300 Falls Rd, Baltimore, MD 21211</t>
  </si>
  <si>
    <t>(410) 235-8826</t>
  </si>
  <si>
    <t>Maryland SPCA</t>
  </si>
  <si>
    <t>Onsite services; wheelchair accessible entrance and parking. Programs include PAW Plus free veterinary clinics, the Kibble Connection pet food pantry, spay/neuter services, and volunteer opportunities.</t>
  </si>
  <si>
    <t>Monday: 1 to 7 PM; Tuesday: 1 to 7 PM; Wednesday: 1 to 7 PM; Thursday: 1 to 7 PM; Friday: 1 to 7 PM; Saturday: 12 to 5 PM; Sunday: Closed</t>
  </si>
  <si>
    <t>Maryland SPCA is an animal shelter in Baltimore that provides care for animals and runs community programs such as free veterinary clinics for underserved communities, a pet food pantry, spay/neuter services, and volunteer opportunities.</t>
  </si>
  <si>
    <t>http://www.mdspca.org/</t>
  </si>
  <si>
    <t>Review data indicate generally positive experiences, with recurring themes of friendly, helpful staff and compassionate care for animals. A few recent reviews are mixed or negative, but the newest feedback remains positive, and there is no indication of owner responses addressing reviews. Overall, review text portrays a well-regarded community shelter with active programs.</t>
  </si>
  <si>
    <t>accepted google identity: 14.2/15; review volume: 30.0/30; review consistency: 2.5/7; review freshness: 8.0/8; verified website: 14.2/15; confirmed irs record: 0.0/20; source corroboration: 3.3/5; Synthesis metadata: high (not part of numeric confidence)</t>
  </si>
  <si>
    <t>13800 Manor Rd, Baldwin, MD 21013</t>
  </si>
  <si>
    <t>(410) 887-7297</t>
  </si>
  <si>
    <t>Baltimore County Animal Services</t>
  </si>
  <si>
    <t>Baltimore County Animal Services operates a county animal shelter and control program, handling adoption, surrender/redemption, and related animal-care services.</t>
  </si>
  <si>
    <t>https://www.baltimorecountymd.gov/departments/animal-services/</t>
  </si>
  <si>
    <t>Review data shows a mix of very positive experiences and some complaints. Many reviewers praise friendly staff, helpful adoption guidance, and smooth intake processes; a few recent posts raise concerns about communication or inconsistent information from staff. Overall, the newest reviews continue to reflect favorable impressions, suggesting consistent support for adoption and sheltering services.</t>
  </si>
  <si>
    <t>accepted google identity: 14.2/15; review volume: 30.0/30; review consistency: 2.8/7; review freshness: 8.0/8; verified website: 14.2/15; confirmed irs record: 0.0/20; source corroboration: 3.3/5; Synthesis metadata: high (not part of numeric confidence)</t>
  </si>
  <si>
    <t>3750 Shady Ln, Glenwood, MD 21738</t>
  </si>
  <si>
    <t>(410) 489-5100</t>
  </si>
  <si>
    <t>The Therapeutic &amp; Recreational Riding Center, Inc.</t>
  </si>
  <si>
    <t>Appointment required for program participation. Intake coordination via the website or by calling 410-489-5100. Volunteer applications available (volunteers@trrcmd.org). Accessibility features include wheelchair-accessible entrances and parking.</t>
  </si>
  <si>
    <t>Monday: Closed; Tuesday: 8:30 AM to 8:30 PM; Wednesday: 8:30 AM to 8:30 PM; Thursday: Closed; Friday: Closed; Saturday: 8:30 AM to 8:30 PM; Sunday: Closed</t>
  </si>
  <si>
    <t>TRRC provides therapeutic horseback riding for children and adults with a wide range of physical, developmental, and emotional disabilities, along with recreational riding. The center also offers horse boarding, volunteering opportunities, internships, and related activities to support its programs and the community.</t>
  </si>
  <si>
    <t>http://www.trrcmd.org/</t>
  </si>
  <si>
    <t>Reviews consistently highlight the staff as caring and the program as impactful for riders of diverse abilities. The newest reviews include a negative billing-related incident, but the overall sentiment remains positive with many accounts of high-quality instruction and support. Review data indicate a generally favorable trend with occasional concerns that do not appear to reflect the typical experiences of most participants.</t>
  </si>
  <si>
    <t>accepted google identity: 14.2/15; review volume: 30.0/30; review consistency: 3.2/7; review freshness: 6.3/8; verified website: 14.2/15; confirmed irs record: 20.0/20; source corroboration: 5.0/5; Synthesis metadata: high (not part of numeric confidence)</t>
  </si>
  <si>
    <t>11451 Bethesda Church Rd, Damascus, MD 20872</t>
  </si>
  <si>
    <t>(301) 928-8118</t>
  </si>
  <si>
    <t>Great Strides</t>
  </si>
  <si>
    <t>BY APPOINTMENT ONLY.</t>
  </si>
  <si>
    <t>Great Strides offers equine-assisted therapies, including Equine Assisted Psychotherapy (EAP) and Equine Assisted Learning (EAL), for adults dealing with trauma, depression, anxiety, grief, and life changes. Services are provided at a working horse farm and are available by appointment.</t>
  </si>
  <si>
    <t>http://www.greatstrides.org/</t>
  </si>
  <si>
    <t>Review data is very sparse. There is at least one public rating, but there is no accessible, descriptive review text, and no broader review dataset to summarize recurring themes. Consequently, the listing’s reliability cannot be meaningfully inferred from reviews alone.</t>
  </si>
  <si>
    <t>1141 Sunrise Beach Rd, Crownsville, MD 21032</t>
  </si>
  <si>
    <t>(410) 923-6800</t>
  </si>
  <si>
    <t>Maryland Therapeutic Riding</t>
  </si>
  <si>
    <t>Physician's prescription is required to participate in physical, occupational, and speech therapies. Minimum age for Equine-Assisted Psychotherapy is 8 years old. The site lists wheelchair-accessible entrances and parking. Debit and credit cards are accepted for payments.</t>
  </si>
  <si>
    <t>Maryland Therapeutic Riding provides equine-assisted services to support physical, cognitive, and emotional well-being for children and adults with diverse challenges. Core offerings include adaptive riding and horsemanship, physical/occupational/speech therapies, and equine-assisted psychotherapy.</t>
  </si>
  <si>
    <t>http://www.horsesthatheal.org/</t>
  </si>
  <si>
    <t>Review data show a mix of positive and negative feedback. Some reviewers praise therapeutic benefits and staff dedication, while others report communication problems and billing/scheduling frustrations. The newest substantive reviews in the sample are sparse and not consistently positive, indicating mixed experiences.</t>
  </si>
  <si>
    <t>accepted google identity: 14.2/15; review volume: 21.6/30; review consistency: 0.4/7; review freshness: 7.8/8; verified website: 14.2/15; confirmed irs record: 0.0/20; source corroboration: 3.3/5; Synthesis metadata: medium (not part of numeric confidence)</t>
  </si>
  <si>
    <t>22 Industrial Park Dr # A, Waldorf, MD 20603</t>
  </si>
  <si>
    <t>(301) 638-7543</t>
  </si>
  <si>
    <t>Vesta Inc.</t>
  </si>
  <si>
    <t>Walk-ins accepted at Silver Spring and Germantown clinics for new clients; intake scheduling by appointment any day of the week, including weekends; same-day appointments available. Clients must bring insurance card, ID, and client consent; referrals to the Residential Rehabilitation Program (RRP) must be made through LBHA. To schedule an intake, contact the Intake Coordinator at IRC@vesta.org or call (240) 296-5858; in-person walk-ins are available for faster service at select clinics.</t>
  </si>
  <si>
    <t>Vesta Inc. is a Maryland-based mental health provider offering outpatient therapy, medication management, co-occurring substance-use counseling, and related services, including day programs and residential rehabilitation across multiple Maryland counties.</t>
  </si>
  <si>
    <t>http://www.vesta.org/?utm_source=google&amp;utm_medium=wix_google_business_profile&amp;utm_campaign=18419168553630854753</t>
  </si>
  <si>
    <t>The listing shows a 3.8/5 average from 6 reviews, with a mix of higher and lower scores. However, there is no accessible review text in the data provided, so I cannot summarize recurring themes or trends. Review feedback was unavailable or too thin for me to draw conclusions about reviewer experiences.</t>
  </si>
  <si>
    <t>accepted google identity: 13.4/15; review volume: 10.8/30; review consistency: 0.0/7; review freshness: 0.0/8; verified website: 13.4/15; confirmed irs record: 0.0/20; source corroboration: 3.3/5; Synthesis metadata: high (not part of numeric confidence)</t>
  </si>
  <si>
    <t>Baltimore, MD 21236</t>
  </si>
  <si>
    <t>(443) 977-9726</t>
  </si>
  <si>
    <t>Pets on Wheels Inc</t>
  </si>
  <si>
    <t>Eligibility and intake: volunteers must apply; background checks are performed; temperament screening; pets must have health certificates; screenings are by appointment; minors under 18 cannot be primary handlers; service area excludes the Eastern Shore, Washington DC, and other states; county coordinators handle visits; there is a volunteer application process and occasional fees for new teams.</t>
  </si>
  <si>
    <t>Pets on Wheels provides therapy pet visits to people across Maryland through volunteer teams and their certified therapy animals.</t>
  </si>
  <si>
    <t>http://petsonwheels.org/</t>
  </si>
  <si>
    <t>Review data show consistently positive sentiment about the organization and its volunteers; the most recent review text reads, "Wonderful charity with fantastic volunteers!" Overall, reviewers describe meaningful visits and warm volunteers. Because the available review sample is small and not highly current, the reliability is good but should be interpreted with caution.</t>
  </si>
  <si>
    <t>accepted google identity: 14.2/15; review volume: 13.3/30; review consistency: 7.0/7; review freshness: 4.3/8; verified website: 14.2/15; confirmed irs record: 0.0/20; source corroboration: 3.3/5; Synthesis metadata: high (not part of numeric confidence)</t>
  </si>
  <si>
    <t>10225 Jensen Ln, Owings Mills, MD 21117</t>
  </si>
  <si>
    <t>(443) 423-1500</t>
  </si>
  <si>
    <t>Gaudenzia Owings Mills-Richards Building</t>
  </si>
  <si>
    <t>Intake/referral available via Gaudenzia’s 24-hour HelpLine: 833-976-HELP (4357).</t>
  </si>
  <si>
    <t>Gaudenzia Owings Mills-Richards Building provides substance-use treatment, including crisis stabilization, long-term treatment, and medication-assisted treatment, for adults at their Owings Mills, MD location.</t>
  </si>
  <si>
    <t>http://www.gaudenzia.org/</t>
  </si>
  <si>
    <t>Google Maps review data indicate generally positive experiences, with callers frequently praising staff, a supportive atmosphere, and progress in recovery. Recent reviews continue to reflect favorable impressions of the program and staff, suggesting a stable positive trend in user experience. Review feedback is described here as “reviews” and “review data,” without reference to the review platform.</t>
  </si>
  <si>
    <t>accepted google identity: 13.4/15; review volume: 30.0/30; review consistency: 2.9/7; review freshness: 8.0/8; verified website: 13.4/15; confirmed irs record: 0.0/20; source corroboration: 3.3/5; Synthesis metadata: high (not part of numeric confidence)</t>
  </si>
  <si>
    <t>1209 Liberty Rd #102, Eldersburg, MD 21784</t>
  </si>
  <si>
    <t>(410) 581-4900</t>
  </si>
  <si>
    <t>Right Turn of Maryland - Addictions Treatment Center (&amp; DUI Programs)</t>
  </si>
  <si>
    <t>Right Turn IMPACT is a Maryland addiction treatment center that provides education, treatment, counseling, and recovery support for individuals struggling with alcohol or drug use, including court-related recovery programs and licensed, supervised services.</t>
  </si>
  <si>
    <t>http://www.rightturnimpact.com/</t>
  </si>
  <si>
    <t>Review data from the listing show consistently positive feedback, with reviewers describing staff as thorough, attentive, and professional, and praising the program's impact on recovery. The newest reviews are all five stars and highlight leadership (e.g., Jorge) and supportive, empathetic care. Overall, the fetched reviews point in the same positive direction about the program and staff.</t>
  </si>
  <si>
    <t>1890 N Market St #301, Frederick, MD 21701</t>
  </si>
  <si>
    <t>(301) 696-1950</t>
  </si>
  <si>
    <t>The Crossroads Center of Frederick LLC DBA The Westminster Recovery Center</t>
  </si>
  <si>
    <t>Monday: 9 AM to 9 PM; Tuesday: 9 AM to 9 PM; Wednesday: 9 AM to 9 PM; Thursday: 9 AM to 9 PM; Friday: 9 AM to 9 PM; Saturday: Closed; Sunday: Closed</t>
  </si>
  <si>
    <t>An addiction-treatment center offering comprehensive substance-use care for adults and adolescents, including Intensive Outpatient Program (IOP) services, relapse prevention, and DWI program support.</t>
  </si>
  <si>
    <t>https://www.crossroadscenterfrederick.com/</t>
  </si>
  <si>
    <t>Review data show a mix of impressions. Recent reviews (2025) praise caring staff, flexibility, and effective support, while some older reviews describe negative experiences with staff and program processes. Overall, the latest reviews lean positive, but the sample remains small and somewhat inconsistent across years.</t>
  </si>
  <si>
    <t>accepted google identity: 14.2/15; review volume: 22.2/30; review consistency: 0.4/7; review freshness: 3.7/8; verified website: 14.2/15; confirmed irs record: 0.0/20; source corroboration: 3.3/5; Synthesis metadata: medium (not part of numeric confidence)</t>
  </si>
  <si>
    <t>8035 Harford Rd, Parkville, MD 21234</t>
  </si>
  <si>
    <t>(443) 873-8958</t>
  </si>
  <si>
    <t>Eva Life Giver Inc./ DITTO</t>
  </si>
  <si>
    <t>Evidence indicates services for adults and youth; no detailed intake procedures or eligibility documents are described in the available sources beyond population served.</t>
  </si>
  <si>
    <t>Eva Life Giver Inc. provides substance-use treatment and behavioral-health services, including outpatient treatment, intensive outpatient treatment, detox, partial hospitalization, and psychiatric rehabilitation for adults and youth, as reflected in the official website’s program listings and the Google Maps listing.</t>
  </si>
  <si>
    <t>http://www.evalifegiver.org/</t>
  </si>
  <si>
    <t>Review data available are limited but indicate a generally positive impression from the public-facing reviews. There is no recent review activity in the fetched sample to establish a trend. The listing is corroborated by an official website and IRS filing data, and registry status shows reinstatement, supporting ongoing operation.</t>
  </si>
  <si>
    <t>accepted google identity: 14.2/15; review volume: 7.7/30; review consistency: 0.0/7; review freshness: 0.0/8; verified website: 14.2/15; confirmed irs record: 20.0/20; source corroboration: 5.0/5; Synthesis metadata: high (not part of numeric confidence)</t>
  </si>
  <si>
    <t>8600 Lasalle Rd #212, Towson, MD 21286</t>
  </si>
  <si>
    <t>(410) 973-7336</t>
  </si>
  <si>
    <t>Maryland Addiction Recovery Center</t>
  </si>
  <si>
    <t>Maryland Addiction Recovery Center (MARC) provides long‑term, community‑based treatment for addiction and co‑occurring mental health conditions, including residential living options and multiple levels of care such as PHP, IOP, and outpatient services.</t>
  </si>
  <si>
    <t>https://www.marylandaddictionrecovery.com/</t>
  </si>
  <si>
    <t>Review data show generally positive experiences, with reviewers praising compassionate staff, personalized treatment plans, and family involvement. A minority of reviews raise concerns about interactions with individual clinicians. The newest reviews continue to reflect satisfaction with MARC’s program, indicating the overall trend is favorable.</t>
  </si>
  <si>
    <t>accepted google identity: 13.4/15; review volume: 30.0/30; review consistency: 2.7/7; review freshness: 7.6/8; verified website: 13.4/15; confirmed irs record: 0.0/20; source corroboration: 3.3/5; Synthesis metadata: high (not part of numeric confidence)</t>
  </si>
  <si>
    <t>4111 E Joppa Rd Suite 101, Baltimore, MD 21236</t>
  </si>
  <si>
    <t>(443) 725-4062</t>
  </si>
  <si>
    <t>Hope's Horizon</t>
  </si>
  <si>
    <t>Intake starts with a full clinical assessment by a state-certified alcohol and drug counselor. The program accepts Maryland Medicaid and private insurance; they provide ambulatory detox &amp; maintenance and a DUI education program.</t>
  </si>
  <si>
    <t>Hope's Horizon is a substance use treatment provider in Nottingham, Maryland, offering residential programs, detox and ambulatory/outpatient services, and related housing supports to help people achieve recovery.</t>
  </si>
  <si>
    <t>https://hopeshorizon.com/</t>
  </si>
  <si>
    <t>Review data show a mix of very positive experiences with caring staff and effective recovery support, along with some negative feedback about structure from recent months. The majority of recent reviews are positive, with recurring themes of supportive staff and meaningful progress, though a 1-star review highlights concerns about structure; owner responses suggest active engagement with feedback and ongoing program improvement. Overall, the latest reviews trend toward favorable experiences, but a few recent reports indicate persistent issues for some clients.</t>
  </si>
  <si>
    <t>accepted google identity: 14.2/15; review volume: 30.0/30; review consistency: 1.9/7; review freshness: 7.9/8; verified website: 14.2/15; confirmed irs record: 0.0/20; source corroboration: 3.3/5; Synthesis metadata: high (not part of numeric confidence)</t>
  </si>
  <si>
    <t>19537 Doctors Dr, Germantown, MD 20874</t>
  </si>
  <si>
    <t>(240) 654-4001</t>
  </si>
  <si>
    <t>BornFree Wellness Centers of America</t>
  </si>
  <si>
    <t>Monday: 5:45 to 10:30 AM; Tuesday: 5:45 to 10:30 AM; Wednesday: 5:45 to 10:30 AM; Thursday: 5:45 to 10:30 AM; Friday: 5:45 to 10:30 AM; Saturday: Closed; Sunday: Closed</t>
  </si>
  <si>
    <t>BornFree Wellness Centers of America is a private outpatient addiction treatment network that provides opioid treatment and related substance-use services.</t>
  </si>
  <si>
    <t>http://www.bornfreewellness.com/</t>
  </si>
  <si>
    <t>Review data indicates a generally favorable rating, but there is no accessible review text from the most recent fetch. The listing appears operational, with verified address and hours, suggesting stable access to services. No major reliability red flags are evident from the available data.</t>
  </si>
  <si>
    <t>accepted google identity: 14.2/15; review volume: 13.2/30; review consistency: 0.0/7; review freshness: 0.0/8; verified website: 14.2/15; confirmed irs record: 0.0/20; source corroboration: 3.3/5; Synthesis metadata: high (not part of numeric confidence)</t>
  </si>
  <si>
    <t>780 W Bel Air Ave B, Aberdeen, MD 21001</t>
  </si>
  <si>
    <t>(410) 273-1030</t>
  </si>
  <si>
    <t>Serenity Health LLC</t>
  </si>
  <si>
    <t>Monday: Closed; Tuesday: 5 to 11:30 AM; Wednesday: 5 to 11:30 AM; Thursday: 5 to 11:30 AM; Friday: 5 to 11:30 AM; Saturday: Closed; Sunday: Closed</t>
  </si>
  <si>
    <t>Serenity Health offers addiction treatment services including counseling, detox, and medication-assisted treatment across outpatient and intensive programs, with additional DUI-related education and prenatal services.</t>
  </si>
  <si>
    <t>http://www.serenityllc.net/</t>
  </si>
  <si>
    <t>Review data indicate a positive albeit limited set of feedback: the most recent available review describes the staff as friendly and the program as helpful, and the overall impression from the small sample is favorable. The newest review appears several months old, and the sample size is small, so these signals should be interpreted with caution. The listing also shows verified website attribution and operational status, supporting credibility, though broader user feedback is limited.</t>
  </si>
  <si>
    <t>accepted google identity: 14.2/15; review volume: 15.4/30; review consistency: 7.0/7; review freshness: 5.0/8; verified website: 14.2/15; confirmed irs record: 0.0/20; source corroboration: 3.3/5; Synthesis metadata: high (not part of numeric confidence)</t>
  </si>
  <si>
    <t>915 Rhode Island Ave NW, Washington, DC 20001</t>
  </si>
  <si>
    <t>(202) 232-6100</t>
  </si>
  <si>
    <t>Hillcrest Children and Family Center</t>
  </si>
  <si>
    <t>Monday: 8 AM to 5 PM; Tuesday: 8 AM to 5 PM; Wednesday: 8 AM to 5 PM; Thursday: 8 AM to 5 PM; Friday: 8 AM to 5 PM; Saturday: 8 AM to 4:30 PM; Sunday: Closed</t>
  </si>
  <si>
    <t>Hillcrest Children and Family Center is a community-based behavioral health and family-support organization offering services for children, teens, adults, and seniors. Based on the website, programs include Children and Adolescent Services, Adult and Senior Services, Substance Use Intervention, Freestanding Mental Health Services, Supportive Employment Services, and Food Services.</t>
  </si>
  <si>
    <t>http://www.hillcrest-dc.org/</t>
  </si>
  <si>
    <t>Reviews show a mix of positive and negative experiences. Many reviewers praise dedicated staff and helpful programs, while the newest public review complains about phone accessibility and responsiveness and several earlier reviews note inconsistent therapy and wraparound service gaps. Overall, the review data suggest general satisfaction in some areas but ongoing concerns about accessibility and coordination.</t>
  </si>
  <si>
    <t>accepted google identity: 14.2/15; review volume: 29.3/30; review consistency: 0.3/7; review freshness: 7.0/8; verified website: 14.2/15; confirmed irs record: 0.0/20; source corroboration: 3.3/5; Synthesis metadata: medium (not part of numeric confidence)</t>
  </si>
  <si>
    <t>217 E Antietam St, Hagerstown, MD 21740</t>
  </si>
  <si>
    <t>(240) 420-0000</t>
  </si>
  <si>
    <t>BHG Maryland Treatment Center</t>
  </si>
  <si>
    <t>Intake can start by walking in during business hours or by calling the center. The site notes acceptance of Medicaid, Medicare, and most commercial insurance plans, with same-day or next-day appointments often available. Bring a photo ID, an insurance card, and a list of current medications.</t>
  </si>
  <si>
    <t>Monday: 4:45 AM to 1 PM; Tuesday: 4:45 AM to 1 PM; Wednesday: 4:45 AM to 1 PM; Thursday: 4:45 AM to 1 PM; Friday: 4:45 AM to 1 PM; Saturday: 5 to 8 AM; Sunday: Closed</t>
  </si>
  <si>
    <t>Outpatient opioid-use treatment provider offering medication-assisted treatment (MAT) and counseling to support recovery in the Western Maryland area.</t>
  </si>
  <si>
    <t>https://www.bhgrecovery.com/locations/hagerstown</t>
  </si>
  <si>
    <t>Review data show a mix of experiences among visitors. Many recent reviews highlight caring staff and meaningful progress in recovery, while some reviewers report long wait times or administrative frustrations. The latest reviews appear mostly positive, but older feedback points to recurring concerns that have not fully resolved. Overall, the pattern suggests generally supportive experiences with ongoing opportunities to improve wait times and communication.</t>
  </si>
  <si>
    <t>accepted google identity: 14.2/15; review volume: 30.0/30; review consistency: 1.9/7; review freshness: 7.7/8; verified website: 14.2/15; confirmed irs record: 0.0/20; source corroboration: 3.3/5; Synthesis metadata: high (not part of numeric confidence)</t>
  </si>
  <si>
    <t>5900 Metro Dr, Baltimore, MD 21215</t>
  </si>
  <si>
    <t>(410) 656-6706</t>
  </si>
  <si>
    <t>Gateway Maryland</t>
  </si>
  <si>
    <t>Gateway Maryland provides audiology and hearing aids, speech-language therapy, occupational therapy, ASL interpreting (on-site or remote), and K-8 education to Maryland residents and others in surrounding states.</t>
  </si>
  <si>
    <t>http://www.gatewaymaryland.org/</t>
  </si>
  <si>
    <t>Review data consistently notes high-quality, compassionate care at Gateway Maryland. Recurring themes include helpful, knowledgeable staff, thorough explanations, and personalized attention across hearing and language services; the most recent reviews remain overwhelmingly positive. Registry status confirms the listing is active, supporting the reliability of the profile.</t>
  </si>
  <si>
    <t>accepted google identity: 13.3/15; review volume: 30.0/30; review consistency: 6.3/7; review freshness: 7.7/8; verified website: 13.3/15; confirmed irs record: 20.0/20; source corroboration: 5.0/5; Synthesis metadata: high (not part of numeric confidence)</t>
  </si>
  <si>
    <t>7125 Riverwood Dr d1, Columbia, MD 21046</t>
  </si>
  <si>
    <t>(240) 801-9965</t>
  </si>
  <si>
    <t>Equipment Connections for Children</t>
  </si>
  <si>
    <t>Appointment-based pickups/drop-offs; apply for equipment on the website.</t>
  </si>
  <si>
    <t>Monday: Closed; Tuesday: Closed; Wednesday: Closed; Thursday: 9 AM to 2 PM; Friday: 9 AM to 2 PM; Saturday: Closed; Sunday: Closed</t>
  </si>
  <si>
    <t>Equipment Connections for Children provides no‑charge loans of adaptive mobility equipment to children with disabilities and maintains an inventory and loan program, along with educational workshops for families.</t>
  </si>
  <si>
    <t>http://www.equipforchildren.org/</t>
  </si>
  <si>
    <t>Review data indicate positive experiences, with a single 5‑star review praising the organization’s equipment loan program for families. The available review sample is small and dates back to 2024, with no reported issues in the accessible data. Overall, the signal is favorable but somewhat thin due to limited recent feedback.</t>
  </si>
  <si>
    <t>accepted google identity: 14.2/15; review volume: 11.1/30; review consistency: 7.0/7; review freshness: 2.1/8; verified website: 14.2/15; confirmed irs record: 20.0/20; source corroboration: 5.0/5; Synthesis metadata: high (not part of numeric confidence)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</si>
</sst>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b/>
      <sz val="11.0"/>
      <color rgb="FF000000"/>
      <name val="Calibri"/>
    </font>
    <font>
      <sz val="11.0"/>
      <color rgb="FF000000"/>
      <name val="Calibri"/>
    </font>
    <font>
      <color rgb="FF188038"/>
      <name val="&quot;Google Sans Mono&quot;"/>
    </font>
    <font>
      <u/>
      <sz val="11.0"/>
      <color rgb="FF000000"/>
      <name val="Calibri"/>
    </font>
    <font>
      <u/>
      <sz val="11.0"/>
      <color rgb="FF000000"/>
      <name val="Calibri"/>
    </font>
    <font>
      <u/>
      <sz val="11.0"/>
      <color rgb="FF000000"/>
      <name val="Calibri"/>
    </font>
  </fonts>
  <fills count="5">
    <fill>
      <patternFill patternType="none"/>
    </fill>
    <fill>
      <patternFill patternType="lightGray"/>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shrinkToFit="0" vertical="top" wrapText="0"/>
    </xf>
    <xf borderId="0" fillId="2" fontId="3" numFmtId="0" xfId="0" applyAlignment="1" applyFill="1" applyFont="1">
      <alignment horizontal="right" readingOrder="0" shrinkToFit="0" vertical="bottom" wrapText="0"/>
    </xf>
    <xf borderId="0" fillId="3" fontId="3" numFmtId="0" xfId="0" applyAlignment="1" applyFill="1" applyFont="1">
      <alignment readingOrder="0" shrinkToFit="0" vertical="bottom" wrapText="0"/>
    </xf>
    <xf borderId="0" fillId="3" fontId="3" numFmtId="0" xfId="0" applyAlignment="1" applyFill="1" applyFont="1">
      <alignment horizontal="right" readingOrder="0" shrinkToFit="0" vertical="bottom" wrapText="0"/>
    </xf>
    <xf borderId="0" fillId="3" fontId="1" numFmtId="0" xfId="0" applyAlignment="1" applyFill="1" applyFont="1">
      <alignment readingOrder="0"/>
    </xf>
    <xf borderId="0" fillId="0" fontId="4" numFmtId="0" xfId="0" applyFont="1"/>
    <xf borderId="0" fillId="3" fontId="5" numFmtId="0" xfId="0" applyAlignment="1" applyFill="1" applyFont="1">
      <alignment readingOrder="0" shrinkToFit="0" vertical="bottom" wrapText="0"/>
    </xf>
    <xf borderId="0" fillId="4" fontId="3" numFmtId="0" xfId="0" applyAlignment="1" applyFill="1" applyFont="1">
      <alignment readingOrder="0" shrinkToFit="0" vertical="bottom" wrapText="0"/>
    </xf>
    <xf borderId="0" fillId="4" fontId="3" numFmtId="0" xfId="0" applyAlignment="1" applyFill="1" applyFont="1">
      <alignment horizontal="right" readingOrder="0" shrinkToFit="0" vertical="bottom" wrapText="0"/>
    </xf>
    <xf borderId="0" fillId="4" fontId="3" numFmtId="0" xfId="0" applyAlignment="1" applyFill="1" applyFont="1">
      <alignment shrinkToFit="0" vertical="bottom" wrapText="0"/>
    </xf>
    <xf borderId="0" fillId="4" fontId="6" numFmtId="0" xfId="0" applyAlignment="1" applyFill="1" applyFont="1">
      <alignment readingOrder="0" shrinkToFit="0" vertical="bottom" wrapText="0"/>
    </xf>
    <xf borderId="0" fillId="4" fontId="1" numFmtId="0" xfId="0" applyAlignment="1" applyFill="1" applyFont="1">
      <alignment readingOrder="0"/>
    </xf>
    <xf borderId="0" fillId="3" fontId="3" numFmtId="0" xfId="0" applyAlignment="1" applyFill="1" applyFont="1">
      <alignment shrinkToFit="0" vertical="bottom" wrapText="0"/>
    </xf>
    <xf borderId="0" fillId="0" fontId="3" numFmtId="0" xfId="0" applyAlignment="1" applyFont="1">
      <alignment readingOrder="0" shrinkToFit="0" vertical="bottom" wrapText="0"/>
    </xf>
    <xf borderId="0" fillId="4" fontId="3" numFmtId="0" xfId="0" applyAlignment="1" applyFill="1" applyFont="1">
      <alignment readingOrder="0" shrinkToFit="0" vertical="bottom" wrapText="0"/>
    </xf>
    <xf borderId="0" fillId="4" fontId="3" numFmtId="0" xfId="0" applyAlignment="1" applyFill="1" applyFont="1">
      <alignment shrinkToFit="0" vertical="bottom" wrapText="0"/>
    </xf>
    <xf borderId="0" fillId="4" fontId="7"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227</xdr:row>
      <xdr:rowOff>0</xdr:rowOff>
    </xdr:from>
    <xdr:ext cx="4876800" cy="3076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activitiesamdc.com/" TargetMode="External"/><Relationship Id="rId194" Type="http://schemas.openxmlformats.org/officeDocument/2006/relationships/hyperlink" Target="https://ahepaseniorliving.org/" TargetMode="External"/><Relationship Id="rId193" Type="http://schemas.openxmlformats.org/officeDocument/2006/relationships/hyperlink" Target="https://advantage-assistedliving.com/contact" TargetMode="External"/><Relationship Id="rId192" Type="http://schemas.openxmlformats.org/officeDocument/2006/relationships/hyperlink" Target="https://advancedrehabautumnlake.com/" TargetMode="External"/><Relationship Id="rId191" Type="http://schemas.openxmlformats.org/officeDocument/2006/relationships/hyperlink" Target="https://www.adultmedicaldaycare.com/" TargetMode="External"/><Relationship Id="rId187" Type="http://schemas.openxmlformats.org/officeDocument/2006/relationships/hyperlink" Target="https://www.activeday.com/" TargetMode="External"/><Relationship Id="rId186" Type="http://schemas.openxmlformats.org/officeDocument/2006/relationships/hyperlink" Target="https://www.activeday.com/" TargetMode="External"/><Relationship Id="rId185" Type="http://schemas.openxmlformats.org/officeDocument/2006/relationships/hyperlink" Target="http://www.actioninmaturity.org/" TargetMode="External"/><Relationship Id="rId184" Type="http://schemas.openxmlformats.org/officeDocument/2006/relationships/hyperlink" Target="https://www.wpmllc.com/baltimore/abundant-life-towers-i/affordable/" TargetMode="External"/><Relationship Id="rId189" Type="http://schemas.openxmlformats.org/officeDocument/2006/relationships/hyperlink" Target="http://www.activelifeadultday.com/adult-day-care-contact-us" TargetMode="External"/><Relationship Id="rId188" Type="http://schemas.openxmlformats.org/officeDocument/2006/relationships/hyperlink" Target="https://www.activeday.com/" TargetMode="External"/><Relationship Id="rId183" Type="http://schemas.openxmlformats.org/officeDocument/2006/relationships/hyperlink" Target="https://www.wpmllc.com/baltimore/abundant-life-towers-ii/affordable/" TargetMode="External"/><Relationship Id="rId182" Type="http://schemas.openxmlformats.org/officeDocument/2006/relationships/hyperlink" Target="http://absolutecarellc.com/" TargetMode="External"/><Relationship Id="rId181" Type="http://schemas.openxmlformats.org/officeDocument/2006/relationships/hyperlink" Target="https://linktr.ee/agiftfromvirgo" TargetMode="External"/><Relationship Id="rId180" Type="http://schemas.openxmlformats.org/officeDocument/2006/relationships/hyperlink" Target="https://www.acaringplaceinc.com/" TargetMode="External"/><Relationship Id="rId176" Type="http://schemas.openxmlformats.org/officeDocument/2006/relationships/hyperlink" Target="http://www.ocbaptist.org/" TargetMode="External"/><Relationship Id="rId175" Type="http://schemas.openxmlformats.org/officeDocument/2006/relationships/hyperlink" Target="https://www.sbyurbanministries.org/" TargetMode="External"/><Relationship Id="rId174" Type="http://schemas.openxmlformats.org/officeDocument/2006/relationships/hyperlink" Target="http://www.umc.org/find-a-church/church/150535" TargetMode="External"/><Relationship Id="rId173" Type="http://schemas.openxmlformats.org/officeDocument/2006/relationships/hyperlink" Target="https://www.hopecenterhagerstown.org/" TargetMode="External"/><Relationship Id="rId179" Type="http://schemas.openxmlformats.org/officeDocument/2006/relationships/hyperlink" Target="https://www.1adoringadultcare.com/" TargetMode="External"/><Relationship Id="rId178" Type="http://schemas.openxmlformats.org/officeDocument/2006/relationships/hyperlink" Target="http://calvarybelair.com/" TargetMode="External"/><Relationship Id="rId177" Type="http://schemas.openxmlformats.org/officeDocument/2006/relationships/hyperlink" Target="https://cc-md.org/programs/my-brothers-keeper/" TargetMode="External"/><Relationship Id="rId198" Type="http://schemas.openxmlformats.org/officeDocument/2006/relationships/hyperlink" Target="https://usacommerx.top/details/almost-home-ii-assisted-living-inc-ChIJ2Qu" TargetMode="External"/><Relationship Id="rId197" Type="http://schemas.openxmlformats.org/officeDocument/2006/relationships/hyperlink" Target="https://www.adultmedicaldaycare.com/" TargetMode="External"/><Relationship Id="rId196" Type="http://schemas.openxmlformats.org/officeDocument/2006/relationships/hyperlink" Target="https://autumnlakealicemanor.com/" TargetMode="External"/><Relationship Id="rId195" Type="http://schemas.openxmlformats.org/officeDocument/2006/relationships/hyperlink" Target="https://www.episcopalhousing.org/project/alcott-place-apartments/" TargetMode="External"/><Relationship Id="rId199" Type="http://schemas.openxmlformats.org/officeDocument/2006/relationships/hyperlink" Target="https://alwaysbestcare.com/parkville/" TargetMode="External"/><Relationship Id="rId150" Type="http://schemas.openxmlformats.org/officeDocument/2006/relationships/hyperlink" Target="https://www.haven-ministries.org/services-3" TargetMode="External"/><Relationship Id="rId392" Type="http://schemas.openxmlformats.org/officeDocument/2006/relationships/hyperlink" Target="http://www.ourhelpinghandsllc.org/" TargetMode="External"/><Relationship Id="rId391" Type="http://schemas.openxmlformats.org/officeDocument/2006/relationships/hyperlink" Target="https://orchardhillrehab.com/?utm_source=google&amp;utm_medium=organic&amp;utm_campaign=gmb&amp;utm_content=main_button" TargetMode="External"/><Relationship Id="rId390" Type="http://schemas.openxmlformats.org/officeDocument/2006/relationships/hyperlink" Target="http://www.oliveassistedliving.com/assisted-living-facility-contact-us" TargetMode="External"/><Relationship Id="rId1" Type="http://schemas.openxmlformats.org/officeDocument/2006/relationships/hyperlink" Target="http://www.bhsbaltimore.org/" TargetMode="External"/><Relationship Id="rId2" Type="http://schemas.openxmlformats.org/officeDocument/2006/relationships/hyperlink" Target="https://unlimitedbounds.com/" TargetMode="External"/><Relationship Id="rId3" Type="http://schemas.openxmlformats.org/officeDocument/2006/relationships/hyperlink" Target="http://www.peponline.org/" TargetMode="External"/><Relationship Id="rId149" Type="http://schemas.openxmlformats.org/officeDocument/2006/relationships/hyperlink" Target="http://rayofhopemissioncenter.com/" TargetMode="External"/><Relationship Id="rId4" Type="http://schemas.openxmlformats.org/officeDocument/2006/relationships/hyperlink" Target="http://dhs.maryland.gov/" TargetMode="External"/><Relationship Id="rId148" Type="http://schemas.openxmlformats.org/officeDocument/2006/relationships/hyperlink" Target="https://kentfoodpantry.org/" TargetMode="External"/><Relationship Id="rId1090" Type="http://schemas.openxmlformats.org/officeDocument/2006/relationships/hyperlink" Target="https://www.prattlibrary.org/locations/reisterstown-road" TargetMode="External"/><Relationship Id="rId1091" Type="http://schemas.openxmlformats.org/officeDocument/2006/relationships/hyperlink" Target="https://bcpl.info/locations/hereford" TargetMode="External"/><Relationship Id="rId1092" Type="http://schemas.openxmlformats.org/officeDocument/2006/relationships/hyperlink" Target="http://www.bcpl.info/locations/woodlawn" TargetMode="External"/><Relationship Id="rId1093" Type="http://schemas.openxmlformats.org/officeDocument/2006/relationships/hyperlink" Target="https://bcpl.info/locations/towson" TargetMode="External"/><Relationship Id="rId1094" Type="http://schemas.openxmlformats.org/officeDocument/2006/relationships/hyperlink" Target="https://bcpl.info/locations/catonsville" TargetMode="External"/><Relationship Id="rId9" Type="http://schemas.openxmlformats.org/officeDocument/2006/relationships/hyperlink" Target="http://www.thebitcenter.org/" TargetMode="External"/><Relationship Id="rId143" Type="http://schemas.openxmlformats.org/officeDocument/2006/relationships/hyperlink" Target="https://www.graceumchurch.org/" TargetMode="External"/><Relationship Id="rId385" Type="http://schemas.openxmlformats.org/officeDocument/2006/relationships/hyperlink" Target="https://www.lifebridgehealth.org/locations/northwest-hospital" TargetMode="External"/><Relationship Id="rId1095" Type="http://schemas.openxmlformats.org/officeDocument/2006/relationships/hyperlink" Target="https://www.ravensmadc.com/" TargetMode="External"/><Relationship Id="rId142" Type="http://schemas.openxmlformats.org/officeDocument/2006/relationships/hyperlink" Target="http://www.rockhallsda.org/" TargetMode="External"/><Relationship Id="rId384" Type="http://schemas.openxmlformats.org/officeDocument/2006/relationships/hyperlink" Target="https://www.communicarehealth.com/location/northwest-healthcare-center/?utm_source=google&amp;utm_medium=organic&amp;utm_campaign=gbp-northwest" TargetMode="External"/><Relationship Id="rId1096" Type="http://schemas.openxmlformats.org/officeDocument/2006/relationships/hyperlink" Target="http://www.leagueforpeople.org/" TargetMode="External"/><Relationship Id="rId141" Type="http://schemas.openxmlformats.org/officeDocument/2006/relationships/hyperlink" Target="https://childrensguildschools.org/baltimore" TargetMode="External"/><Relationship Id="rId383" Type="http://schemas.openxmlformats.org/officeDocument/2006/relationships/hyperlink" Target="https://futurecare.com/locations/northpoint/" TargetMode="External"/><Relationship Id="rId1097" Type="http://schemas.openxmlformats.org/officeDocument/2006/relationships/hyperlink" Target="http://www.athelasinstitute.org/" TargetMode="External"/><Relationship Id="rId140" Type="http://schemas.openxmlformats.org/officeDocument/2006/relationships/hyperlink" Target="http://www.annapolislighthouse.org/" TargetMode="External"/><Relationship Id="rId382" Type="http://schemas.openxmlformats.org/officeDocument/2006/relationships/hyperlink" Target="https://bcpl.info/locations/north-point" TargetMode="External"/><Relationship Id="rId1098" Type="http://schemas.openxmlformats.org/officeDocument/2006/relationships/hyperlink" Target="http://www.stpetersalc.org/" TargetMode="External"/><Relationship Id="rId5" Type="http://schemas.openxmlformats.org/officeDocument/2006/relationships/hyperlink" Target="https://projectplase.org/" TargetMode="External"/><Relationship Id="rId147" Type="http://schemas.openxmlformats.org/officeDocument/2006/relationships/hyperlink" Target="https://www.salvationarmyusa.org/" TargetMode="External"/><Relationship Id="rId389" Type="http://schemas.openxmlformats.org/officeDocument/2006/relationships/hyperlink" Target="https://www.csi.coop/housing/md/randallstown/old-court-estates/default" TargetMode="External"/><Relationship Id="rId1099" Type="http://schemas.openxmlformats.org/officeDocument/2006/relationships/hyperlink" Target="https://bcpl.info/locations/arbutus" TargetMode="External"/><Relationship Id="rId6" Type="http://schemas.openxmlformats.org/officeDocument/2006/relationships/hyperlink" Target="http://www.parkwestmed.org/" TargetMode="External"/><Relationship Id="rId146" Type="http://schemas.openxmlformats.org/officeDocument/2006/relationships/hyperlink" Target="https://www.rtbc.org/get-involved/food-pantry/" TargetMode="External"/><Relationship Id="rId388" Type="http://schemas.openxmlformats.org/officeDocument/2006/relationships/hyperlink" Target="https://futurecare.com/locations/old-court/" TargetMode="External"/><Relationship Id="rId7" Type="http://schemas.openxmlformats.org/officeDocument/2006/relationships/hyperlink" Target="http://www.totalhealthcare.org/" TargetMode="External"/><Relationship Id="rId145" Type="http://schemas.openxmlformats.org/officeDocument/2006/relationships/hyperlink" Target="https://www.chosencdc.org/contact-us" TargetMode="External"/><Relationship Id="rId387" Type="http://schemas.openxmlformats.org/officeDocument/2006/relationships/hyperlink" Target="http://oaksatliberty.com/" TargetMode="External"/><Relationship Id="rId8" Type="http://schemas.openxmlformats.org/officeDocument/2006/relationships/hyperlink" Target="http://www.harbel.org/" TargetMode="External"/><Relationship Id="rId144" Type="http://schemas.openxmlformats.org/officeDocument/2006/relationships/hyperlink" Target="http://epicentercc.org/" TargetMode="External"/><Relationship Id="rId386" Type="http://schemas.openxmlformats.org/officeDocument/2006/relationships/hyperlink" Target="https://www.prattlibrary.org/locations/northwood/" TargetMode="External"/><Relationship Id="rId381" Type="http://schemas.openxmlformats.org/officeDocument/2006/relationships/hyperlink" Target="https://northoaksseniorliving.com/?gad_source=1&amp;gclid=EAIaIQobChMIwYGClJbdggMVRe_ICh3xOAisEAAYASAAEgIsVfD_BwE" TargetMode="External"/><Relationship Id="rId380" Type="http://schemas.openxmlformats.org/officeDocument/2006/relationships/hyperlink" Target="http://newhopeassistedliving.net/" TargetMode="External"/><Relationship Id="rId139" Type="http://schemas.openxmlformats.org/officeDocument/2006/relationships/hyperlink" Target="http://www.mason-dixon.org/" TargetMode="External"/><Relationship Id="rId138" Type="http://schemas.openxmlformats.org/officeDocument/2006/relationships/hyperlink" Target="https://ccfoodsunday.org/" TargetMode="External"/><Relationship Id="rId137" Type="http://schemas.openxmlformats.org/officeDocument/2006/relationships/hyperlink" Target="https://www.westminsterrescuemission.org/" TargetMode="External"/><Relationship Id="rId379" Type="http://schemas.openxmlformats.org/officeDocument/2006/relationships/hyperlink" Target="https://www.preservationmanagement.com/rental/property/mount-clare" TargetMode="External"/><Relationship Id="rId1080" Type="http://schemas.openxmlformats.org/officeDocument/2006/relationships/hyperlink" Target="https://www.medstarhealth.org/services/medstar-health-home-care?utm_campaign=mhs_citations&amp;utm_medium=listing&amp;utm_source=citation_management&amp;utm_term=homecare_suburban_md" TargetMode="External"/><Relationship Id="rId1081" Type="http://schemas.openxmlformats.org/officeDocument/2006/relationships/hyperlink" Target="https://futurecare.com/locations/chesapeake/" TargetMode="External"/><Relationship Id="rId1082" Type="http://schemas.openxmlformats.org/officeDocument/2006/relationships/hyperlink" Target="https://futurecare.com/locations/sandtown/" TargetMode="External"/><Relationship Id="rId1083" Type="http://schemas.openxmlformats.org/officeDocument/2006/relationships/hyperlink" Target="https://www.medstarhealth.org/services/medstar-health-home-care?utm_campaign=mhs_citations&amp;utm_medium=listing&amp;utm_source=citation_management&amp;utm_term=homecare_dc" TargetMode="External"/><Relationship Id="rId132" Type="http://schemas.openxmlformats.org/officeDocument/2006/relationships/hyperlink" Target="https://belairumc.org/" TargetMode="External"/><Relationship Id="rId374" Type="http://schemas.openxmlformats.org/officeDocument/2006/relationships/hyperlink" Target="http://library.jhu.edu/" TargetMode="External"/><Relationship Id="rId1084" Type="http://schemas.openxmlformats.org/officeDocument/2006/relationships/hyperlink" Target="https://futurecare.com/senior-care-maryland/capital-region/15/" TargetMode="External"/><Relationship Id="rId131" Type="http://schemas.openxmlformats.org/officeDocument/2006/relationships/hyperlink" Target="http://cross-point-church.org/" TargetMode="External"/><Relationship Id="rId373" Type="http://schemas.openxmlformats.org/officeDocument/2006/relationships/hyperlink" Target="http://medicalsuppliesbaltimore.com/" TargetMode="External"/><Relationship Id="rId1085" Type="http://schemas.openxmlformats.org/officeDocument/2006/relationships/hyperlink" Target="https://futurecare.com/senior-care-maryland/pineview/11/" TargetMode="External"/><Relationship Id="rId130" Type="http://schemas.openxmlformats.org/officeDocument/2006/relationships/hyperlink" Target="https://theriveroflifeworshipcenter.org/contact-us/" TargetMode="External"/><Relationship Id="rId372" Type="http://schemas.openxmlformats.org/officeDocument/2006/relationships/hyperlink" Target="https://www.mercyridge.com/" TargetMode="External"/><Relationship Id="rId1086" Type="http://schemas.openxmlformats.org/officeDocument/2006/relationships/hyperlink" Target="https://www.greenacresnursingandrehab.com/" TargetMode="External"/><Relationship Id="rId371" Type="http://schemas.openxmlformats.org/officeDocument/2006/relationships/hyperlink" Target="https://mdmercy.com/mercy-services/emergency-department" TargetMode="External"/><Relationship Id="rId1087" Type="http://schemas.openxmlformats.org/officeDocument/2006/relationships/hyperlink" Target="https://www.allwellhealthcaresolution.com/home-health-care-about-us/our-personnel" TargetMode="External"/><Relationship Id="rId136" Type="http://schemas.openxmlformats.org/officeDocument/2006/relationships/hyperlink" Target="https://www.mycrosswind.com/foodpantry" TargetMode="External"/><Relationship Id="rId378" Type="http://schemas.openxmlformats.org/officeDocument/2006/relationships/hyperlink" Target="https://livebaltimore.com/neighborhoods/morrell-park/" TargetMode="External"/><Relationship Id="rId1088" Type="http://schemas.openxmlformats.org/officeDocument/2006/relationships/hyperlink" Target="https://www.delighthealthcareservices.com/" TargetMode="External"/><Relationship Id="rId135" Type="http://schemas.openxmlformats.org/officeDocument/2006/relationships/hyperlink" Target="https://www.ebenezerumchurch.org/rock-of-help-food-pantry/" TargetMode="External"/><Relationship Id="rId377" Type="http://schemas.openxmlformats.org/officeDocument/2006/relationships/hyperlink" Target="http://www.morningsidesenior.com/" TargetMode="External"/><Relationship Id="rId1089" Type="http://schemas.openxmlformats.org/officeDocument/2006/relationships/hyperlink" Target="http://www.thearcbaltimore.org/" TargetMode="External"/><Relationship Id="rId134" Type="http://schemas.openxmlformats.org/officeDocument/2006/relationships/hyperlink" Target="https://morganchapel.church/" TargetMode="External"/><Relationship Id="rId376" Type="http://schemas.openxmlformats.org/officeDocument/2006/relationships/hyperlink" Target="https://mhseniorliving.com/satyr-hill/" TargetMode="External"/><Relationship Id="rId133" Type="http://schemas.openxmlformats.org/officeDocument/2006/relationships/hyperlink" Target="http://www.glenelgumc.org/" TargetMode="External"/><Relationship Id="rId375" Type="http://schemas.openxmlformats.org/officeDocument/2006/relationships/hyperlink" Target="http://www.monteverdeapts.net/" TargetMode="External"/><Relationship Id="rId172" Type="http://schemas.openxmlformats.org/officeDocument/2006/relationships/hyperlink" Target="http://www.amazinggracelutheran.org/" TargetMode="External"/><Relationship Id="rId171" Type="http://schemas.openxmlformats.org/officeDocument/2006/relationships/hyperlink" Target="https://catholicworker.org/directory/md-baltimore-viva-house-html/" TargetMode="External"/><Relationship Id="rId170" Type="http://schemas.openxmlformats.org/officeDocument/2006/relationships/hyperlink" Target="http://www.horizongoodwill.org/" TargetMode="External"/><Relationship Id="rId165" Type="http://schemas.openxmlformats.org/officeDocument/2006/relationships/hyperlink" Target="https://wesleyfreedom.org/" TargetMode="External"/><Relationship Id="rId164" Type="http://schemas.openxmlformats.org/officeDocument/2006/relationships/hyperlink" Target="https://www.firstsaints.org/" TargetMode="External"/><Relationship Id="rId163" Type="http://schemas.openxmlformats.org/officeDocument/2006/relationships/hyperlink" Target="https://hampdenchurch.org/" TargetMode="External"/><Relationship Id="rId162" Type="http://schemas.openxmlformats.org/officeDocument/2006/relationships/hyperlink" Target="http://www.eastoncog.org/" TargetMode="External"/><Relationship Id="rId169" Type="http://schemas.openxmlformats.org/officeDocument/2006/relationships/hyperlink" Target="http://thenewmetropolitanbaptistchurch.com/" TargetMode="External"/><Relationship Id="rId168" Type="http://schemas.openxmlformats.org/officeDocument/2006/relationships/hyperlink" Target="https://www.stmaryscaring.org/" TargetMode="External"/><Relationship Id="rId167" Type="http://schemas.openxmlformats.org/officeDocument/2006/relationships/hyperlink" Target="http://www.ourplacewaldorf.com/contact/" TargetMode="External"/><Relationship Id="rId166" Type="http://schemas.openxmlformats.org/officeDocument/2006/relationships/hyperlink" Target="http://www.shepherdstable.org/" TargetMode="External"/><Relationship Id="rId161" Type="http://schemas.openxmlformats.org/officeDocument/2006/relationships/hyperlink" Target="https://chesapeakechurch.org/visit-food-pantry/" TargetMode="External"/><Relationship Id="rId160" Type="http://schemas.openxmlformats.org/officeDocument/2006/relationships/hyperlink" Target="https://www.martinshouseandbarn.org/" TargetMode="External"/><Relationship Id="rId159" Type="http://schemas.openxmlformats.org/officeDocument/2006/relationships/hyperlink" Target="http://www.thurmontfoodbank.com/contact" TargetMode="External"/><Relationship Id="rId154" Type="http://schemas.openxmlformats.org/officeDocument/2006/relationships/hyperlink" Target="http://www.therescuemission.org/" TargetMode="External"/><Relationship Id="rId396" Type="http://schemas.openxmlformats.org/officeDocument/2006/relationships/hyperlink" Target="http://www.pamdc.com/" TargetMode="External"/><Relationship Id="rId153" Type="http://schemas.openxmlformats.org/officeDocument/2006/relationships/hyperlink" Target="https://www.wellshouse.org/locations/frederick-md/frederick-gale-house/" TargetMode="External"/><Relationship Id="rId395" Type="http://schemas.openxmlformats.org/officeDocument/2006/relationships/hyperlink" Target="https://www.catholiccharities-md.org/services/senior-communities/" TargetMode="External"/><Relationship Id="rId152" Type="http://schemas.openxmlformats.org/officeDocument/2006/relationships/hyperlink" Target="http://gladevalley.org/services/food-bank/" TargetMode="External"/><Relationship Id="rId394" Type="http://schemas.openxmlformats.org/officeDocument/2006/relationships/hyperlink" Target="https://www.baltimorecountymd.gov/departments/aging/centers/overlea-fullerton" TargetMode="External"/><Relationship Id="rId151" Type="http://schemas.openxmlformats.org/officeDocument/2006/relationships/hyperlink" Target="https://sorrowsparish.org/events/food-pantry-2" TargetMode="External"/><Relationship Id="rId393" Type="http://schemas.openxmlformats.org/officeDocument/2006/relationships/hyperlink" Target="https://cc-md.org/programs/our-lady-of-fatima-2/" TargetMode="External"/><Relationship Id="rId158" Type="http://schemas.openxmlformats.org/officeDocument/2006/relationships/hyperlink" Target="http://www.stmichaelscc.org/" TargetMode="External"/><Relationship Id="rId157" Type="http://schemas.openxmlformats.org/officeDocument/2006/relationships/hyperlink" Target="http://www.emmanueltrinity.org/" TargetMode="External"/><Relationship Id="rId399" Type="http://schemas.openxmlformats.org/officeDocument/2006/relationships/hyperlink" Target="http://parkheightsplace.enterpriseresidential.org/" TargetMode="External"/><Relationship Id="rId156" Type="http://schemas.openxmlformats.org/officeDocument/2006/relationships/hyperlink" Target="http://ccea4u.org/" TargetMode="External"/><Relationship Id="rId398" Type="http://schemas.openxmlformats.org/officeDocument/2006/relationships/hyperlink" Target="https://www.theparadiseplace.org/" TargetMode="External"/><Relationship Id="rId155" Type="http://schemas.openxmlformats.org/officeDocument/2006/relationships/hyperlink" Target="https://www.emmitsburgmd.gov/community_outreach/food_bank/index.php" TargetMode="External"/><Relationship Id="rId397" Type="http://schemas.openxmlformats.org/officeDocument/2006/relationships/hyperlink" Target="http://paradiseassistedliving.com/" TargetMode="External"/><Relationship Id="rId808" Type="http://schemas.openxmlformats.org/officeDocument/2006/relationships/hyperlink" Target="https://www.serenityplacellc.com/" TargetMode="External"/><Relationship Id="rId807" Type="http://schemas.openxmlformats.org/officeDocument/2006/relationships/hyperlink" Target="https://lifestance.com/location/easton-md-8133/?utm_source=gmb&amp;utm_medium=organic&amp;utm_campaign=locations" TargetMode="External"/><Relationship Id="rId806" Type="http://schemas.openxmlformats.org/officeDocument/2006/relationships/hyperlink" Target="http://www.channelmarker.org/" TargetMode="External"/><Relationship Id="rId805" Type="http://schemas.openxmlformats.org/officeDocument/2006/relationships/hyperlink" Target="http://www.onourowncalvert.com/" TargetMode="External"/><Relationship Id="rId809" Type="http://schemas.openxmlformats.org/officeDocument/2006/relationships/hyperlink" Target="http://www.projectchesapeake.com/" TargetMode="External"/><Relationship Id="rId800" Type="http://schemas.openxmlformats.org/officeDocument/2006/relationships/hyperlink" Target="http://www.amazingcarehha.com/" TargetMode="External"/><Relationship Id="rId804" Type="http://schemas.openxmlformats.org/officeDocument/2006/relationships/hyperlink" Target="https://www.powercounselingpllc.com/" TargetMode="External"/><Relationship Id="rId803" Type="http://schemas.openxmlformats.org/officeDocument/2006/relationships/hyperlink" Target="https://www.synchronybhs.com/" TargetMode="External"/><Relationship Id="rId802" Type="http://schemas.openxmlformats.org/officeDocument/2006/relationships/hyperlink" Target="https://www.projectchesapeake.com/" TargetMode="External"/><Relationship Id="rId801" Type="http://schemas.openxmlformats.org/officeDocument/2006/relationships/hyperlink" Target="https://www.hopebh.com/" TargetMode="External"/><Relationship Id="rId40" Type="http://schemas.openxmlformats.org/officeDocument/2006/relationships/hyperlink" Target="http://www.stfranciscenter.org/" TargetMode="External"/><Relationship Id="rId42" Type="http://schemas.openxmlformats.org/officeDocument/2006/relationships/hyperlink" Target="http://www.stpeter-libertytown.org/" TargetMode="External"/><Relationship Id="rId41" Type="http://schemas.openxmlformats.org/officeDocument/2006/relationships/hyperlink" Target="http://mannahouseinc.org/" TargetMode="External"/><Relationship Id="rId44" Type="http://schemas.openxmlformats.org/officeDocument/2006/relationships/hyperlink" Target="http://www.chasebrexton.org/?utm_source=GMBSocialClimb&amp;utm_medium=ChaseBrextonHealthServices" TargetMode="External"/><Relationship Id="rId43" Type="http://schemas.openxmlformats.org/officeDocument/2006/relationships/hyperlink" Target="https://www.charmcitycareconnection.org/" TargetMode="External"/><Relationship Id="rId46" Type="http://schemas.openxmlformats.org/officeDocument/2006/relationships/hyperlink" Target="https://www.bmsi.org/" TargetMode="External"/><Relationship Id="rId45" Type="http://schemas.openxmlformats.org/officeDocument/2006/relationships/hyperlink" Target="https://www.hchmd.org/" TargetMode="External"/><Relationship Id="rId509" Type="http://schemas.openxmlformats.org/officeDocument/2006/relationships/hyperlink" Target="https://www.catholiccharities-md.org/services/senior-communities/" TargetMode="External"/><Relationship Id="rId508" Type="http://schemas.openxmlformats.org/officeDocument/2006/relationships/hyperlink" Target="http://www.catholiccharities-md.org/villa-maria-schools/" TargetMode="External"/><Relationship Id="rId503" Type="http://schemas.openxmlformats.org/officeDocument/2006/relationships/hyperlink" Target="https://www.umms.org/sjmc/locations/um-st-joseph-medical-center" TargetMode="External"/><Relationship Id="rId745" Type="http://schemas.openxmlformats.org/officeDocument/2006/relationships/hyperlink" Target="https://www.choiceclinical.com/" TargetMode="External"/><Relationship Id="rId987" Type="http://schemas.openxmlformats.org/officeDocument/2006/relationships/hyperlink" Target="https://opd.state.md.us/dorchester" TargetMode="External"/><Relationship Id="rId502" Type="http://schemas.openxmlformats.org/officeDocument/2006/relationships/hyperlink" Target="https://ufalinc.wixsite.com/website-1" TargetMode="External"/><Relationship Id="rId744" Type="http://schemas.openxmlformats.org/officeDocument/2006/relationships/hyperlink" Target="http://www.mcguiretherapy.com/" TargetMode="External"/><Relationship Id="rId986" Type="http://schemas.openxmlformats.org/officeDocument/2006/relationships/hyperlink" Target="http://www.opd.state.md.us/" TargetMode="External"/><Relationship Id="rId501" Type="http://schemas.openxmlformats.org/officeDocument/2006/relationships/hyperlink" Target="http://www.unconditionalcare3200.com/" TargetMode="External"/><Relationship Id="rId743" Type="http://schemas.openxmlformats.org/officeDocument/2006/relationships/hyperlink" Target="https://aehealthcareservices.com/" TargetMode="External"/><Relationship Id="rId985" Type="http://schemas.openxmlformats.org/officeDocument/2006/relationships/hyperlink" Target="http://www.opd.state.md.us/" TargetMode="External"/><Relationship Id="rId500" Type="http://schemas.openxmlformats.org/officeDocument/2006/relationships/hyperlink" Target="https://www.catholiccharities-md.org/services/senior-communities/" TargetMode="External"/><Relationship Id="rId742" Type="http://schemas.openxmlformats.org/officeDocument/2006/relationships/hyperlink" Target="http://www.brooklane.org/directions.aspx" TargetMode="External"/><Relationship Id="rId984" Type="http://schemas.openxmlformats.org/officeDocument/2006/relationships/hyperlink" Target="https://www.opd.state.md.us/" TargetMode="External"/><Relationship Id="rId507" Type="http://schemas.openxmlformats.org/officeDocument/2006/relationships/hyperlink" Target="http://habitatamerica.com/communities/venable-apartments-ii/" TargetMode="External"/><Relationship Id="rId749" Type="http://schemas.openxmlformats.org/officeDocument/2006/relationships/hyperlink" Target="http://www.carolkayhealthcare.com/home-health-care-about-us" TargetMode="External"/><Relationship Id="rId506" Type="http://schemas.openxmlformats.org/officeDocument/2006/relationships/hyperlink" Target="https://www.umms.org/rehab" TargetMode="External"/><Relationship Id="rId748" Type="http://schemas.openxmlformats.org/officeDocument/2006/relationships/hyperlink" Target="http://md-health.org/" TargetMode="External"/><Relationship Id="rId505" Type="http://schemas.openxmlformats.org/officeDocument/2006/relationships/hyperlink" Target="https://www.umms.org/midtown/locations/ummc-midtown-campus" TargetMode="External"/><Relationship Id="rId747" Type="http://schemas.openxmlformats.org/officeDocument/2006/relationships/hyperlink" Target="https://lifestance.com/location/crofton-md-1662/?utm_source=gmb&amp;utm_medium=organic&amp;utm_campaign=locations" TargetMode="External"/><Relationship Id="rId989" Type="http://schemas.openxmlformats.org/officeDocument/2006/relationships/hyperlink" Target="http://www.opd.state.md.us/" TargetMode="External"/><Relationship Id="rId504" Type="http://schemas.openxmlformats.org/officeDocument/2006/relationships/hyperlink" Target="https://www.umms.org/ummc/locations/university-maryland-medical-center" TargetMode="External"/><Relationship Id="rId746" Type="http://schemas.openxmlformats.org/officeDocument/2006/relationships/hyperlink" Target="http://allen-ayukbehavioralhealth.com/" TargetMode="External"/><Relationship Id="rId988" Type="http://schemas.openxmlformats.org/officeDocument/2006/relationships/hyperlink" Target="https://opd.state.md.us/st-marys" TargetMode="External"/><Relationship Id="rId48" Type="http://schemas.openxmlformats.org/officeDocument/2006/relationships/hyperlink" Target="http://www.catholiccharities-md.org/immigrants/?referrer=https://www.google.co.in/" TargetMode="External"/><Relationship Id="rId47" Type="http://schemas.openxmlformats.org/officeDocument/2006/relationships/hyperlink" Target="http://totalhealthcare.org/" TargetMode="External"/><Relationship Id="rId49" Type="http://schemas.openxmlformats.org/officeDocument/2006/relationships/hyperlink" Target="https://healthcare.ascension.org/locations/maryland/mdbal/baltimore-ascension-saint-agnes-hospital?utm_campaign=gmb&amp;utm_medium=organic-search&amp;utm_content=location-listing&amp;utm_source=local" TargetMode="External"/><Relationship Id="rId741" Type="http://schemas.openxmlformats.org/officeDocument/2006/relationships/hyperlink" Target="https://www.divinepsychcare.com/" TargetMode="External"/><Relationship Id="rId983" Type="http://schemas.openxmlformats.org/officeDocument/2006/relationships/hyperlink" Target="http://www.opd.state.md.us/" TargetMode="External"/><Relationship Id="rId740" Type="http://schemas.openxmlformats.org/officeDocument/2006/relationships/hyperlink" Target="http://www.secondchancecare.com/" TargetMode="External"/><Relationship Id="rId982" Type="http://schemas.openxmlformats.org/officeDocument/2006/relationships/hyperlink" Target="https://www.pgcba.com/" TargetMode="External"/><Relationship Id="rId981" Type="http://schemas.openxmlformats.org/officeDocument/2006/relationships/hyperlink" Target="http://www.justice.gov/civil/" TargetMode="External"/><Relationship Id="rId980" Type="http://schemas.openxmlformats.org/officeDocument/2006/relationships/hyperlink" Target="http://www.nationalfairhousing.org/" TargetMode="External"/><Relationship Id="rId31" Type="http://schemas.openxmlformats.org/officeDocument/2006/relationships/hyperlink" Target="http://www.catholiccharities-md.org/" TargetMode="External"/><Relationship Id="rId30" Type="http://schemas.openxmlformats.org/officeDocument/2006/relationships/hyperlink" Target="http://www.mdfoodbank.org/" TargetMode="External"/><Relationship Id="rId33" Type="http://schemas.openxmlformats.org/officeDocument/2006/relationships/hyperlink" Target="http://fcbmore.org/" TargetMode="External"/><Relationship Id="rId32" Type="http://schemas.openxmlformats.org/officeDocument/2006/relationships/hyperlink" Target="http://www.mfeast.org/" TargetMode="External"/><Relationship Id="rId35" Type="http://schemas.openxmlformats.org/officeDocument/2006/relationships/hyperlink" Target="http://bea-gaddy.org/" TargetMode="External"/><Relationship Id="rId34" Type="http://schemas.openxmlformats.org/officeDocument/2006/relationships/hyperlink" Target="http://flogiving.org/" TargetMode="External"/><Relationship Id="rId739" Type="http://schemas.openxmlformats.org/officeDocument/2006/relationships/hyperlink" Target="https://metrocounselingservices.com/contact-us" TargetMode="External"/><Relationship Id="rId734" Type="http://schemas.openxmlformats.org/officeDocument/2006/relationships/hyperlink" Target="http://www.onourownfrederick.org/" TargetMode="External"/><Relationship Id="rId976" Type="http://schemas.openxmlformats.org/officeDocument/2006/relationships/hyperlink" Target="http://www.morrisklein.com/" TargetMode="External"/><Relationship Id="rId733" Type="http://schemas.openxmlformats.org/officeDocument/2006/relationships/hyperlink" Target="http://lssnca.org/" TargetMode="External"/><Relationship Id="rId975" Type="http://schemas.openxmlformats.org/officeDocument/2006/relationships/hyperlink" Target="http://www.ayuda.com/" TargetMode="External"/><Relationship Id="rId732" Type="http://schemas.openxmlformats.org/officeDocument/2006/relationships/hyperlink" Target="http://evolvelifecenters.com/" TargetMode="External"/><Relationship Id="rId974" Type="http://schemas.openxmlformats.org/officeDocument/2006/relationships/hyperlink" Target="https://www.spanishcommunityofmd.org/" TargetMode="External"/><Relationship Id="rId731" Type="http://schemas.openxmlformats.org/officeDocument/2006/relationships/hyperlink" Target="https://www.sheppardpratt.org/locations-directions/details/vocational-services-gaithersburg/" TargetMode="External"/><Relationship Id="rId973" Type="http://schemas.openxmlformats.org/officeDocument/2006/relationships/hyperlink" Target="https://opd.state.md.us/montgomery" TargetMode="External"/><Relationship Id="rId738" Type="http://schemas.openxmlformats.org/officeDocument/2006/relationships/hyperlink" Target="https://geminihealthmd.com/" TargetMode="External"/><Relationship Id="rId737" Type="http://schemas.openxmlformats.org/officeDocument/2006/relationships/hyperlink" Target="https://orchardmentalhealth.com/" TargetMode="External"/><Relationship Id="rId979" Type="http://schemas.openxmlformats.org/officeDocument/2006/relationships/hyperlink" Target="http://www.apalrc.org/" TargetMode="External"/><Relationship Id="rId736" Type="http://schemas.openxmlformats.org/officeDocument/2006/relationships/hyperlink" Target="https://www.sheppardpratt.org/locations-directions/details/outpatient-mental-health-center-frederick/" TargetMode="External"/><Relationship Id="rId978" Type="http://schemas.openxmlformats.org/officeDocument/2006/relationships/hyperlink" Target="http://www.lawyerscommittee.org/" TargetMode="External"/><Relationship Id="rId735" Type="http://schemas.openxmlformats.org/officeDocument/2006/relationships/hyperlink" Target="https://www.projectchesapeake.com/" TargetMode="External"/><Relationship Id="rId977" Type="http://schemas.openxmlformats.org/officeDocument/2006/relationships/hyperlink" Target="https://equalrightscenter.org/" TargetMode="External"/><Relationship Id="rId37" Type="http://schemas.openxmlformats.org/officeDocument/2006/relationships/hyperlink" Target="http://www.40west.org/" TargetMode="External"/><Relationship Id="rId36" Type="http://schemas.openxmlformats.org/officeDocument/2006/relationships/hyperlink" Target="https://sowhatelse.org/food-rescue-bank/baltimore-food-giveaways/" TargetMode="External"/><Relationship Id="rId39" Type="http://schemas.openxmlformats.org/officeDocument/2006/relationships/hyperlink" Target="http://www.paulsplaceoutreach.org/" TargetMode="External"/><Relationship Id="rId38" Type="http://schemas.openxmlformats.org/officeDocument/2006/relationships/hyperlink" Target="https://www.flpbaltimore.org/" TargetMode="External"/><Relationship Id="rId730" Type="http://schemas.openxmlformats.org/officeDocument/2006/relationships/hyperlink" Target="http://www.emmortonpsych.com/" TargetMode="External"/><Relationship Id="rId972" Type="http://schemas.openxmlformats.org/officeDocument/2006/relationships/hyperlink" Target="https://www.asyleewomen.org/" TargetMode="External"/><Relationship Id="rId971" Type="http://schemas.openxmlformats.org/officeDocument/2006/relationships/hyperlink" Target="https://opd.state.md.us/juvenile-protection" TargetMode="External"/><Relationship Id="rId970" Type="http://schemas.openxmlformats.org/officeDocument/2006/relationships/hyperlink" Target="https://civiljusticeinc.org/" TargetMode="External"/><Relationship Id="rId1114" Type="http://schemas.openxmlformats.org/officeDocument/2006/relationships/hyperlink" Target="http://www.gscm.org/" TargetMode="External"/><Relationship Id="rId1115" Type="http://schemas.openxmlformats.org/officeDocument/2006/relationships/hyperlink" Target="https://ymaryland.org/locations/catonsvilley" TargetMode="External"/><Relationship Id="rId20" Type="http://schemas.openxmlformats.org/officeDocument/2006/relationships/hyperlink" Target="https://moed.baltimorecity.gov/northwest-baltimore-career-center-contact" TargetMode="External"/><Relationship Id="rId1116" Type="http://schemas.openxmlformats.org/officeDocument/2006/relationships/hyperlink" Target="http://www.campfirepatuxent.org/" TargetMode="External"/><Relationship Id="rId1117" Type="http://schemas.openxmlformats.org/officeDocument/2006/relationships/hyperlink" Target="https://worcesterrecandparks.org/" TargetMode="External"/><Relationship Id="rId22" Type="http://schemas.openxmlformats.org/officeDocument/2006/relationships/hyperlink" Target="https://www.labor.maryland.gov/county/bacity/" TargetMode="External"/><Relationship Id="rId1118" Type="http://schemas.openxmlformats.org/officeDocument/2006/relationships/hyperlink" Target="http://www.chaibaltimore.org/" TargetMode="External"/><Relationship Id="rId21" Type="http://schemas.openxmlformats.org/officeDocument/2006/relationships/hyperlink" Target="https://moed.baltimorecity.gov/south-baltimore-employment-connections-center" TargetMode="External"/><Relationship Id="rId1119" Type="http://schemas.openxmlformats.org/officeDocument/2006/relationships/hyperlink" Target="http://www.familytreemd.org/" TargetMode="External"/><Relationship Id="rId24" Type="http://schemas.openxmlformats.org/officeDocument/2006/relationships/hyperlink" Target="http://www.jotf.org/" TargetMode="External"/><Relationship Id="rId23" Type="http://schemas.openxmlformats.org/officeDocument/2006/relationships/hyperlink" Target="http://www.mdnewdirections.org/" TargetMode="External"/><Relationship Id="rId525" Type="http://schemas.openxmlformats.org/officeDocument/2006/relationships/hyperlink" Target="http://weinbergmanhattan.com/" TargetMode="External"/><Relationship Id="rId767" Type="http://schemas.openxmlformats.org/officeDocument/2006/relationships/hyperlink" Target="http://www.mdwellness.org/" TargetMode="External"/><Relationship Id="rId524" Type="http://schemas.openxmlformats.org/officeDocument/2006/relationships/hyperlink" Target="http://weinberghouseapartments.com/" TargetMode="External"/><Relationship Id="rId766" Type="http://schemas.openxmlformats.org/officeDocument/2006/relationships/hyperlink" Target="http://www.center4therapeuticconcepts.com/" TargetMode="External"/><Relationship Id="rId523" Type="http://schemas.openxmlformats.org/officeDocument/2006/relationships/hyperlink" Target="http://weinbergterracegardensapts.com/" TargetMode="External"/><Relationship Id="rId765" Type="http://schemas.openxmlformats.org/officeDocument/2006/relationships/hyperlink" Target="http://www.mbhshelps.org/" TargetMode="External"/><Relationship Id="rId522" Type="http://schemas.openxmlformats.org/officeDocument/2006/relationships/hyperlink" Target="https://www.habitatamerica.com/harry-and-jeanette-weinberg-court-apartments/default" TargetMode="External"/><Relationship Id="rId764" Type="http://schemas.openxmlformats.org/officeDocument/2006/relationships/hyperlink" Target="http://teamforall.org/" TargetMode="External"/><Relationship Id="rId529" Type="http://schemas.openxmlformats.org/officeDocument/2006/relationships/hyperlink" Target="http://weinbergterracegardensapts.com/" TargetMode="External"/><Relationship Id="rId528" Type="http://schemas.openxmlformats.org/officeDocument/2006/relationships/hyperlink" Target="https://weinbergplace.com/" TargetMode="External"/><Relationship Id="rId527" Type="http://schemas.openxmlformats.org/officeDocument/2006/relationships/hyperlink" Target="http://weinbergmanorsapts.com/" TargetMode="External"/><Relationship Id="rId769" Type="http://schemas.openxmlformats.org/officeDocument/2006/relationships/hyperlink" Target="http://mycovenantplace.org/" TargetMode="External"/><Relationship Id="rId526" Type="http://schemas.openxmlformats.org/officeDocument/2006/relationships/hyperlink" Target="http://weinbergmanorsapts.com/" TargetMode="External"/><Relationship Id="rId768" Type="http://schemas.openxmlformats.org/officeDocument/2006/relationships/hyperlink" Target="https://healingmindwellness.com/" TargetMode="External"/><Relationship Id="rId26" Type="http://schemas.openxmlformats.org/officeDocument/2006/relationships/hyperlink" Target="https://www.churchontheavenuehampden.org/" TargetMode="External"/><Relationship Id="rId25" Type="http://schemas.openxmlformats.org/officeDocument/2006/relationships/hyperlink" Target="http://vehiclesforchange.org/" TargetMode="External"/><Relationship Id="rId28" Type="http://schemas.openxmlformats.org/officeDocument/2006/relationships/hyperlink" Target="http://dayspringinc.org/" TargetMode="External"/><Relationship Id="rId27" Type="http://schemas.openxmlformats.org/officeDocument/2006/relationships/hyperlink" Target="https://www.facebook.com/Church-of-the-Guardian-Angel-259556444135884/" TargetMode="External"/><Relationship Id="rId521" Type="http://schemas.openxmlformats.org/officeDocument/2006/relationships/hyperlink" Target="https://wecarefirstalf.com/" TargetMode="External"/><Relationship Id="rId763" Type="http://schemas.openxmlformats.org/officeDocument/2006/relationships/hyperlink" Target="https://www.medstarhealth.org/locations/medstar-washington-hospital-center?utm_campaign=mhs_citations&amp;utm_medium=listing&amp;utm_source=citation_management&amp;utm_term=hospital" TargetMode="External"/><Relationship Id="rId1110" Type="http://schemas.openxmlformats.org/officeDocument/2006/relationships/hyperlink" Target="https://ymaryland.org/" TargetMode="External"/><Relationship Id="rId29" Type="http://schemas.openxmlformats.org/officeDocument/2006/relationships/hyperlink" Target="http://www.cashmd.org/" TargetMode="External"/><Relationship Id="rId520" Type="http://schemas.openxmlformats.org/officeDocument/2006/relationships/hyperlink" Target="https://search.pratumco.com/apartments/md/baltimore/wayland-village/" TargetMode="External"/><Relationship Id="rId762" Type="http://schemas.openxmlformats.org/officeDocument/2006/relationships/hyperlink" Target="http://www.projectchesapeake.com/" TargetMode="External"/><Relationship Id="rId1111" Type="http://schemas.openxmlformats.org/officeDocument/2006/relationships/hyperlink" Target="http://www.pathfindersforautism.org/" TargetMode="External"/><Relationship Id="rId761" Type="http://schemas.openxmlformats.org/officeDocument/2006/relationships/hyperlink" Target="http://williamsonmentalhealth.com/" TargetMode="External"/><Relationship Id="rId1112" Type="http://schemas.openxmlformats.org/officeDocument/2006/relationships/hyperlink" Target="http://www.hopewellcancersupport.org/" TargetMode="External"/><Relationship Id="rId760" Type="http://schemas.openxmlformats.org/officeDocument/2006/relationships/hyperlink" Target="http://lscounseling.net/" TargetMode="External"/><Relationship Id="rId1113" Type="http://schemas.openxmlformats.org/officeDocument/2006/relationships/hyperlink" Target="http://unified.org/contact-us/" TargetMode="External"/><Relationship Id="rId1103" Type="http://schemas.openxmlformats.org/officeDocument/2006/relationships/hyperlink" Target="https://www.acsinc-md.com/" TargetMode="External"/><Relationship Id="rId1104" Type="http://schemas.openxmlformats.org/officeDocument/2006/relationships/hyperlink" Target="http://nccinc.org/" TargetMode="External"/><Relationship Id="rId1105" Type="http://schemas.openxmlformats.org/officeDocument/2006/relationships/hyperlink" Target="http://www.starcommunityinc.org/" TargetMode="External"/><Relationship Id="rId1106" Type="http://schemas.openxmlformats.org/officeDocument/2006/relationships/hyperlink" Target="http://meritushealth.com/" TargetMode="External"/><Relationship Id="rId11" Type="http://schemas.openxmlformats.org/officeDocument/2006/relationships/hyperlink" Target="https://carepointresponse.org/" TargetMode="External"/><Relationship Id="rId1107" Type="http://schemas.openxmlformats.org/officeDocument/2006/relationships/hyperlink" Target="https://kidsdentalvisioncare.com/maryland/adventure-md/baltimore/baltimore-the-alameda" TargetMode="External"/><Relationship Id="rId10" Type="http://schemas.openxmlformats.org/officeDocument/2006/relationships/hyperlink" Target="http://lifespringcounseling.net/" TargetMode="External"/><Relationship Id="rId1108" Type="http://schemas.openxmlformats.org/officeDocument/2006/relationships/hyperlink" Target="https://www.dental.umaryland.edu/" TargetMode="External"/><Relationship Id="rId13" Type="http://schemas.openxmlformats.org/officeDocument/2006/relationships/hyperlink" Target="http://mannahouseinc.org/" TargetMode="External"/><Relationship Id="rId1109" Type="http://schemas.openxmlformats.org/officeDocument/2006/relationships/hyperlink" Target="https://eternalsmiles.org/" TargetMode="External"/><Relationship Id="rId12" Type="http://schemas.openxmlformats.org/officeDocument/2006/relationships/hyperlink" Target="http://www.vincentbaltimore.org/get-help" TargetMode="External"/><Relationship Id="rId519" Type="http://schemas.openxmlformats.org/officeDocument/2006/relationships/hyperlink" Target="https://health.baltimorecity.gov/" TargetMode="External"/><Relationship Id="rId514" Type="http://schemas.openxmlformats.org/officeDocument/2006/relationships/hyperlink" Target="https://www.csi.coop/housing/md/baltimore/walker-co-op/default" TargetMode="External"/><Relationship Id="rId756" Type="http://schemas.openxmlformats.org/officeDocument/2006/relationships/hyperlink" Target="https://faramedservices.com/" TargetMode="External"/><Relationship Id="rId998" Type="http://schemas.openxmlformats.org/officeDocument/2006/relationships/hyperlink" Target="http://ashiyanaa.org/" TargetMode="External"/><Relationship Id="rId513" Type="http://schemas.openxmlformats.org/officeDocument/2006/relationships/hyperlink" Target="https://www.prattlibrary.org/locations/walbrook/" TargetMode="External"/><Relationship Id="rId755" Type="http://schemas.openxmlformats.org/officeDocument/2006/relationships/hyperlink" Target="http://interdynamicsinc.com/" TargetMode="External"/><Relationship Id="rId997" Type="http://schemas.openxmlformats.org/officeDocument/2006/relationships/hyperlink" Target="http://www.hruth.org/" TargetMode="External"/><Relationship Id="rId512" Type="http://schemas.openxmlformats.org/officeDocument/2006/relationships/hyperlink" Target="https://www.csi.coop/housing/md/baltimore/wabash-estates-co-op/default" TargetMode="External"/><Relationship Id="rId754" Type="http://schemas.openxmlformats.org/officeDocument/2006/relationships/hyperlink" Target="http://www.imagocenterdc.com/" TargetMode="External"/><Relationship Id="rId996" Type="http://schemas.openxmlformats.org/officeDocument/2006/relationships/hyperlink" Target="http://www.grassrootscrisis.org/" TargetMode="External"/><Relationship Id="rId511" Type="http://schemas.openxmlformats.org/officeDocument/2006/relationships/hyperlink" Target="http://www.vivcaresllc.com/" TargetMode="External"/><Relationship Id="rId753" Type="http://schemas.openxmlformats.org/officeDocument/2006/relationships/hyperlink" Target="http://www.familybservices.com/" TargetMode="External"/><Relationship Id="rId995" Type="http://schemas.openxmlformats.org/officeDocument/2006/relationships/hyperlink" Target="https://hruth.org/" TargetMode="External"/><Relationship Id="rId518" Type="http://schemas.openxmlformats.org/officeDocument/2006/relationships/hyperlink" Target="https://www.prattlibrary.org/locations/waverly" TargetMode="External"/><Relationship Id="rId517" Type="http://schemas.openxmlformats.org/officeDocument/2006/relationships/hyperlink" Target="https://www.prattlibrary.org/locations/washvillage/" TargetMode="External"/><Relationship Id="rId759" Type="http://schemas.openxmlformats.org/officeDocument/2006/relationships/hyperlink" Target="https://lifestance.com/location/chevy-chase-md-5550-friendship-blvd/?utm_source=gmb&amp;utm_medium=organic&amp;utm_campaign=locations" TargetMode="External"/><Relationship Id="rId516" Type="http://schemas.openxmlformats.org/officeDocument/2006/relationships/hyperlink" Target="https://www.warrenplaceseniorapts.com/?utm_knock=g" TargetMode="External"/><Relationship Id="rId758" Type="http://schemas.openxmlformats.org/officeDocument/2006/relationships/hyperlink" Target="https://lifestance.com/location/annapolis-md-810-bestgate-road/?utm_source=gmb&amp;utm_medium=organic&amp;utm_campaign=locations" TargetMode="External"/><Relationship Id="rId515" Type="http://schemas.openxmlformats.org/officeDocument/2006/relationships/hyperlink" Target="https://www.zillow.com/apartments/baltimore-md/walker-mews/5XtNF2/" TargetMode="External"/><Relationship Id="rId757" Type="http://schemas.openxmlformats.org/officeDocument/2006/relationships/hyperlink" Target="http://www.cancersupportcommunity.org/" TargetMode="External"/><Relationship Id="rId999" Type="http://schemas.openxmlformats.org/officeDocument/2006/relationships/hyperlink" Target="http://www.rainn.org/" TargetMode="External"/><Relationship Id="rId15" Type="http://schemas.openxmlformats.org/officeDocument/2006/relationships/hyperlink" Target="https://www.prattlibrary.org/" TargetMode="External"/><Relationship Id="rId990" Type="http://schemas.openxmlformats.org/officeDocument/2006/relationships/hyperlink" Target="http://www.opd.state.md.us/allegany" TargetMode="External"/><Relationship Id="rId14" Type="http://schemas.openxmlformats.org/officeDocument/2006/relationships/hyperlink" Target="https://www.sheppardpratt.org/locations-directions/details/sheppard-pratt-towson-campus/" TargetMode="External"/><Relationship Id="rId17" Type="http://schemas.openxmlformats.org/officeDocument/2006/relationships/hyperlink" Target="http://www.turnaroundinc.org/" TargetMode="External"/><Relationship Id="rId16" Type="http://schemas.openxmlformats.org/officeDocument/2006/relationships/hyperlink" Target="http://chanabaltimore.org/" TargetMode="External"/><Relationship Id="rId19" Type="http://schemas.openxmlformats.org/officeDocument/2006/relationships/hyperlink" Target="http://www.cc-md.org/WHRC" TargetMode="External"/><Relationship Id="rId510" Type="http://schemas.openxmlformats.org/officeDocument/2006/relationships/hyperlink" Target="https://www.villageoaks-apartments.com/" TargetMode="External"/><Relationship Id="rId752" Type="http://schemas.openxmlformats.org/officeDocument/2006/relationships/hyperlink" Target="http://www.easterseals.com/DCMDVA/" TargetMode="External"/><Relationship Id="rId994" Type="http://schemas.openxmlformats.org/officeDocument/2006/relationships/hyperlink" Target="http://www.lifebridgehealth.org/centerforhope" TargetMode="External"/><Relationship Id="rId18" Type="http://schemas.openxmlformats.org/officeDocument/2006/relationships/hyperlink" Target="http://www.catholiccharities-md.org/" TargetMode="External"/><Relationship Id="rId751" Type="http://schemas.openxmlformats.org/officeDocument/2006/relationships/hyperlink" Target="http://www.besdc.com/" TargetMode="External"/><Relationship Id="rId993" Type="http://schemas.openxmlformats.org/officeDocument/2006/relationships/hyperlink" Target="https://crcbaltimorecounty.org/contact-us/" TargetMode="External"/><Relationship Id="rId1100" Type="http://schemas.openxmlformats.org/officeDocument/2006/relationships/hyperlink" Target="https://bcpl.info/locations/lansdowne" TargetMode="External"/><Relationship Id="rId750" Type="http://schemas.openxmlformats.org/officeDocument/2006/relationships/hyperlink" Target="http://www.icamentalhealth.com/contact" TargetMode="External"/><Relationship Id="rId992" Type="http://schemas.openxmlformats.org/officeDocument/2006/relationships/hyperlink" Target="https://www.dredf.org/" TargetMode="External"/><Relationship Id="rId1101" Type="http://schemas.openxmlformats.org/officeDocument/2006/relationships/hyperlink" Target="http://www.foundationsgroup.net/" TargetMode="External"/><Relationship Id="rId991" Type="http://schemas.openxmlformats.org/officeDocument/2006/relationships/hyperlink" Target="https://opd.state.md.us/somerset" TargetMode="External"/><Relationship Id="rId1102" Type="http://schemas.openxmlformats.org/officeDocument/2006/relationships/hyperlink" Target="https://www.thearcbaltimore.org/" TargetMode="External"/><Relationship Id="rId84" Type="http://schemas.openxmlformats.org/officeDocument/2006/relationships/hyperlink" Target="http://www.god-is-love.org/" TargetMode="External"/><Relationship Id="rId83" Type="http://schemas.openxmlformats.org/officeDocument/2006/relationships/hyperlink" Target="http://www.stvchurch.org/" TargetMode="External"/><Relationship Id="rId86" Type="http://schemas.openxmlformats.org/officeDocument/2006/relationships/hyperlink" Target="https://www.newcreation-md.org/our-community/macedonia-project/" TargetMode="External"/><Relationship Id="rId85" Type="http://schemas.openxmlformats.org/officeDocument/2006/relationships/hyperlink" Target="http://www.saintbenedict.org/guilds-and-organizations" TargetMode="External"/><Relationship Id="rId88" Type="http://schemas.openxmlformats.org/officeDocument/2006/relationships/hyperlink" Target="https://ymaryland.org/locations/parkvilley" TargetMode="External"/><Relationship Id="rId87" Type="http://schemas.openxmlformats.org/officeDocument/2006/relationships/hyperlink" Target="http://www.breathofgodlc.org/" TargetMode="External"/><Relationship Id="rId89" Type="http://schemas.openxmlformats.org/officeDocument/2006/relationships/hyperlink" Target="http://mpdcorp.org/" TargetMode="External"/><Relationship Id="rId709" Type="http://schemas.openxmlformats.org/officeDocument/2006/relationships/hyperlink" Target="https://www.projectchesapeake.com/" TargetMode="External"/><Relationship Id="rId708" Type="http://schemas.openxmlformats.org/officeDocument/2006/relationships/hyperlink" Target="http://www.leadingbyexamplellc.com/?utm_source=Google+&amp;utm_medium=Organic+&amp;utm_campaign=gmb3" TargetMode="External"/><Relationship Id="rId707" Type="http://schemas.openxmlformats.org/officeDocument/2006/relationships/hyperlink" Target="https://www.advantagepsyc.com/" TargetMode="External"/><Relationship Id="rId949" Type="http://schemas.openxmlformats.org/officeDocument/2006/relationships/hyperlink" Target="https://www.vfw.org/" TargetMode="External"/><Relationship Id="rId706" Type="http://schemas.openxmlformats.org/officeDocument/2006/relationships/hyperlink" Target="https://www.aspire-wellness.com/" TargetMode="External"/><Relationship Id="rId948" Type="http://schemas.openxmlformats.org/officeDocument/2006/relationships/hyperlink" Target="https://labor.maryland.gov/employment/unemployment.shtml" TargetMode="External"/><Relationship Id="rId80" Type="http://schemas.openxmlformats.org/officeDocument/2006/relationships/hyperlink" Target="http://knoxpcbaltimore.com/" TargetMode="External"/><Relationship Id="rId82" Type="http://schemas.openxmlformats.org/officeDocument/2006/relationships/hyperlink" Target="http://www.thecentralbaptistchurch.org/" TargetMode="External"/><Relationship Id="rId81" Type="http://schemas.openxmlformats.org/officeDocument/2006/relationships/hyperlink" Target="http://ahamd.org/index.php/contact-us" TargetMode="External"/><Relationship Id="rId701" Type="http://schemas.openxmlformats.org/officeDocument/2006/relationships/hyperlink" Target="http://www.bgtps.com/" TargetMode="External"/><Relationship Id="rId943" Type="http://schemas.openxmlformats.org/officeDocument/2006/relationships/hyperlink" Target="https://happyhelpersforthehomeless.com/" TargetMode="External"/><Relationship Id="rId700" Type="http://schemas.openxmlformats.org/officeDocument/2006/relationships/hyperlink" Target="https://sbcbehavioralhealth.com/" TargetMode="External"/><Relationship Id="rId942" Type="http://schemas.openxmlformats.org/officeDocument/2006/relationships/hyperlink" Target="http://www.homestyledirect.com/" TargetMode="External"/><Relationship Id="rId941" Type="http://schemas.openxmlformats.org/officeDocument/2006/relationships/hyperlink" Target="https://www.momsmeals.com/?utm_medium=organic&amp;utm_source=google&amp;utm_content=google-business" TargetMode="External"/><Relationship Id="rId940" Type="http://schemas.openxmlformats.org/officeDocument/2006/relationships/hyperlink" Target="http://www.alcocministry.com/" TargetMode="External"/><Relationship Id="rId705" Type="http://schemas.openxmlformats.org/officeDocument/2006/relationships/hyperlink" Target="http://www.hmllc.org/" TargetMode="External"/><Relationship Id="rId947" Type="http://schemas.openxmlformats.org/officeDocument/2006/relationships/hyperlink" Target="https://dav7bowiemd.org/?ai1ec_event=dav-mobile-service-office-glen-burnie-va-outpatient-clinic-2" TargetMode="External"/><Relationship Id="rId704" Type="http://schemas.openxmlformats.org/officeDocument/2006/relationships/hyperlink" Target="https://mindfulhealingworks.com/" TargetMode="External"/><Relationship Id="rId946" Type="http://schemas.openxmlformats.org/officeDocument/2006/relationships/hyperlink" Target="https://pva.org/" TargetMode="External"/><Relationship Id="rId703" Type="http://schemas.openxmlformats.org/officeDocument/2006/relationships/hyperlink" Target="https://www.projectchesapeake.com/" TargetMode="External"/><Relationship Id="rId945" Type="http://schemas.openxmlformats.org/officeDocument/2006/relationships/hyperlink" Target="https://www.mdlab.org/contact-us/" TargetMode="External"/><Relationship Id="rId702" Type="http://schemas.openxmlformats.org/officeDocument/2006/relationships/hyperlink" Target="https://www.therapeuticempowerwellness.com/?utm_source=google&amp;utm_medium=wix_google_business_profile&amp;utm_campaign=3232848519681461765" TargetMode="External"/><Relationship Id="rId944" Type="http://schemas.openxmlformats.org/officeDocument/2006/relationships/hyperlink" Target="https://www.baltimorecountymd.gov/departments/states-attorney/" TargetMode="External"/><Relationship Id="rId73" Type="http://schemas.openxmlformats.org/officeDocument/2006/relationships/hyperlink" Target="http://www.actcserves.org/" TargetMode="External"/><Relationship Id="rId72" Type="http://schemas.openxmlformats.org/officeDocument/2006/relationships/hyperlink" Target="https://tmeela.wixsite.com/spiritoffaithdeliver" TargetMode="External"/><Relationship Id="rId75" Type="http://schemas.openxmlformats.org/officeDocument/2006/relationships/hyperlink" Target="https://ymaryland.org/locations/druidhilly" TargetMode="External"/><Relationship Id="rId74" Type="http://schemas.openxmlformats.org/officeDocument/2006/relationships/hyperlink" Target="https://www.samaritancommunity.org/" TargetMode="External"/><Relationship Id="rId77" Type="http://schemas.openxmlformats.org/officeDocument/2006/relationships/hyperlink" Target="https://www.trinitypresbalt.org/" TargetMode="External"/><Relationship Id="rId76" Type="http://schemas.openxmlformats.org/officeDocument/2006/relationships/hyperlink" Target="http://www.stceciliamd.org/" TargetMode="External"/><Relationship Id="rId79" Type="http://schemas.openxmlformats.org/officeDocument/2006/relationships/hyperlink" Target="http://www.babcockpc.org/" TargetMode="External"/><Relationship Id="rId78" Type="http://schemas.openxmlformats.org/officeDocument/2006/relationships/hyperlink" Target="http://www.stjamesonthesquare.org/" TargetMode="External"/><Relationship Id="rId939" Type="http://schemas.openxmlformats.org/officeDocument/2006/relationships/hyperlink" Target="http://www.tccsmd.org/" TargetMode="External"/><Relationship Id="rId938" Type="http://schemas.openxmlformats.org/officeDocument/2006/relationships/hyperlink" Target="https://chestertownmd.adventistchurch.org/" TargetMode="External"/><Relationship Id="rId937" Type="http://schemas.openxmlformats.org/officeDocument/2006/relationships/hyperlink" Target="http://www.libertysda.org/" TargetMode="External"/><Relationship Id="rId71" Type="http://schemas.openxmlformats.org/officeDocument/2006/relationships/hyperlink" Target="https://www.dbfpbaltimore.org/" TargetMode="External"/><Relationship Id="rId70" Type="http://schemas.openxmlformats.org/officeDocument/2006/relationships/hyperlink" Target="http://langstonhughescbrc.org/" TargetMode="External"/><Relationship Id="rId932" Type="http://schemas.openxmlformats.org/officeDocument/2006/relationships/hyperlink" Target="https://www.edgemerebiblechurch.org/" TargetMode="External"/><Relationship Id="rId931" Type="http://schemas.openxmlformats.org/officeDocument/2006/relationships/hyperlink" Target="http://nourishnow.org/" TargetMode="External"/><Relationship Id="rId930" Type="http://schemas.openxmlformats.org/officeDocument/2006/relationships/hyperlink" Target="https://watersedgebaptistchurch.org/" TargetMode="External"/><Relationship Id="rId936" Type="http://schemas.openxmlformats.org/officeDocument/2006/relationships/hyperlink" Target="http://www.thedccenter.org/" TargetMode="External"/><Relationship Id="rId935" Type="http://schemas.openxmlformats.org/officeDocument/2006/relationships/hyperlink" Target="https://compassionplace.org/" TargetMode="External"/><Relationship Id="rId934" Type="http://schemas.openxmlformats.org/officeDocument/2006/relationships/hyperlink" Target="https://www.graceumchurch.org/" TargetMode="External"/><Relationship Id="rId933" Type="http://schemas.openxmlformats.org/officeDocument/2006/relationships/hyperlink" Target="https://www.compassionplace.org/centers" TargetMode="External"/><Relationship Id="rId62" Type="http://schemas.openxmlformats.org/officeDocument/2006/relationships/hyperlink" Target="https://www.joybaltimore.org/" TargetMode="External"/><Relationship Id="rId61" Type="http://schemas.openxmlformats.org/officeDocument/2006/relationships/hyperlink" Target="http://www.baltimorecityschools.org/" TargetMode="External"/><Relationship Id="rId64" Type="http://schemas.openxmlformats.org/officeDocument/2006/relationships/hyperlink" Target="http://www.springboardmd.org/" TargetMode="External"/><Relationship Id="rId63" Type="http://schemas.openxmlformats.org/officeDocument/2006/relationships/hyperlink" Target="https://www.ncianet.org/educational-alternatives-for-youth-in-transition/" TargetMode="External"/><Relationship Id="rId66" Type="http://schemas.openxmlformats.org/officeDocument/2006/relationships/hyperlink" Target="http://www.crlministries.com/" TargetMode="External"/><Relationship Id="rId65" Type="http://schemas.openxmlformats.org/officeDocument/2006/relationships/hyperlink" Target="http://www.catherinesfamilyandyouthservices.org/" TargetMode="External"/><Relationship Id="rId68" Type="http://schemas.openxmlformats.org/officeDocument/2006/relationships/hyperlink" Target="http://www.mercycourt.org/" TargetMode="External"/><Relationship Id="rId67" Type="http://schemas.openxmlformats.org/officeDocument/2006/relationships/hyperlink" Target="http://outcastfoodnetwork.org/support-the-mission/contact/" TargetMode="External"/><Relationship Id="rId729" Type="http://schemas.openxmlformats.org/officeDocument/2006/relationships/hyperlink" Target="http://www.leadingbyexamplellc.com/" TargetMode="External"/><Relationship Id="rId728" Type="http://schemas.openxmlformats.org/officeDocument/2006/relationships/hyperlink" Target="http://theorendacenter.com/" TargetMode="External"/><Relationship Id="rId60" Type="http://schemas.openxmlformats.org/officeDocument/2006/relationships/hyperlink" Target="https://www.yesdropincenter.org/" TargetMode="External"/><Relationship Id="rId723" Type="http://schemas.openxmlformats.org/officeDocument/2006/relationships/hyperlink" Target="https://www.emrcgroup.org/" TargetMode="External"/><Relationship Id="rId965" Type="http://schemas.openxmlformats.org/officeDocument/2006/relationships/hyperlink" Target="http://law.ubalt.edu/" TargetMode="External"/><Relationship Id="rId722" Type="http://schemas.openxmlformats.org/officeDocument/2006/relationships/hyperlink" Target="http://www.courageousdialogue.com/" TargetMode="External"/><Relationship Id="rId964" Type="http://schemas.openxmlformats.org/officeDocument/2006/relationships/hyperlink" Target="http://www.rescue.org/us-program/us-baltimore-md" TargetMode="External"/><Relationship Id="rId721" Type="http://schemas.openxmlformats.org/officeDocument/2006/relationships/hyperlink" Target="http://kinghealthsystems.org/" TargetMode="External"/><Relationship Id="rId963" Type="http://schemas.openxmlformats.org/officeDocument/2006/relationships/hyperlink" Target="https://www.freestate-justice.org/" TargetMode="External"/><Relationship Id="rId720" Type="http://schemas.openxmlformats.org/officeDocument/2006/relationships/hyperlink" Target="http://innovativetherapy.org/" TargetMode="External"/><Relationship Id="rId962" Type="http://schemas.openxmlformats.org/officeDocument/2006/relationships/hyperlink" Target="http://www.ioscbalt.org/" TargetMode="External"/><Relationship Id="rId727" Type="http://schemas.openxmlformats.org/officeDocument/2006/relationships/hyperlink" Target="https://www.emrcgroup.org/" TargetMode="External"/><Relationship Id="rId969" Type="http://schemas.openxmlformats.org/officeDocument/2006/relationships/hyperlink" Target="https://www.mdcrimevictims.org/" TargetMode="External"/><Relationship Id="rId726" Type="http://schemas.openxmlformats.org/officeDocument/2006/relationships/hyperlink" Target="http://projectchesapeake.com/" TargetMode="External"/><Relationship Id="rId968" Type="http://schemas.openxmlformats.org/officeDocument/2006/relationships/hyperlink" Target="http://www.mvlslaw.org/" TargetMode="External"/><Relationship Id="rId725" Type="http://schemas.openxmlformats.org/officeDocument/2006/relationships/hyperlink" Target="https://www.boardofchildcare.org/maryland-outpatient-mental-health-clinic/" TargetMode="External"/><Relationship Id="rId967" Type="http://schemas.openxmlformats.org/officeDocument/2006/relationships/hyperlink" Target="http://www.opd.state.md.us/" TargetMode="External"/><Relationship Id="rId724" Type="http://schemas.openxmlformats.org/officeDocument/2006/relationships/hyperlink" Target="https://lifestance.com/location/millersville-md-8258/?utm_source=gmb&amp;utm_medium=organic&amp;utm_campaign=locations" TargetMode="External"/><Relationship Id="rId966" Type="http://schemas.openxmlformats.org/officeDocument/2006/relationships/hyperlink" Target="http://www.law.umaryland.edu/" TargetMode="External"/><Relationship Id="rId69" Type="http://schemas.openxmlformats.org/officeDocument/2006/relationships/hyperlink" Target="http://wordandpraisefaithministry.com/" TargetMode="External"/><Relationship Id="rId961" Type="http://schemas.openxmlformats.org/officeDocument/2006/relationships/hyperlink" Target="https://communitylaw.org/" TargetMode="External"/><Relationship Id="rId960" Type="http://schemas.openxmlformats.org/officeDocument/2006/relationships/hyperlink" Target="https://www.baltimoreactionlegal.org/contact" TargetMode="External"/><Relationship Id="rId51" Type="http://schemas.openxmlformats.org/officeDocument/2006/relationships/hyperlink" Target="https://www.medstarhealth.org/locations/medstar-harbor-hospital?utm_campaign=mhs_citations&amp;utm_medium=listing&amp;utm_source=citation_management&amp;utm_term=hospital" TargetMode="External"/><Relationship Id="rId50" Type="http://schemas.openxmlformats.org/officeDocument/2006/relationships/hyperlink" Target="https://www.hopkinsmedicine.org/the_johns_hopkins_hospital/?utm_source=Google&amp;utm_medium=Organic&amp;utm_campaign=Yext&amp;utm_content=FAD&amp;utm_keyword=JHH" TargetMode="External"/><Relationship Id="rId53" Type="http://schemas.openxmlformats.org/officeDocument/2006/relationships/hyperlink" Target="http://www.ibrinc.org/" TargetMode="External"/><Relationship Id="rId52" Type="http://schemas.openxmlformats.org/officeDocument/2006/relationships/hyperlink" Target="https://baltimorestation.org/" TargetMode="External"/><Relationship Id="rId55" Type="http://schemas.openxmlformats.org/officeDocument/2006/relationships/hyperlink" Target="https://atjacobswell.org/" TargetMode="External"/><Relationship Id="rId54" Type="http://schemas.openxmlformats.org/officeDocument/2006/relationships/hyperlink" Target="https://www.hebcac.org/deesplace" TargetMode="External"/><Relationship Id="rId57" Type="http://schemas.openxmlformats.org/officeDocument/2006/relationships/hyperlink" Target="http://womenshousing.org/" TargetMode="External"/><Relationship Id="rId56" Type="http://schemas.openxmlformats.org/officeDocument/2006/relationships/hyperlink" Target="https://www.pleasanthousing.com/" TargetMode="External"/><Relationship Id="rId719" Type="http://schemas.openxmlformats.org/officeDocument/2006/relationships/hyperlink" Target="https://childandadultpsychiatry.com/" TargetMode="External"/><Relationship Id="rId718" Type="http://schemas.openxmlformats.org/officeDocument/2006/relationships/hyperlink" Target="https://www.vvvtxs.com/" TargetMode="External"/><Relationship Id="rId717" Type="http://schemas.openxmlformats.org/officeDocument/2006/relationships/hyperlink" Target="https://www.safeharbor1.com/" TargetMode="External"/><Relationship Id="rId959" Type="http://schemas.openxmlformats.org/officeDocument/2006/relationships/hyperlink" Target="https://www.aclu-md.org/" TargetMode="External"/><Relationship Id="rId712" Type="http://schemas.openxmlformats.org/officeDocument/2006/relationships/hyperlink" Target="http://www.nphcinc.com/" TargetMode="External"/><Relationship Id="rId954" Type="http://schemas.openxmlformats.org/officeDocument/2006/relationships/hyperlink" Target="http://www.wlcmd.org/" TargetMode="External"/><Relationship Id="rId711" Type="http://schemas.openxmlformats.org/officeDocument/2006/relationships/hyperlink" Target="http://www.bsfcares.com/" TargetMode="External"/><Relationship Id="rId953" Type="http://schemas.openxmlformats.org/officeDocument/2006/relationships/hyperlink" Target="http://www.opd.state.md.us/" TargetMode="External"/><Relationship Id="rId710" Type="http://schemas.openxmlformats.org/officeDocument/2006/relationships/hyperlink" Target="http://www.thrivebh.com/" TargetMode="External"/><Relationship Id="rId952" Type="http://schemas.openxmlformats.org/officeDocument/2006/relationships/hyperlink" Target="https://cerfplus.org/" TargetMode="External"/><Relationship Id="rId951" Type="http://schemas.openxmlformats.org/officeDocument/2006/relationships/hyperlink" Target="http://www.vetsprobono.org/" TargetMode="External"/><Relationship Id="rId716" Type="http://schemas.openxmlformats.org/officeDocument/2006/relationships/hyperlink" Target="http://csolutionsmh.com/" TargetMode="External"/><Relationship Id="rId958" Type="http://schemas.openxmlformats.org/officeDocument/2006/relationships/hyperlink" Target="http://www.disabilityrightsmd.org/" TargetMode="External"/><Relationship Id="rId715" Type="http://schemas.openxmlformats.org/officeDocument/2006/relationships/hyperlink" Target="http://mmbhs.com/" TargetMode="External"/><Relationship Id="rId957" Type="http://schemas.openxmlformats.org/officeDocument/2006/relationships/hyperlink" Target="https://opd.state.md.us/baltimore-county" TargetMode="External"/><Relationship Id="rId714" Type="http://schemas.openxmlformats.org/officeDocument/2006/relationships/hyperlink" Target="https://www.medstarhealth.org/locations/medstar-montgomery-medical-center?utm_campaign=mhs_citations&amp;utm_medium=listing&amp;utm_source=citation_management&amp;utm_term=hospital" TargetMode="External"/><Relationship Id="rId956" Type="http://schemas.openxmlformats.org/officeDocument/2006/relationships/hyperlink" Target="http://bcba.org/" TargetMode="External"/><Relationship Id="rId713" Type="http://schemas.openxmlformats.org/officeDocument/2006/relationships/hyperlink" Target="https://www.kpcounselingservices.org/visit-us" TargetMode="External"/><Relationship Id="rId955" Type="http://schemas.openxmlformats.org/officeDocument/2006/relationships/hyperlink" Target="https://naacp.org/" TargetMode="External"/><Relationship Id="rId59" Type="http://schemas.openxmlformats.org/officeDocument/2006/relationships/hyperlink" Target="https://www.facebook.com/SPARCWomensCenter/" TargetMode="External"/><Relationship Id="rId58" Type="http://schemas.openxmlformats.org/officeDocument/2006/relationships/hyperlink" Target="https://www.va.gov/baltimore-va-regional-benefit-office/" TargetMode="External"/><Relationship Id="rId950" Type="http://schemas.openxmlformats.org/officeDocument/2006/relationships/hyperlink" Target="https://vva.org/" TargetMode="External"/><Relationship Id="rId590" Type="http://schemas.openxmlformats.org/officeDocument/2006/relationships/hyperlink" Target="https://highhopesllc.org/about/" TargetMode="External"/><Relationship Id="rId107" Type="http://schemas.openxmlformats.org/officeDocument/2006/relationships/hyperlink" Target="http://mygsbaltimore.org/" TargetMode="External"/><Relationship Id="rId349" Type="http://schemas.openxmlformats.org/officeDocument/2006/relationships/hyperlink" Target="https://www.lakewoodapthomes.com/?utm_knock=g" TargetMode="External"/><Relationship Id="rId106" Type="http://schemas.openxmlformats.org/officeDocument/2006/relationships/hyperlink" Target="http://lifesourcechurches.com/" TargetMode="External"/><Relationship Id="rId348" Type="http://schemas.openxmlformats.org/officeDocument/2006/relationships/hyperlink" Target="https://www.kingdomelementsadultday.com/contact" TargetMode="External"/><Relationship Id="rId105" Type="http://schemas.openxmlformats.org/officeDocument/2006/relationships/hyperlink" Target="https://www.holy-nativity.com/" TargetMode="External"/><Relationship Id="rId347" Type="http://schemas.openxmlformats.org/officeDocument/2006/relationships/hyperlink" Target="http://kingdavidrehab.com/" TargetMode="External"/><Relationship Id="rId589" Type="http://schemas.openxmlformats.org/officeDocument/2006/relationships/hyperlink" Target="http://www.deborahsplacemd.org/" TargetMode="External"/><Relationship Id="rId104" Type="http://schemas.openxmlformats.org/officeDocument/2006/relationships/hyperlink" Target="http://catonsvillehelp.org/" TargetMode="External"/><Relationship Id="rId346" Type="http://schemas.openxmlformats.org/officeDocument/2006/relationships/hyperlink" Target="http://www.keypoint.org/" TargetMode="External"/><Relationship Id="rId588" Type="http://schemas.openxmlformats.org/officeDocument/2006/relationships/hyperlink" Target="http://www.pressleyridge.org/" TargetMode="External"/><Relationship Id="rId109" Type="http://schemas.openxmlformats.org/officeDocument/2006/relationships/hyperlink" Target="http://transformationcenter.tc/" TargetMode="External"/><Relationship Id="rId1170" Type="http://schemas.openxmlformats.org/officeDocument/2006/relationships/hyperlink" Target="https://hopeshorizon.com/" TargetMode="External"/><Relationship Id="rId108" Type="http://schemas.openxmlformats.org/officeDocument/2006/relationships/hyperlink" Target="http://cityofrefugebaltimore.org/" TargetMode="External"/><Relationship Id="rId1171" Type="http://schemas.openxmlformats.org/officeDocument/2006/relationships/hyperlink" Target="http://www.bornfreewellness.com/" TargetMode="External"/><Relationship Id="rId341" Type="http://schemas.openxmlformats.org/officeDocument/2006/relationships/hyperlink" Target="http://www.peabody.jhu.edu/" TargetMode="External"/><Relationship Id="rId583" Type="http://schemas.openxmlformats.org/officeDocument/2006/relationships/hyperlink" Target="http://www.linwoodcenter.org/" TargetMode="External"/><Relationship Id="rId1172" Type="http://schemas.openxmlformats.org/officeDocument/2006/relationships/hyperlink" Target="http://www.serenityllc.net/" TargetMode="External"/><Relationship Id="rId340" Type="http://schemas.openxmlformats.org/officeDocument/2006/relationships/hyperlink" Target="https://www.jhu.edu/maps-directions/campus-map/" TargetMode="External"/><Relationship Id="rId582" Type="http://schemas.openxmlformats.org/officeDocument/2006/relationships/hyperlink" Target="http://www.baltimorecountymd.gov/agencies/aging/index.html" TargetMode="External"/><Relationship Id="rId1173" Type="http://schemas.openxmlformats.org/officeDocument/2006/relationships/hyperlink" Target="http://www.hillcrest-dc.org/" TargetMode="External"/><Relationship Id="rId581" Type="http://schemas.openxmlformats.org/officeDocument/2006/relationships/hyperlink" Target="https://www.sheppardpratt.org/locations-directions/details/sheppard-pratt-towson-campus/" TargetMode="External"/><Relationship Id="rId1174" Type="http://schemas.openxmlformats.org/officeDocument/2006/relationships/hyperlink" Target="https://www.bhgrecovery.com/locations/hagerstown" TargetMode="External"/><Relationship Id="rId580" Type="http://schemas.openxmlformats.org/officeDocument/2006/relationships/hyperlink" Target="http://www.chrysalishouses.org/ch-healthy-start" TargetMode="External"/><Relationship Id="rId1175" Type="http://schemas.openxmlformats.org/officeDocument/2006/relationships/hyperlink" Target="http://www.gatewaymaryland.org/" TargetMode="External"/><Relationship Id="rId103" Type="http://schemas.openxmlformats.org/officeDocument/2006/relationships/hyperlink" Target="http://www.canconnects.org/" TargetMode="External"/><Relationship Id="rId345" Type="http://schemas.openxmlformats.org/officeDocument/2006/relationships/hyperlink" Target="https://choosekeswick.org/" TargetMode="External"/><Relationship Id="rId587" Type="http://schemas.openxmlformats.org/officeDocument/2006/relationships/hyperlink" Target="http://beechwoodassistedliving.com/" TargetMode="External"/><Relationship Id="rId1176" Type="http://schemas.openxmlformats.org/officeDocument/2006/relationships/hyperlink" Target="http://www.equipforchildren.org/" TargetMode="External"/><Relationship Id="rId102" Type="http://schemas.openxmlformats.org/officeDocument/2006/relationships/hyperlink" Target="https://mountoliveumcmd.org/loaves-and-fishes/" TargetMode="External"/><Relationship Id="rId344" Type="http://schemas.openxmlformats.org/officeDocument/2006/relationships/hyperlink" Target="https://www.catholiccharities-md.org/services/senior-communities/" TargetMode="External"/><Relationship Id="rId586" Type="http://schemas.openxmlformats.org/officeDocument/2006/relationships/hyperlink" Target="http://www.probonomd.org/" TargetMode="External"/><Relationship Id="rId1177" Type="http://schemas.openxmlformats.org/officeDocument/2006/relationships/drawing" Target="../drawings/drawing1.xml"/><Relationship Id="rId101" Type="http://schemas.openxmlformats.org/officeDocument/2006/relationships/hyperlink" Target="https://www.jesushousebaltimore.org/portfolio-item/event1/" TargetMode="External"/><Relationship Id="rId343" Type="http://schemas.openxmlformats.org/officeDocument/2006/relationships/hyperlink" Target="http://www.joyousassistedliving.org/" TargetMode="External"/><Relationship Id="rId585" Type="http://schemas.openxmlformats.org/officeDocument/2006/relationships/hyperlink" Target="https://www.baltimorecountymd.gov/departments/social-services/" TargetMode="External"/><Relationship Id="rId100" Type="http://schemas.openxmlformats.org/officeDocument/2006/relationships/hyperlink" Target="http://www.the-good-shepherd.org/" TargetMode="External"/><Relationship Id="rId342" Type="http://schemas.openxmlformats.org/officeDocument/2006/relationships/hyperlink" Target="http://www.preservationmanagement.com/" TargetMode="External"/><Relationship Id="rId584" Type="http://schemas.openxmlformats.org/officeDocument/2006/relationships/hyperlink" Target="https://newvisionhouseofhope.org/" TargetMode="External"/><Relationship Id="rId1169" Type="http://schemas.openxmlformats.org/officeDocument/2006/relationships/hyperlink" Target="https://www.marylandaddictionrecovery.com/" TargetMode="External"/><Relationship Id="rId338" Type="http://schemas.openxmlformats.org/officeDocument/2006/relationships/hyperlink" Target="http://www.jaimedicalcenter.com/" TargetMode="External"/><Relationship Id="rId337" Type="http://schemas.openxmlformats.org/officeDocument/2006/relationships/hyperlink" Target="https://www.baltimorecountymd.gov/departments/aging/centers/jacksonville/" TargetMode="External"/><Relationship Id="rId579" Type="http://schemas.openxmlformats.org/officeDocument/2006/relationships/hyperlink" Target="https://lighthouseellicottcity.com/" TargetMode="External"/><Relationship Id="rId336" Type="http://schemas.openxmlformats.org/officeDocument/2006/relationships/hyperlink" Target="https://www.jlcareenterprise-homeagainii.com/" TargetMode="External"/><Relationship Id="rId578" Type="http://schemas.openxmlformats.org/officeDocument/2006/relationships/hyperlink" Target="https://www.whiteoakvillages.com/?utm_source=omg-gbp&amp;utm_medium=webclick" TargetMode="External"/><Relationship Id="rId335" Type="http://schemas.openxmlformats.org/officeDocument/2006/relationships/hyperlink" Target="http://thefrenchcompanies.com/?page_id=444" TargetMode="External"/><Relationship Id="rId577" Type="http://schemas.openxmlformats.org/officeDocument/2006/relationships/hyperlink" Target="http://www.cambridge-housing.org/" TargetMode="External"/><Relationship Id="rId339" Type="http://schemas.openxmlformats.org/officeDocument/2006/relationships/hyperlink" Target="http://www.jemicyschool.org/" TargetMode="External"/><Relationship Id="rId1160" Type="http://schemas.openxmlformats.org/officeDocument/2006/relationships/hyperlink" Target="http://www.trrcmd.org/" TargetMode="External"/><Relationship Id="rId330" Type="http://schemas.openxmlformats.org/officeDocument/2006/relationships/hyperlink" Target="http://www.hopehealthsystems.com/" TargetMode="External"/><Relationship Id="rId572" Type="http://schemas.openxmlformats.org/officeDocument/2006/relationships/hyperlink" Target="https://www.victoryhousing.org/victory-woods/?utm_source=GMB&amp;utm_medium=GMB&amp;utm_campaign=GMB" TargetMode="External"/><Relationship Id="rId1161" Type="http://schemas.openxmlformats.org/officeDocument/2006/relationships/hyperlink" Target="http://www.greatstrides.org/" TargetMode="External"/><Relationship Id="rId571" Type="http://schemas.openxmlformats.org/officeDocument/2006/relationships/hyperlink" Target="https://solomonssnf.com/the-hermitage-assisted-living/" TargetMode="External"/><Relationship Id="rId1162" Type="http://schemas.openxmlformats.org/officeDocument/2006/relationships/hyperlink" Target="http://www.horsesthatheal.org/" TargetMode="External"/><Relationship Id="rId570" Type="http://schemas.openxmlformats.org/officeDocument/2006/relationships/hyperlink" Target="http://www.charhall.org/" TargetMode="External"/><Relationship Id="rId1163" Type="http://schemas.openxmlformats.org/officeDocument/2006/relationships/hyperlink" Target="http://www.vesta.org/?utm_source=google&amp;utm_medium=wix_google_business_profile&amp;utm_campaign=18419168553630854753" TargetMode="External"/><Relationship Id="rId1164" Type="http://schemas.openxmlformats.org/officeDocument/2006/relationships/hyperlink" Target="http://petsonwheels.org/" TargetMode="External"/><Relationship Id="rId334" Type="http://schemas.openxmlformats.org/officeDocument/2006/relationships/hyperlink" Target="https://inspired-joy.com/" TargetMode="External"/><Relationship Id="rId576" Type="http://schemas.openxmlformats.org/officeDocument/2006/relationships/hyperlink" Target="https://www.diakon.org/frostburg-heights/" TargetMode="External"/><Relationship Id="rId1165" Type="http://schemas.openxmlformats.org/officeDocument/2006/relationships/hyperlink" Target="http://www.gaudenzia.org/" TargetMode="External"/><Relationship Id="rId333" Type="http://schemas.openxmlformats.org/officeDocument/2006/relationships/hyperlink" Target="https://inspired-joy.com/" TargetMode="External"/><Relationship Id="rId575" Type="http://schemas.openxmlformats.org/officeDocument/2006/relationships/hyperlink" Target="http://www.cg-living.com/" TargetMode="External"/><Relationship Id="rId1166" Type="http://schemas.openxmlformats.org/officeDocument/2006/relationships/hyperlink" Target="http://www.rightturnimpact.com/" TargetMode="External"/><Relationship Id="rId332" Type="http://schemas.openxmlformats.org/officeDocument/2006/relationships/hyperlink" Target="http://www.thefrenchcompanies.com/indecco" TargetMode="External"/><Relationship Id="rId574" Type="http://schemas.openxmlformats.org/officeDocument/2006/relationships/hyperlink" Target="https://www.hudsonhealth.org/" TargetMode="External"/><Relationship Id="rId1167" Type="http://schemas.openxmlformats.org/officeDocument/2006/relationships/hyperlink" Target="https://www.crossroadscenterfrederick.com/" TargetMode="External"/><Relationship Id="rId331" Type="http://schemas.openxmlformats.org/officeDocument/2006/relationships/hyperlink" Target="https://www.hopkinsmedicine.org/johns-hopkins-bayview/medical-services/hopkins-elderplus" TargetMode="External"/><Relationship Id="rId573" Type="http://schemas.openxmlformats.org/officeDocument/2006/relationships/hyperlink" Target="https://www.livegatewayvillage.com/" TargetMode="External"/><Relationship Id="rId1168" Type="http://schemas.openxmlformats.org/officeDocument/2006/relationships/hyperlink" Target="http://www.evalifegiver.org/" TargetMode="External"/><Relationship Id="rId370" Type="http://schemas.openxmlformats.org/officeDocument/2006/relationships/hyperlink" Target="https://www.medstarhealth.org/locations/medstar-union-memorial-hospital?utm_campaign=mhs_citations&amp;utm_medium=listing&amp;utm_source=citation_management&amp;utm_term=hospital" TargetMode="External"/><Relationship Id="rId129" Type="http://schemas.openxmlformats.org/officeDocument/2006/relationships/hyperlink" Target="http://www.saintjoseph.cc/" TargetMode="External"/><Relationship Id="rId128" Type="http://schemas.openxmlformats.org/officeDocument/2006/relationships/hyperlink" Target="http://epicentercc.org/" TargetMode="External"/><Relationship Id="rId127" Type="http://schemas.openxmlformats.org/officeDocument/2006/relationships/hyperlink" Target="https://www.celestialmanna.org/" TargetMode="External"/><Relationship Id="rId369" Type="http://schemas.openxmlformats.org/officeDocument/2006/relationships/hyperlink" Target="https://www.medstarhealth.org/locations/medstar-good-samaritan-hospital?utm_campaign=mhs_citations&amp;utm_medium=listing&amp;utm_source=citation_management&amp;utm_term=hospital" TargetMode="External"/><Relationship Id="rId126" Type="http://schemas.openxmlformats.org/officeDocument/2006/relationships/hyperlink" Target="https://wesleyfreedom.org/south-carroll-food-pantry-and-feed-my-sheep/" TargetMode="External"/><Relationship Id="rId368" Type="http://schemas.openxmlformats.org/officeDocument/2006/relationships/hyperlink" Target="https://www.medstarhealth.org/locations/medstar-franklin-square-medical-center?utm_campaign=mhs_citations&amp;utm_medium=listing&amp;utm_source=citation_management&amp;utm_term=hospital" TargetMode="External"/><Relationship Id="rId121" Type="http://schemas.openxmlformats.org/officeDocument/2006/relationships/hyperlink" Target="http://www.tabithashouse.org/" TargetMode="External"/><Relationship Id="rId363" Type="http://schemas.openxmlformats.org/officeDocument/2006/relationships/hyperlink" Target="http://mainstreetmentalhealthinc.org/" TargetMode="External"/><Relationship Id="rId120" Type="http://schemas.openxmlformats.org/officeDocument/2006/relationships/hyperlink" Target="https://www.heritage-cc.org/" TargetMode="External"/><Relationship Id="rId362" Type="http://schemas.openxmlformats.org/officeDocument/2006/relationships/hyperlink" Target="https://mabelshousealf.com/" TargetMode="External"/><Relationship Id="rId361" Type="http://schemas.openxmlformats.org/officeDocument/2006/relationships/hyperlink" Target="http://www.lchaimdayprogram.com/" TargetMode="External"/><Relationship Id="rId360" Type="http://schemas.openxmlformats.org/officeDocument/2006/relationships/hyperlink" Target="http://www.luxehomeparkville.com/" TargetMode="External"/><Relationship Id="rId125" Type="http://schemas.openxmlformats.org/officeDocument/2006/relationships/hyperlink" Target="https://ymaryland.org/locations/pasadenay" TargetMode="External"/><Relationship Id="rId367" Type="http://schemas.openxmlformats.org/officeDocument/2006/relationships/hyperlink" Target="https://meadowparkrehabhc.com/?utm_source=google&amp;utm_medium=organic&amp;utm_campaign=gmb&amp;utm_content=main_button" TargetMode="External"/><Relationship Id="rId124" Type="http://schemas.openxmlformats.org/officeDocument/2006/relationships/hyperlink" Target="http://harfordcaa.org/" TargetMode="External"/><Relationship Id="rId366" Type="http://schemas.openxmlformats.org/officeDocument/2006/relationships/hyperlink" Target="https://www.marylandschoolfortheblind.org/" TargetMode="External"/><Relationship Id="rId123" Type="http://schemas.openxmlformats.org/officeDocument/2006/relationships/hyperlink" Target="https://www.cac-hc.org/programs-services/food-assistance/" TargetMode="External"/><Relationship Id="rId365" Type="http://schemas.openxmlformats.org/officeDocument/2006/relationships/hyperlink" Target="http://mdmasonichomes.com/" TargetMode="External"/><Relationship Id="rId122" Type="http://schemas.openxmlformats.org/officeDocument/2006/relationships/hyperlink" Target="http://trinityjoppa.org/" TargetMode="External"/><Relationship Id="rId364" Type="http://schemas.openxmlformats.org/officeDocument/2006/relationships/hyperlink" Target="https://st-residential.com/marlborough-apartments" TargetMode="External"/><Relationship Id="rId95" Type="http://schemas.openxmlformats.org/officeDocument/2006/relationships/hyperlink" Target="https://icnarelief.org/maryland/" TargetMode="External"/><Relationship Id="rId94" Type="http://schemas.openxmlformats.org/officeDocument/2006/relationships/hyperlink" Target="https://stillmeadowcommunity.squarespace.com/food-pantry" TargetMode="External"/><Relationship Id="rId97" Type="http://schemas.openxmlformats.org/officeDocument/2006/relationships/hyperlink" Target="https://stfrancismd.org/" TargetMode="External"/><Relationship Id="rId96" Type="http://schemas.openxmlformats.org/officeDocument/2006/relationships/hyperlink" Target="http://www.woodlawnpark.org/" TargetMode="External"/><Relationship Id="rId99" Type="http://schemas.openxmlformats.org/officeDocument/2006/relationships/hyperlink" Target="https://olvictory.org/olv-food-pantry" TargetMode="External"/><Relationship Id="rId98" Type="http://schemas.openxmlformats.org/officeDocument/2006/relationships/hyperlink" Target="http://deafshalomzone.org/" TargetMode="External"/><Relationship Id="rId91" Type="http://schemas.openxmlformats.org/officeDocument/2006/relationships/hyperlink" Target="https://www.ncianet.org/" TargetMode="External"/><Relationship Id="rId90" Type="http://schemas.openxmlformats.org/officeDocument/2006/relationships/hyperlink" Target="https://www.va.gov/baltimore-vet-center/" TargetMode="External"/><Relationship Id="rId93" Type="http://schemas.openxmlformats.org/officeDocument/2006/relationships/hyperlink" Target="https://thesoulharvestchurch.org/" TargetMode="External"/><Relationship Id="rId92" Type="http://schemas.openxmlformats.org/officeDocument/2006/relationships/hyperlink" Target="http://www.marianhouse.org/" TargetMode="External"/><Relationship Id="rId118" Type="http://schemas.openxmlformats.org/officeDocument/2006/relationships/hyperlink" Target="http://www.fcfaglobal.org/" TargetMode="External"/><Relationship Id="rId117" Type="http://schemas.openxmlformats.org/officeDocument/2006/relationships/hyperlink" Target="https://www.bridgeway.cc/outreach/" TargetMode="External"/><Relationship Id="rId359" Type="http://schemas.openxmlformats.org/officeDocument/2006/relationships/hyperlink" Target="https://www.lorienhealth.com/locations/mays-chapel?utm_source=gmb&amp;utm_medium=organic&amp;utm_campaign=mays-chapel" TargetMode="External"/><Relationship Id="rId116" Type="http://schemas.openxmlformats.org/officeDocument/2006/relationships/hyperlink" Target="http://rumcweb.org/serve/food-pantry/" TargetMode="External"/><Relationship Id="rId358" Type="http://schemas.openxmlformats.org/officeDocument/2006/relationships/hyperlink" Target="http://www.littlesistersofthepoorbaltimore.org/" TargetMode="External"/><Relationship Id="rId115" Type="http://schemas.openxmlformats.org/officeDocument/2006/relationships/hyperlink" Target="http://www.communitycrisiscenterinc.org/" TargetMode="External"/><Relationship Id="rId357" Type="http://schemas.openxmlformats.org/officeDocument/2006/relationships/hyperlink" Target="http://www.seniorlivingbaltimoremd.com/" TargetMode="External"/><Relationship Id="rId599" Type="http://schemas.openxmlformats.org/officeDocument/2006/relationships/hyperlink" Target="http://www.penn-mar.org/" TargetMode="External"/><Relationship Id="rId119" Type="http://schemas.openxmlformats.org/officeDocument/2006/relationships/hyperlink" Target="https://www.edgemerechurch.com/" TargetMode="External"/><Relationship Id="rId110" Type="http://schemas.openxmlformats.org/officeDocument/2006/relationships/hyperlink" Target="http://www.rosedalebaptist.org/" TargetMode="External"/><Relationship Id="rId352" Type="http://schemas.openxmlformats.org/officeDocument/2006/relationships/hyperlink" Target="https://www.bonsecours.com/locations/community-services/baltimore/bon-secours-liberty-village" TargetMode="External"/><Relationship Id="rId594" Type="http://schemas.openxmlformats.org/officeDocument/2006/relationships/hyperlink" Target="http://www.emergeinc.org/" TargetMode="External"/><Relationship Id="rId351" Type="http://schemas.openxmlformats.org/officeDocument/2006/relationships/hyperlink" Target="https://www.lifebridgehealth.org/locations/levindale" TargetMode="External"/><Relationship Id="rId593" Type="http://schemas.openxmlformats.org/officeDocument/2006/relationships/hyperlink" Target="https://www.sheppardpratt.org/locations-directions/details/outpatient-mental-health-center-baltimore/" TargetMode="External"/><Relationship Id="rId350" Type="http://schemas.openxmlformats.org/officeDocument/2006/relationships/hyperlink" Target="https://www.lowincomehousing.us/det/21231_lemko-community" TargetMode="External"/><Relationship Id="rId592" Type="http://schemas.openxmlformats.org/officeDocument/2006/relationships/hyperlink" Target="https://www.sheppardpratt.org/locations-directions/details/outpatient-mental-health-center-columbia/" TargetMode="External"/><Relationship Id="rId591" Type="http://schemas.openxmlformats.org/officeDocument/2006/relationships/hyperlink" Target="http://facebaltimore.org/" TargetMode="External"/><Relationship Id="rId114" Type="http://schemas.openxmlformats.org/officeDocument/2006/relationships/hyperlink" Target="http://www.bridgeway.cc/" TargetMode="External"/><Relationship Id="rId356" Type="http://schemas.openxmlformats.org/officeDocument/2006/relationships/hyperlink" Target="https://lighthousehopkinscreek.com/" TargetMode="External"/><Relationship Id="rId598" Type="http://schemas.openxmlformats.org/officeDocument/2006/relationships/hyperlink" Target="http://philemonministry.org/" TargetMode="External"/><Relationship Id="rId113" Type="http://schemas.openxmlformats.org/officeDocument/2006/relationships/hyperlink" Target="https://lovethyneighborfoodpantry.us/?utm_campaign=gmb" TargetMode="External"/><Relationship Id="rId355" Type="http://schemas.openxmlformats.org/officeDocument/2006/relationships/hyperlink" Target="https://www.prattlibrary.org/locations/light-street" TargetMode="External"/><Relationship Id="rId597" Type="http://schemas.openxmlformats.org/officeDocument/2006/relationships/hyperlink" Target="http://www.habitatchesapeake.org/" TargetMode="External"/><Relationship Id="rId112" Type="http://schemas.openxmlformats.org/officeDocument/2006/relationships/hyperlink" Target="http://www.vvbcministries.com/" TargetMode="External"/><Relationship Id="rId354" Type="http://schemas.openxmlformats.org/officeDocument/2006/relationships/hyperlink" Target="https://www.lifespringassistedliving.com/" TargetMode="External"/><Relationship Id="rId596" Type="http://schemas.openxmlformats.org/officeDocument/2006/relationships/hyperlink" Target="https://www.hud.gov/" TargetMode="External"/><Relationship Id="rId111" Type="http://schemas.openxmlformats.org/officeDocument/2006/relationships/hyperlink" Target="http://www.stjohnsofessex.org/" TargetMode="External"/><Relationship Id="rId353" Type="http://schemas.openxmlformats.org/officeDocument/2006/relationships/hyperlink" Target="https://www.prattlibrary.org/locations/southeast-anchor" TargetMode="External"/><Relationship Id="rId595" Type="http://schemas.openxmlformats.org/officeDocument/2006/relationships/hyperlink" Target="https://www.stambros.org/" TargetMode="External"/><Relationship Id="rId1136" Type="http://schemas.openxmlformats.org/officeDocument/2006/relationships/hyperlink" Target="https://universalprocare.org/" TargetMode="External"/><Relationship Id="rId1137" Type="http://schemas.openxmlformats.org/officeDocument/2006/relationships/hyperlink" Target="https://www.honeywellhealthcare.com/" TargetMode="External"/><Relationship Id="rId1138" Type="http://schemas.openxmlformats.org/officeDocument/2006/relationships/hyperlink" Target="https://www.myseniorcareathome.com/" TargetMode="External"/><Relationship Id="rId1139" Type="http://schemas.openxmlformats.org/officeDocument/2006/relationships/hyperlink" Target="https://apluspersonalhomecare.com/?utm_GBP" TargetMode="External"/><Relationship Id="rId305" Type="http://schemas.openxmlformats.org/officeDocument/2006/relationships/hyperlink" Target="http://www.advanceadultdaycare.com/" TargetMode="External"/><Relationship Id="rId547" Type="http://schemas.openxmlformats.org/officeDocument/2006/relationships/hyperlink" Target="https://www.transitionshealthcarellc.com/oakland-manor" TargetMode="External"/><Relationship Id="rId789" Type="http://schemas.openxmlformats.org/officeDocument/2006/relationships/hyperlink" Target="http://www.innersourcedsolutions.com/?utm_source=google&amp;utm_medium=wix_google_business_profile&amp;utm_campaign=1598677979305078151" TargetMode="External"/><Relationship Id="rId304" Type="http://schemas.openxmlformats.org/officeDocument/2006/relationships/hyperlink" Target="http://www.frederickvillahcr.com/" TargetMode="External"/><Relationship Id="rId546" Type="http://schemas.openxmlformats.org/officeDocument/2006/relationships/hyperlink" Target="https://www.familycrisiscenter.net/" TargetMode="External"/><Relationship Id="rId788" Type="http://schemas.openxmlformats.org/officeDocument/2006/relationships/hyperlink" Target="http://www.projectchesapeake.com/" TargetMode="External"/><Relationship Id="rId303" Type="http://schemas.openxmlformats.org/officeDocument/2006/relationships/hyperlink" Target="http://www.genesishcc.com/FranklinWoods" TargetMode="External"/><Relationship Id="rId545" Type="http://schemas.openxmlformats.org/officeDocument/2006/relationships/hyperlink" Target="https://www.cityofrefugebaltimore.org/" TargetMode="External"/><Relationship Id="rId787" Type="http://schemas.openxmlformats.org/officeDocument/2006/relationships/hyperlink" Target="http://www.projectchesapeake.com/" TargetMode="External"/><Relationship Id="rId302" Type="http://schemas.openxmlformats.org/officeDocument/2006/relationships/hyperlink" Target="https://www.frankelderlaw.com/?npcmp=dir:local:2132472:21209" TargetMode="External"/><Relationship Id="rId544" Type="http://schemas.openxmlformats.org/officeDocument/2006/relationships/hyperlink" Target="https://baltimorerescuemission.org/" TargetMode="External"/><Relationship Id="rId786" Type="http://schemas.openxmlformats.org/officeDocument/2006/relationships/hyperlink" Target="https://www.medstarhealth.org/locations/medstar-southern-maryland-hospital-center?utm_campaign=mhs_citations&amp;utm_medium=listing&amp;utm_source=citation_management&amp;utm_term=hospital" TargetMode="External"/><Relationship Id="rId309" Type="http://schemas.openxmlformats.org/officeDocument/2006/relationships/hyperlink" Target="https://www.goldendayscenter.com/" TargetMode="External"/><Relationship Id="rId308" Type="http://schemas.openxmlformats.org/officeDocument/2006/relationships/hyperlink" Target="https://www.presbyterianseniorliving.org/glen-meadows-retirement-community" TargetMode="External"/><Relationship Id="rId307" Type="http://schemas.openxmlformats.org/officeDocument/2006/relationships/hyperlink" Target="https://www.library.jhu.edu/library-hours/george-peabody-library/" TargetMode="External"/><Relationship Id="rId549" Type="http://schemas.openxmlformats.org/officeDocument/2006/relationships/hyperlink" Target="https://bellomachre.org/" TargetMode="External"/><Relationship Id="rId306" Type="http://schemas.openxmlformats.org/officeDocument/2006/relationships/hyperlink" Target="http://www.advanceadultdaycare.com/" TargetMode="External"/><Relationship Id="rId548" Type="http://schemas.openxmlformats.org/officeDocument/2006/relationships/hyperlink" Target="http://www.vincentbaltimore.org/" TargetMode="External"/><Relationship Id="rId781" Type="http://schemas.openxmlformats.org/officeDocument/2006/relationships/hyperlink" Target="https://www.emrcgroup.org/" TargetMode="External"/><Relationship Id="rId780" Type="http://schemas.openxmlformats.org/officeDocument/2006/relationships/hyperlink" Target="https://www.kirstinshaven.org/" TargetMode="External"/><Relationship Id="rId1130" Type="http://schemas.openxmlformats.org/officeDocument/2006/relationships/hyperlink" Target="https://www.adventisthealthcare.com/locations/profile/shady-grove-medical-center/?utm_source=local-listing&amp;utm_medium=organic&amp;utm_campaign=website-link" TargetMode="External"/><Relationship Id="rId1131" Type="http://schemas.openxmlformats.org/officeDocument/2006/relationships/hyperlink" Target="https://www.hopkinsmedicine.org/suburban_hospital/?utm_source=Google&amp;utm_medium=Organic&amp;utm_campaign=Yext&amp;utm_content=FAD&amp;utm_keyword=SUB" TargetMode="External"/><Relationship Id="rId301" Type="http://schemas.openxmlformats.org/officeDocument/2006/relationships/hyperlink" Target="https://www.prattlibrary.org/locations/forest-park" TargetMode="External"/><Relationship Id="rId543" Type="http://schemas.openxmlformats.org/officeDocument/2006/relationships/hyperlink" Target="http://www.helpingupmission.org/" TargetMode="External"/><Relationship Id="rId785" Type="http://schemas.openxmlformats.org/officeDocument/2006/relationships/hyperlink" Target="https://www.va.gov/" TargetMode="External"/><Relationship Id="rId1132" Type="http://schemas.openxmlformats.org/officeDocument/2006/relationships/hyperlink" Target="https://www.adventisthealthcare.com/locations/profile/fort-washington-medical-center/?utm_source=local-listing&amp;utm_medium=organic&amp;utm_campaign=website-link" TargetMode="External"/><Relationship Id="rId300" Type="http://schemas.openxmlformats.org/officeDocument/2006/relationships/hyperlink" Target="http://www.foresthavennursingcenter.com/" TargetMode="External"/><Relationship Id="rId542" Type="http://schemas.openxmlformats.org/officeDocument/2006/relationships/hyperlink" Target="http://www.mcvet.org/" TargetMode="External"/><Relationship Id="rId784" Type="http://schemas.openxmlformats.org/officeDocument/2006/relationships/hyperlink" Target="http://ktsmentalhealth.com/" TargetMode="External"/><Relationship Id="rId1133" Type="http://schemas.openxmlformats.org/officeDocument/2006/relationships/hyperlink" Target="https://www.tidalhealth.org/our-locations/tidalhealth-nanticoke" TargetMode="External"/><Relationship Id="rId541" Type="http://schemas.openxmlformats.org/officeDocument/2006/relationships/hyperlink" Target="http://www.catholiccharities-md.org/" TargetMode="External"/><Relationship Id="rId783" Type="http://schemas.openxmlformats.org/officeDocument/2006/relationships/hyperlink" Target="https://www.sheppardpratt.org/locations-directions/details/outpatient-mental-health-center-hagerstown/" TargetMode="External"/><Relationship Id="rId1134" Type="http://schemas.openxmlformats.org/officeDocument/2006/relationships/hyperlink" Target="https://www.tidalhealth.org/" TargetMode="External"/><Relationship Id="rId540" Type="http://schemas.openxmlformats.org/officeDocument/2006/relationships/hyperlink" Target="http://www.hruth.org/" TargetMode="External"/><Relationship Id="rId782" Type="http://schemas.openxmlformats.org/officeDocument/2006/relationships/hyperlink" Target="https://www.allthatstherapeutic.com/" TargetMode="External"/><Relationship Id="rId1135" Type="http://schemas.openxmlformats.org/officeDocument/2006/relationships/hyperlink" Target="http://www.atlanticgeneral.org/" TargetMode="External"/><Relationship Id="rId1125" Type="http://schemas.openxmlformats.org/officeDocument/2006/relationships/hyperlink" Target="http://www.missingkids.com/" TargetMode="External"/><Relationship Id="rId1126" Type="http://schemas.openxmlformats.org/officeDocument/2006/relationships/hyperlink" Target="http://www.lahconsultations.com/" TargetMode="External"/><Relationship Id="rId1127" Type="http://schemas.openxmlformats.org/officeDocument/2006/relationships/hyperlink" Target="https://www.hopkinsmedicine.org/patient-care/locations/the-david-m-rubenstein-child-health-building" TargetMode="External"/><Relationship Id="rId1128" Type="http://schemas.openxmlformats.org/officeDocument/2006/relationships/hyperlink" Target="https://www.umms.org/bwmc/locations/um-baltimore-washington-medical-center" TargetMode="External"/><Relationship Id="rId1129" Type="http://schemas.openxmlformats.org/officeDocument/2006/relationships/hyperlink" Target="https://www.adventisthealthcare.com/locations/profile/white-oak-medical-center/?utm_source=local-listing&amp;utm_medium=organic&amp;utm_campaign=website-link" TargetMode="External"/><Relationship Id="rId536" Type="http://schemas.openxmlformats.org/officeDocument/2006/relationships/hyperlink" Target="https://www.baltimorecountymd.gov/departments/aging/centers/woodlawn.html" TargetMode="External"/><Relationship Id="rId778" Type="http://schemas.openxmlformats.org/officeDocument/2006/relationships/hyperlink" Target="https://www.melwood.org/" TargetMode="External"/><Relationship Id="rId535" Type="http://schemas.openxmlformats.org/officeDocument/2006/relationships/hyperlink" Target="http://westminsterhouseapts.com/" TargetMode="External"/><Relationship Id="rId777" Type="http://schemas.openxmlformats.org/officeDocument/2006/relationships/hyperlink" Target="http://changinglivesservices.com/" TargetMode="External"/><Relationship Id="rId534" Type="http://schemas.openxmlformats.org/officeDocument/2006/relationships/hyperlink" Target="https://westgatehillshc.com/?utm_source=google&amp;utm_medium=organic&amp;utm_campaign=gmb&amp;utm_content=main_button" TargetMode="External"/><Relationship Id="rId776" Type="http://schemas.openxmlformats.org/officeDocument/2006/relationships/hyperlink" Target="https://discoveringserenity.com/contact-us" TargetMode="External"/><Relationship Id="rId533" Type="http://schemas.openxmlformats.org/officeDocument/2006/relationships/hyperlink" Target="http://www.westfieldassist.com/" TargetMode="External"/><Relationship Id="rId775" Type="http://schemas.openxmlformats.org/officeDocument/2006/relationships/hyperlink" Target="http://www.dxtservices.com/" TargetMode="External"/><Relationship Id="rId539" Type="http://schemas.openxmlformats.org/officeDocument/2006/relationships/hyperlink" Target="https://rockcitychurch.com/" TargetMode="External"/><Relationship Id="rId538" Type="http://schemas.openxmlformats.org/officeDocument/2006/relationships/hyperlink" Target="http://www.timeorganization.org/" TargetMode="External"/><Relationship Id="rId537" Type="http://schemas.openxmlformats.org/officeDocument/2006/relationships/hyperlink" Target="https://shpmanagement.com/property/zion-towers/" TargetMode="External"/><Relationship Id="rId779" Type="http://schemas.openxmlformats.org/officeDocument/2006/relationships/hyperlink" Target="https://www.compassionatewc.com/" TargetMode="External"/><Relationship Id="rId770" Type="http://schemas.openxmlformats.org/officeDocument/2006/relationships/hyperlink" Target="https://prestigewecare.com/" TargetMode="External"/><Relationship Id="rId1120" Type="http://schemas.openxmlformats.org/officeDocument/2006/relationships/hyperlink" Target="http://marylandfamilynetwork.org/" TargetMode="External"/><Relationship Id="rId532" Type="http://schemas.openxmlformats.org/officeDocument/2006/relationships/hyperlink" Target="https://wfdaycare.com/" TargetMode="External"/><Relationship Id="rId774" Type="http://schemas.openxmlformats.org/officeDocument/2006/relationships/hyperlink" Target="http://www.sanmarhope.org/" TargetMode="External"/><Relationship Id="rId1121" Type="http://schemas.openxmlformats.org/officeDocument/2006/relationships/hyperlink" Target="http://mde.maryland.gov/" TargetMode="External"/><Relationship Id="rId531" Type="http://schemas.openxmlformats.org/officeDocument/2006/relationships/hyperlink" Target="http://weinbergwoodsapts.com/" TargetMode="External"/><Relationship Id="rId773" Type="http://schemas.openxmlformats.org/officeDocument/2006/relationships/hyperlink" Target="https://www.mdcrimevictims.org/" TargetMode="External"/><Relationship Id="rId1122" Type="http://schemas.openxmlformats.org/officeDocument/2006/relationships/hyperlink" Target="https://www.lifewaymobility.com/baltimore/?utm_source=GMB&amp;utm_medium=organic&amp;utm_campaign=Lifeway_Baltimore" TargetMode="External"/><Relationship Id="rId530" Type="http://schemas.openxmlformats.org/officeDocument/2006/relationships/hyperlink" Target="http://weinbergvillagesapts.com/" TargetMode="External"/><Relationship Id="rId772" Type="http://schemas.openxmlformats.org/officeDocument/2006/relationships/hyperlink" Target="https://www.medstarhealth.org/locations/medstar-georgetown-university-hospital?utm_campaign=mhs_citations&amp;utm_medium=listing&amp;utm_source=citation_management&amp;utm_term=hospital" TargetMode="External"/><Relationship Id="rId1123" Type="http://schemas.openxmlformats.org/officeDocument/2006/relationships/hyperlink" Target="https://www.fda.gov/" TargetMode="External"/><Relationship Id="rId771" Type="http://schemas.openxmlformats.org/officeDocument/2006/relationships/hyperlink" Target="https://www.nextsteptreatment.org/" TargetMode="External"/><Relationship Id="rId1124" Type="http://schemas.openxmlformats.org/officeDocument/2006/relationships/hyperlink" Target="http://dnr.maryland.gov/" TargetMode="External"/><Relationship Id="rId1158" Type="http://schemas.openxmlformats.org/officeDocument/2006/relationships/hyperlink" Target="http://www.mdspca.org/" TargetMode="External"/><Relationship Id="rId1159" Type="http://schemas.openxmlformats.org/officeDocument/2006/relationships/hyperlink" Target="https://www.baltimorecountymd.gov/departments/animal-services/" TargetMode="External"/><Relationship Id="rId327" Type="http://schemas.openxmlformats.org/officeDocument/2006/relationships/hyperlink" Target="https://www.catholiccharities-md.org/services/senior-communities/" TargetMode="External"/><Relationship Id="rId569" Type="http://schemas.openxmlformats.org/officeDocument/2006/relationships/hyperlink" Target="https://www.victoryhousing.org/victory-brookside/?utm_source=GMB&amp;utm_medium=GMB&amp;utm_campaign=GMB" TargetMode="External"/><Relationship Id="rId326" Type="http://schemas.openxmlformats.org/officeDocument/2006/relationships/hyperlink" Target="https://www.communicarehealth.com/location/holly-hill-healthcare-center/?utm_source=google&amp;utm_medium=organic&amp;utm_campaign=gbp-holly-hill" TargetMode="External"/><Relationship Id="rId568" Type="http://schemas.openxmlformats.org/officeDocument/2006/relationships/hyperlink" Target="https://www.victoryhousing.org/victory-lakeside/?utm_source=GMB&amp;utm_medium=GMB&amp;utm_campaign=GMB" TargetMode="External"/><Relationship Id="rId325" Type="http://schemas.openxmlformats.org/officeDocument/2006/relationships/hyperlink" Target="https://www.csi.coop/housing/md/baltimore/highlandtown-plaza/default" TargetMode="External"/><Relationship Id="rId567" Type="http://schemas.openxmlformats.org/officeDocument/2006/relationships/hyperlink" Target="http://www.fenwicklandingseniorcare.com/" TargetMode="External"/><Relationship Id="rId324" Type="http://schemas.openxmlformats.org/officeDocument/2006/relationships/hyperlink" Target="https://sesischools.com/location/high-road-school-of-baltimore-county/" TargetMode="External"/><Relationship Id="rId566" Type="http://schemas.openxmlformats.org/officeDocument/2006/relationships/hyperlink" Target="http://www.caribbreeze.com/" TargetMode="External"/><Relationship Id="rId329" Type="http://schemas.openxmlformats.org/officeDocument/2006/relationships/hyperlink" Target="https://futurecare.com/locations/homewood/" TargetMode="External"/><Relationship Id="rId328" Type="http://schemas.openxmlformats.org/officeDocument/2006/relationships/hyperlink" Target="https://autumnlakehomewood.com/" TargetMode="External"/><Relationship Id="rId561" Type="http://schemas.openxmlformats.org/officeDocument/2006/relationships/hyperlink" Target="https://finelivingcare.com/" TargetMode="External"/><Relationship Id="rId1150" Type="http://schemas.openxmlformats.org/officeDocument/2006/relationships/hyperlink" Target="http://personichealth.com/" TargetMode="External"/><Relationship Id="rId560" Type="http://schemas.openxmlformats.org/officeDocument/2006/relationships/hyperlink" Target="https://samaritanministry.org/" TargetMode="External"/><Relationship Id="rId1151" Type="http://schemas.openxmlformats.org/officeDocument/2006/relationships/hyperlink" Target="https://wholeheartcenter.org/donate" TargetMode="External"/><Relationship Id="rId1152" Type="http://schemas.openxmlformats.org/officeDocument/2006/relationships/hyperlink" Target="http://www.emmasfootprints.com/" TargetMode="External"/><Relationship Id="rId1153" Type="http://schemas.openxmlformats.org/officeDocument/2006/relationships/hyperlink" Target="https://www.medschool.umaryland.edu/" TargetMode="External"/><Relationship Id="rId323" Type="http://schemas.openxmlformats.org/officeDocument/2006/relationships/hyperlink" Target="https://www.prattlibrary.org/locations/herring-run" TargetMode="External"/><Relationship Id="rId565" Type="http://schemas.openxmlformats.org/officeDocument/2006/relationships/hyperlink" Target="http://www.finalsaluteinc.org/5.html" TargetMode="External"/><Relationship Id="rId1154" Type="http://schemas.openxmlformats.org/officeDocument/2006/relationships/hyperlink" Target="https://portrecovery.org/" TargetMode="External"/><Relationship Id="rId322" Type="http://schemas.openxmlformats.org/officeDocument/2006/relationships/hyperlink" Target="https://www.hrapts.com/" TargetMode="External"/><Relationship Id="rId564" Type="http://schemas.openxmlformats.org/officeDocument/2006/relationships/hyperlink" Target="http://www.accesshousingincdc.com/" TargetMode="External"/><Relationship Id="rId1155" Type="http://schemas.openxmlformats.org/officeDocument/2006/relationships/hyperlink" Target="https://www.gilchristcares.org/" TargetMode="External"/><Relationship Id="rId321" Type="http://schemas.openxmlformats.org/officeDocument/2006/relationships/hyperlink" Target="https://www.baltimorecity.gov/health/our-work/aging-services/senior-centers" TargetMode="External"/><Relationship Id="rId563" Type="http://schemas.openxmlformats.org/officeDocument/2006/relationships/hyperlink" Target="http://www.samaritanministry.org/" TargetMode="External"/><Relationship Id="rId1156" Type="http://schemas.openxmlformats.org/officeDocument/2006/relationships/hyperlink" Target="http://thehoneybeesociety.org/" TargetMode="External"/><Relationship Id="rId320" Type="http://schemas.openxmlformats.org/officeDocument/2006/relationships/hyperlink" Target="http://www.harpershousealf.com/" TargetMode="External"/><Relationship Id="rId562" Type="http://schemas.openxmlformats.org/officeDocument/2006/relationships/hyperlink" Target="http://www.samaritanministry.org/" TargetMode="External"/><Relationship Id="rId1157" Type="http://schemas.openxmlformats.org/officeDocument/2006/relationships/hyperlink" Target="http://adopt-a-pet.org/" TargetMode="External"/><Relationship Id="rId1147" Type="http://schemas.openxmlformats.org/officeDocument/2006/relationships/hyperlink" Target="https://locations.amedisys.com/md/largo/home-health-5009/?utm_source=google&amp;utm_medium=organic&amp;utm_campaign=locallisting" TargetMode="External"/><Relationship Id="rId1148" Type="http://schemas.openxmlformats.org/officeDocument/2006/relationships/hyperlink" Target="https://locations.amedisys.com/md/elkton/home-health-5010/?utm_source=google&amp;utm_medium=organic&amp;utm_campaign=locallisting" TargetMode="External"/><Relationship Id="rId1149" Type="http://schemas.openxmlformats.org/officeDocument/2006/relationships/hyperlink" Target="http://jollycarers-showell.com/" TargetMode="External"/><Relationship Id="rId316" Type="http://schemas.openxmlformats.org/officeDocument/2006/relationships/hyperlink" Target="https://www.prattlibrary.org/locations/hampden" TargetMode="External"/><Relationship Id="rId558" Type="http://schemas.openxmlformats.org/officeDocument/2006/relationships/hyperlink" Target="https://fkhv.org/" TargetMode="External"/><Relationship Id="rId315" Type="http://schemas.openxmlformats.org/officeDocument/2006/relationships/hyperlink" Target="https://www.prattlibrary.org/locations/hamilton/" TargetMode="External"/><Relationship Id="rId557" Type="http://schemas.openxmlformats.org/officeDocument/2006/relationships/hyperlink" Target="https://www.brickwoodassistedliving.com/" TargetMode="External"/><Relationship Id="rId799" Type="http://schemas.openxmlformats.org/officeDocument/2006/relationships/hyperlink" Target="https://rlwcenter.com/" TargetMode="External"/><Relationship Id="rId314" Type="http://schemas.openxmlformats.org/officeDocument/2006/relationships/hyperlink" Target="https://www.gbmc.org/" TargetMode="External"/><Relationship Id="rId556" Type="http://schemas.openxmlformats.org/officeDocument/2006/relationships/hyperlink" Target="http://www.livelargolanding.com/?utm_source=google&amp;utm_medium=organic&amp;utm_campaign=gmb&amp;utm_content=website%20button" TargetMode="External"/><Relationship Id="rId798" Type="http://schemas.openxmlformats.org/officeDocument/2006/relationships/hyperlink" Target="http://www.bonridgewellness.com/" TargetMode="External"/><Relationship Id="rId313" Type="http://schemas.openxmlformats.org/officeDocument/2006/relationships/hyperlink" Target="https://www.lifebridgehealth.org/locations/grace-medical-center" TargetMode="External"/><Relationship Id="rId555" Type="http://schemas.openxmlformats.org/officeDocument/2006/relationships/hyperlink" Target="https://www.tabularasadv.org/" TargetMode="External"/><Relationship Id="rId797" Type="http://schemas.openxmlformats.org/officeDocument/2006/relationships/hyperlink" Target="http://www.oasishealthventures.com/" TargetMode="External"/><Relationship Id="rId319" Type="http://schemas.openxmlformats.org/officeDocument/2006/relationships/hyperlink" Target="http://www.harmonycarealf.com/" TargetMode="External"/><Relationship Id="rId318" Type="http://schemas.openxmlformats.org/officeDocument/2006/relationships/hyperlink" Target="http://www.harfordbelair.org/" TargetMode="External"/><Relationship Id="rId317" Type="http://schemas.openxmlformats.org/officeDocument/2006/relationships/hyperlink" Target="https://www.hamptonmeadowsassistedliving.com/" TargetMode="External"/><Relationship Id="rId559" Type="http://schemas.openxmlformats.org/officeDocument/2006/relationships/hyperlink" Target="http://www.charlotteshomesouthernstyle.com/" TargetMode="External"/><Relationship Id="rId550" Type="http://schemas.openxmlformats.org/officeDocument/2006/relationships/hyperlink" Target="https://newlifeforgirls.org/" TargetMode="External"/><Relationship Id="rId792" Type="http://schemas.openxmlformats.org/officeDocument/2006/relationships/hyperlink" Target="https://lifestance.com/location/baltimore-md-2650-quarry-lake-drive/?utm_source=gmb&amp;utm_medium=organic&amp;utm_campaign=locations" TargetMode="External"/><Relationship Id="rId791" Type="http://schemas.openxmlformats.org/officeDocument/2006/relationships/hyperlink" Target="http://www.mydvlpmnt.com/" TargetMode="External"/><Relationship Id="rId1140" Type="http://schemas.openxmlformats.org/officeDocument/2006/relationships/hyperlink" Target="https://www.stellamaris.org/" TargetMode="External"/><Relationship Id="rId790" Type="http://schemas.openxmlformats.org/officeDocument/2006/relationships/hyperlink" Target="http://www.citywidebh.com/" TargetMode="External"/><Relationship Id="rId1141" Type="http://schemas.openxmlformats.org/officeDocument/2006/relationships/hyperlink" Target="https://bit.ly/ATOSK" TargetMode="External"/><Relationship Id="rId1142" Type="http://schemas.openxmlformats.org/officeDocument/2006/relationships/hyperlink" Target="https://victoirehealthservices.com/" TargetMode="External"/><Relationship Id="rId312" Type="http://schemas.openxmlformats.org/officeDocument/2006/relationships/hyperlink" Target="https://www.prattlibrary.org/locations/govans" TargetMode="External"/><Relationship Id="rId554" Type="http://schemas.openxmlformats.org/officeDocument/2006/relationships/hyperlink" Target="https://www.alloverhealthcaregroup.com/" TargetMode="External"/><Relationship Id="rId796" Type="http://schemas.openxmlformats.org/officeDocument/2006/relationships/hyperlink" Target="http://trulifehealthservices.com/" TargetMode="External"/><Relationship Id="rId1143" Type="http://schemas.openxmlformats.org/officeDocument/2006/relationships/hyperlink" Target="https://locations.amedisys.com/md/rosedale/home-health-5013/?utm_source=google&amp;utm_medium=organic&amp;utm_campaign=locallisting" TargetMode="External"/><Relationship Id="rId311" Type="http://schemas.openxmlformats.org/officeDocument/2006/relationships/hyperlink" Target="https://www.csi.coop/housing/md/essex/golden-ring/default" TargetMode="External"/><Relationship Id="rId553" Type="http://schemas.openxmlformats.org/officeDocument/2006/relationships/hyperlink" Target="https://www.sheppardpratt.org/locations-directions/details/psychiatric-rehabilitation-day-program-timonium/" TargetMode="External"/><Relationship Id="rId795" Type="http://schemas.openxmlformats.org/officeDocument/2006/relationships/hyperlink" Target="https://www.hclffmd.com/" TargetMode="External"/><Relationship Id="rId1144" Type="http://schemas.openxmlformats.org/officeDocument/2006/relationships/hyperlink" Target="http://beallcareservices.org/" TargetMode="External"/><Relationship Id="rId310" Type="http://schemas.openxmlformats.org/officeDocument/2006/relationships/hyperlink" Target="http://www.goldenpondday.com/" TargetMode="External"/><Relationship Id="rId552" Type="http://schemas.openxmlformats.org/officeDocument/2006/relationships/hyperlink" Target="https://chimes.org/" TargetMode="External"/><Relationship Id="rId794" Type="http://schemas.openxmlformats.org/officeDocument/2006/relationships/hyperlink" Target="http://www.hermindherbody.com/" TargetMode="External"/><Relationship Id="rId1145" Type="http://schemas.openxmlformats.org/officeDocument/2006/relationships/hyperlink" Target="https://www.dndhomehealthservices.com/" TargetMode="External"/><Relationship Id="rId551" Type="http://schemas.openxmlformats.org/officeDocument/2006/relationships/hyperlink" Target="http://www.richcroft.org/" TargetMode="External"/><Relationship Id="rId793" Type="http://schemas.openxmlformats.org/officeDocument/2006/relationships/hyperlink" Target="http://marylandseniorcounseling.com/" TargetMode="External"/><Relationship Id="rId1146" Type="http://schemas.openxmlformats.org/officeDocument/2006/relationships/hyperlink" Target="https://locations.amedisys.com/md/glen-burnie/home-health-5001/?utm_source=google&amp;utm_medium=organic&amp;utm_campaign=locallisting" TargetMode="External"/><Relationship Id="rId297" Type="http://schemas.openxmlformats.org/officeDocument/2006/relationships/hyperlink" Target="https://www.communicarehealth.com/location/fayette-health-and-rehabilitation-center/?utm_source=bing&amp;utm_medium=organic&amp;utm_campaign=gbp-fayette-rehab" TargetMode="External"/><Relationship Id="rId296" Type="http://schemas.openxmlformats.org/officeDocument/2006/relationships/hyperlink" Target="http://www.fhcb.org/" TargetMode="External"/><Relationship Id="rId295" Type="http://schemas.openxmlformats.org/officeDocument/2006/relationships/hyperlink" Target="https://www.baltimorecountymd.gov/departments/aging/housing/apartments" TargetMode="External"/><Relationship Id="rId294" Type="http://schemas.openxmlformats.org/officeDocument/2006/relationships/hyperlink" Target="http://evergreensenior.enterpriseresidential.org/" TargetMode="External"/><Relationship Id="rId299" Type="http://schemas.openxmlformats.org/officeDocument/2006/relationships/hyperlink" Target="https://www.baltimorecountymd.gov/departments/aging/centers/fleming/" TargetMode="External"/><Relationship Id="rId298" Type="http://schemas.openxmlformats.org/officeDocument/2006/relationships/hyperlink" Target="http://www.firstchoice-health.org/" TargetMode="External"/><Relationship Id="rId271" Type="http://schemas.openxmlformats.org/officeDocument/2006/relationships/hyperlink" Target="https://www.collegemanor.com/" TargetMode="External"/><Relationship Id="rId270" Type="http://schemas.openxmlformats.org/officeDocument/2006/relationships/hyperlink" Target="https://futurecare.com/locations/cold-spring/" TargetMode="External"/><Relationship Id="rId269" Type="http://schemas.openxmlformats.org/officeDocument/2006/relationships/hyperlink" Target="https://cockeysvilleseniorcenter.com/" TargetMode="External"/><Relationship Id="rId264" Type="http://schemas.openxmlformats.org/officeDocument/2006/relationships/hyperlink" Target="http://cherryhillsenior.com/" TargetMode="External"/><Relationship Id="rId263" Type="http://schemas.openxmlformats.org/officeDocument/2006/relationships/hyperlink" Target="https://www.prattlibrary.org/locations/cherry-hill" TargetMode="External"/><Relationship Id="rId262" Type="http://schemas.openxmlformats.org/officeDocument/2006/relationships/hyperlink" Target="https://chasebrexton.org/" TargetMode="External"/><Relationship Id="rId261" Type="http://schemas.openxmlformats.org/officeDocument/2006/relationships/hyperlink" Target="https://www.charterwoodholmecrossing.com/?utm_source=local_listing&amp;utm_medium=organic&amp;utm_id=GBP" TargetMode="External"/><Relationship Id="rId268" Type="http://schemas.openxmlformats.org/officeDocument/2006/relationships/hyperlink" Target="https://www.prattlibrary.org/locations/clifton" TargetMode="External"/><Relationship Id="rId267" Type="http://schemas.openxmlformats.org/officeDocument/2006/relationships/hyperlink" Target="https://www.cchaseniorhousing.org/" TargetMode="External"/><Relationship Id="rId266" Type="http://schemas.openxmlformats.org/officeDocument/2006/relationships/hyperlink" Target="http://www.angelsamongusmd.com/virtual_tours/cheryls_place/index.html" TargetMode="External"/><Relationship Id="rId265" Type="http://schemas.openxmlformats.org/officeDocument/2006/relationships/hyperlink" Target="https://www.futurecare.com/locations/cherry-wood/" TargetMode="External"/><Relationship Id="rId260" Type="http://schemas.openxmlformats.org/officeDocument/2006/relationships/hyperlink" Target="https://www.chartertowson.com/?utm_source=local_listing&amp;utm_medium=organic&amp;utm_id=GBP" TargetMode="External"/><Relationship Id="rId259" Type="http://schemas.openxmlformats.org/officeDocument/2006/relationships/hyperlink" Target="https://www.ericksonseniorliving.com/charlestown?utm_source=google_local&amp;utm_medium=organic&amp;utm_campaign=IL-CCI-Google-Local" TargetMode="External"/><Relationship Id="rId258" Type="http://schemas.openxmlformats.org/officeDocument/2006/relationships/hyperlink" Target="http://www.thefrenchcompanies.com/crunclesplaza" TargetMode="External"/><Relationship Id="rId253" Type="http://schemas.openxmlformats.org/officeDocument/2006/relationships/hyperlink" Target="http://www.centerforsocialchange.org/" TargetMode="External"/><Relationship Id="rId495" Type="http://schemas.openxmlformats.org/officeDocument/2006/relationships/hyperlink" Target="https://www.townsquare.net/adult-day-care/maryland/perryhall/?utm_campaign=gmb-listing&amp;utm_medium=organic&amp;utm_source=local" TargetMode="External"/><Relationship Id="rId252" Type="http://schemas.openxmlformats.org/officeDocument/2006/relationships/hyperlink" Target="https://labor.maryland.gov/county/baco/" TargetMode="External"/><Relationship Id="rId494" Type="http://schemas.openxmlformats.org/officeDocument/2006/relationships/hyperlink" Target="http://waterfallsofcatonsville.com/" TargetMode="External"/><Relationship Id="rId251" Type="http://schemas.openxmlformats.org/officeDocument/2006/relationships/hyperlink" Target="https://www.baltimorecountymd.gov/careercenters" TargetMode="External"/><Relationship Id="rId493" Type="http://schemas.openxmlformats.org/officeDocument/2006/relationships/hyperlink" Target="http://theshafercenter.com/" TargetMode="External"/><Relationship Id="rId250" Type="http://schemas.openxmlformats.org/officeDocument/2006/relationships/hyperlink" Target="https://mwejobs.maryland.gov/vosnet/Default.aspx" TargetMode="External"/><Relationship Id="rId492" Type="http://schemas.openxmlformats.org/officeDocument/2006/relationships/hyperlink" Target="http://www.theodysseyschool.org/" TargetMode="External"/><Relationship Id="rId257" Type="http://schemas.openxmlformats.org/officeDocument/2006/relationships/hyperlink" Target="http://www.charishomes.org/" TargetMode="External"/><Relationship Id="rId499" Type="http://schemas.openxmlformats.org/officeDocument/2006/relationships/hyperlink" Target="https://thcal.my.canva.site/" TargetMode="External"/><Relationship Id="rId256" Type="http://schemas.openxmlformats.org/officeDocument/2006/relationships/hyperlink" Target="https://www.chapelspringsapts.com/?utm_source=GBP&amp;utm_medium=organic" TargetMode="External"/><Relationship Id="rId498" Type="http://schemas.openxmlformats.org/officeDocument/2006/relationships/hyperlink" Target="https://www.trellisschool.com/?utm_source=gmb&amp;utm_medium=local&amp;utm_campaign=trellis-school" TargetMode="External"/><Relationship Id="rId255" Type="http://schemas.openxmlformats.org/officeDocument/2006/relationships/hyperlink" Target="https://chapelhillnrc.com/" TargetMode="External"/><Relationship Id="rId497" Type="http://schemas.openxmlformats.org/officeDocument/2006/relationships/hyperlink" Target="http://mdmercy.com/" TargetMode="External"/><Relationship Id="rId254" Type="http://schemas.openxmlformats.org/officeDocument/2006/relationships/hyperlink" Target="https://www.st-residential.com/center-place" TargetMode="External"/><Relationship Id="rId496" Type="http://schemas.openxmlformats.org/officeDocument/2006/relationships/hyperlink" Target="https://towsonhc.com/" TargetMode="External"/><Relationship Id="rId293" Type="http://schemas.openxmlformats.org/officeDocument/2006/relationships/hyperlink" Target="https://www.catholiccharities-md.org/services/senior-communities/" TargetMode="External"/><Relationship Id="rId292" Type="http://schemas.openxmlformats.org/officeDocument/2006/relationships/hyperlink" Target="https://www.baltimorecountymd.gov/departments/aging/centers/essex" TargetMode="External"/><Relationship Id="rId291" Type="http://schemas.openxmlformats.org/officeDocument/2006/relationships/hyperlink" Target="https://www.csi.coop/housing/md/essex/essex-co-op/default" TargetMode="External"/><Relationship Id="rId290" Type="http://schemas.openxmlformats.org/officeDocument/2006/relationships/hyperlink" Target="https://www.emmanuel.care/" TargetMode="External"/><Relationship Id="rId286" Type="http://schemas.openxmlformats.org/officeDocument/2006/relationships/hyperlink" Target="http://www.baltimorecountymd.gov/" TargetMode="External"/><Relationship Id="rId285" Type="http://schemas.openxmlformats.org/officeDocument/2006/relationships/hyperlink" Target="http://www.edenwald.org/" TargetMode="External"/><Relationship Id="rId284" Type="http://schemas.openxmlformats.org/officeDocument/2006/relationships/hyperlink" Target="http://pacewestbaltimore.com/" TargetMode="External"/><Relationship Id="rId283" Type="http://schemas.openxmlformats.org/officeDocument/2006/relationships/hyperlink" Target="https://health.baltimorecity.gov/node/93" TargetMode="External"/><Relationship Id="rId289" Type="http://schemas.openxmlformats.org/officeDocument/2006/relationships/hyperlink" Target="http://www.myerberg.org/" TargetMode="External"/><Relationship Id="rId288" Type="http://schemas.openxmlformats.org/officeDocument/2006/relationships/hyperlink" Target="http://ednorapartments1.enterpriseresidential.org/" TargetMode="External"/><Relationship Id="rId287" Type="http://schemas.openxmlformats.org/officeDocument/2006/relationships/hyperlink" Target="https://www.prattlibrary.org/locations/edmondson-avenue" TargetMode="External"/><Relationship Id="rId282" Type="http://schemas.openxmlformats.org/officeDocument/2006/relationships/hyperlink" Target="https://dcmdva.easterseals.com/get-support/areas-of-support/adult-services/adult-day-services" TargetMode="External"/><Relationship Id="rId281" Type="http://schemas.openxmlformats.org/officeDocument/2006/relationships/hyperlink" Target="https://www.dulaneyvalley.com/" TargetMode="External"/><Relationship Id="rId280" Type="http://schemas.openxmlformats.org/officeDocument/2006/relationships/hyperlink" Target="http://www.dulaneyvalleyalf.com/" TargetMode="External"/><Relationship Id="rId275" Type="http://schemas.openxmlformats.org/officeDocument/2006/relationships/hyperlink" Target="https://futurecare.com/locations/courtland/" TargetMode="External"/><Relationship Id="rId274" Type="http://schemas.openxmlformats.org/officeDocument/2006/relationships/hyperlink" Target="https://www.catholiccharities-md.org/services/senior-communities/" TargetMode="External"/><Relationship Id="rId273" Type="http://schemas.openxmlformats.org/officeDocument/2006/relationships/hyperlink" Target="http://www.vivaseniorliving.com/" TargetMode="External"/><Relationship Id="rId272" Type="http://schemas.openxmlformats.org/officeDocument/2006/relationships/hyperlink" Target="https://cohalf.com/" TargetMode="External"/><Relationship Id="rId279" Type="http://schemas.openxmlformats.org/officeDocument/2006/relationships/hyperlink" Target="http://assistedlivingbaltimore.com/contact" TargetMode="External"/><Relationship Id="rId278" Type="http://schemas.openxmlformats.org/officeDocument/2006/relationships/hyperlink" Target="https://divineenlargement1.wixsite.com/website" TargetMode="External"/><Relationship Id="rId277" Type="http://schemas.openxmlformats.org/officeDocument/2006/relationships/hyperlink" Target="https://www.catholiccharities-md.org/services/senior-communities/" TargetMode="External"/><Relationship Id="rId276" Type="http://schemas.openxmlformats.org/officeDocument/2006/relationships/hyperlink" Target="https://www.dayvillagetownhomes.com/?utm_knock=g" TargetMode="External"/><Relationship Id="rId907" Type="http://schemas.openxmlformats.org/officeDocument/2006/relationships/hyperlink" Target="https://stfrancismd.org/" TargetMode="External"/><Relationship Id="rId906" Type="http://schemas.openxmlformats.org/officeDocument/2006/relationships/hyperlink" Target="http://www.msbcministries.org/" TargetMode="External"/><Relationship Id="rId905" Type="http://schemas.openxmlformats.org/officeDocument/2006/relationships/hyperlink" Target="http://www.mannabiblebaptist.com/" TargetMode="External"/><Relationship Id="rId904" Type="http://schemas.openxmlformats.org/officeDocument/2006/relationships/hyperlink" Target="http://concordbaptistofbaltimore.com/" TargetMode="External"/><Relationship Id="rId909" Type="http://schemas.openxmlformats.org/officeDocument/2006/relationships/hyperlink" Target="http://www.mtcalvaryame.org/" TargetMode="External"/><Relationship Id="rId908" Type="http://schemas.openxmlformats.org/officeDocument/2006/relationships/hyperlink" Target="http://towsonumc.org/" TargetMode="External"/><Relationship Id="rId903" Type="http://schemas.openxmlformats.org/officeDocument/2006/relationships/hyperlink" Target="https://immanuel-manchester.org/" TargetMode="External"/><Relationship Id="rId902" Type="http://schemas.openxmlformats.org/officeDocument/2006/relationships/hyperlink" Target="https://www.theagapechristianchurch.org/" TargetMode="External"/><Relationship Id="rId901" Type="http://schemas.openxmlformats.org/officeDocument/2006/relationships/hyperlink" Target="http://www.epworthchapel.org/" TargetMode="External"/><Relationship Id="rId900" Type="http://schemas.openxmlformats.org/officeDocument/2006/relationships/hyperlink" Target="https://www.wearethetab.church/" TargetMode="External"/><Relationship Id="rId929" Type="http://schemas.openxmlformats.org/officeDocument/2006/relationships/hyperlink" Target="https://www.salemunited.org/" TargetMode="External"/><Relationship Id="rId928" Type="http://schemas.openxmlformats.org/officeDocument/2006/relationships/hyperlink" Target="http://www.middleriver.org/" TargetMode="External"/><Relationship Id="rId927" Type="http://schemas.openxmlformats.org/officeDocument/2006/relationships/hyperlink" Target="https://shmstr.org/" TargetMode="External"/><Relationship Id="rId926" Type="http://schemas.openxmlformats.org/officeDocument/2006/relationships/hyperlink" Target="https://compassionplace.org/" TargetMode="External"/><Relationship Id="rId921" Type="http://schemas.openxmlformats.org/officeDocument/2006/relationships/hyperlink" Target="http://perryhallumc.org/" TargetMode="External"/><Relationship Id="rId920" Type="http://schemas.openxmlformats.org/officeDocument/2006/relationships/hyperlink" Target="http://www.mealsonwheelsmd.org/" TargetMode="External"/><Relationship Id="rId925" Type="http://schemas.openxmlformats.org/officeDocument/2006/relationships/hyperlink" Target="http://myfreedom.org/" TargetMode="External"/><Relationship Id="rId924" Type="http://schemas.openxmlformats.org/officeDocument/2006/relationships/hyperlink" Target="http://synergycc.us/" TargetMode="External"/><Relationship Id="rId923" Type="http://schemas.openxmlformats.org/officeDocument/2006/relationships/hyperlink" Target="https://compassionplace.org/" TargetMode="External"/><Relationship Id="rId922" Type="http://schemas.openxmlformats.org/officeDocument/2006/relationships/hyperlink" Target="http://www.eastbaltimorechurchofgod.com/" TargetMode="External"/><Relationship Id="rId918" Type="http://schemas.openxmlformats.org/officeDocument/2006/relationships/hyperlink" Target="http://www.god-is-love.org/" TargetMode="External"/><Relationship Id="rId917" Type="http://schemas.openxmlformats.org/officeDocument/2006/relationships/hyperlink" Target="http://www.journeychurchag.com/" TargetMode="External"/><Relationship Id="rId916" Type="http://schemas.openxmlformats.org/officeDocument/2006/relationships/hyperlink" Target="http://newlifechurchbaltimore.org/" TargetMode="External"/><Relationship Id="rId915" Type="http://schemas.openxmlformats.org/officeDocument/2006/relationships/hyperlink" Target="https://www.messiahbaltimore.org/" TargetMode="External"/><Relationship Id="rId919" Type="http://schemas.openxmlformats.org/officeDocument/2006/relationships/hyperlink" Target="https://mountpleasant.org/" TargetMode="External"/><Relationship Id="rId910" Type="http://schemas.openxmlformats.org/officeDocument/2006/relationships/hyperlink" Target="http://www.thebitcenter.org/" TargetMode="External"/><Relationship Id="rId914" Type="http://schemas.openxmlformats.org/officeDocument/2006/relationships/hyperlink" Target="http://www.the6thbranch.org/" TargetMode="External"/><Relationship Id="rId913" Type="http://schemas.openxmlformats.org/officeDocument/2006/relationships/hyperlink" Target="https://sweshelps.org/" TargetMode="External"/><Relationship Id="rId912" Type="http://schemas.openxmlformats.org/officeDocument/2006/relationships/hyperlink" Target="http://www.philipandjames.org/" TargetMode="External"/><Relationship Id="rId911" Type="http://schemas.openxmlformats.org/officeDocument/2006/relationships/hyperlink" Target="http://www.lrumc.org/" TargetMode="External"/><Relationship Id="rId629" Type="http://schemas.openxmlformats.org/officeDocument/2006/relationships/hyperlink" Target="http://www.diversifiedhousing.org/" TargetMode="External"/><Relationship Id="rId624" Type="http://schemas.openxmlformats.org/officeDocument/2006/relationships/hyperlink" Target="http://www.livnwell.com/" TargetMode="External"/><Relationship Id="rId866" Type="http://schemas.openxmlformats.org/officeDocument/2006/relationships/hyperlink" Target="http://www.nextsteptreatment.org/" TargetMode="External"/><Relationship Id="rId623" Type="http://schemas.openxmlformats.org/officeDocument/2006/relationships/hyperlink" Target="https://www.sheppardpratt.org/locations-directions/details/outpatient-mental-health-center-westminster/" TargetMode="External"/><Relationship Id="rId865" Type="http://schemas.openxmlformats.org/officeDocument/2006/relationships/hyperlink" Target="https://psychology.umbc.edu/hsp/clinical/psychology-training-clinic/" TargetMode="External"/><Relationship Id="rId622" Type="http://schemas.openxmlformats.org/officeDocument/2006/relationships/hyperlink" Target="https://www.victoryhousing.org/victory-terrace/?utm_source=GMB&amp;utm_medium=GMB&amp;utm_campaign=GMB" TargetMode="External"/><Relationship Id="rId864" Type="http://schemas.openxmlformats.org/officeDocument/2006/relationships/hyperlink" Target="http://choicesihc.com/" TargetMode="External"/><Relationship Id="rId621" Type="http://schemas.openxmlformats.org/officeDocument/2006/relationships/hyperlink" Target="https://www.qpmgmt.com/properties/emerson-house/" TargetMode="External"/><Relationship Id="rId863" Type="http://schemas.openxmlformats.org/officeDocument/2006/relationships/hyperlink" Target="https://www.regeneration-project.net/contact/" TargetMode="External"/><Relationship Id="rId628" Type="http://schemas.openxmlformats.org/officeDocument/2006/relationships/hyperlink" Target="https://clarke.house.gov/committees-and-caucuses/congressional-black-caucus/" TargetMode="External"/><Relationship Id="rId627" Type="http://schemas.openxmlformats.org/officeDocument/2006/relationships/hyperlink" Target="https://www.victoryhousing.org/victory-house-of-palmer-park/?utm_source=GMB&amp;utm_medium=GMB&amp;utm_campaign=GMB" TargetMode="External"/><Relationship Id="rId869" Type="http://schemas.openxmlformats.org/officeDocument/2006/relationships/hyperlink" Target="https://www.insightfullifetherapeutic.com/" TargetMode="External"/><Relationship Id="rId626" Type="http://schemas.openxmlformats.org/officeDocument/2006/relationships/hyperlink" Target="http://www.habitatamerica.com/" TargetMode="External"/><Relationship Id="rId868" Type="http://schemas.openxmlformats.org/officeDocument/2006/relationships/hyperlink" Target="http://www.kennedykrieger.org/" TargetMode="External"/><Relationship Id="rId625" Type="http://schemas.openxmlformats.org/officeDocument/2006/relationships/hyperlink" Target="https://www.victoryhousing.org/malta-house/contact-us/" TargetMode="External"/><Relationship Id="rId867" Type="http://schemas.openxmlformats.org/officeDocument/2006/relationships/hyperlink" Target="https://familysupportcenterofmd.com/" TargetMode="External"/><Relationship Id="rId620" Type="http://schemas.openxmlformats.org/officeDocument/2006/relationships/hyperlink" Target="https://plccommunity.org/" TargetMode="External"/><Relationship Id="rId862" Type="http://schemas.openxmlformats.org/officeDocument/2006/relationships/hyperlink" Target="http://www.mightybehavioral.net/" TargetMode="External"/><Relationship Id="rId861" Type="http://schemas.openxmlformats.org/officeDocument/2006/relationships/hyperlink" Target="https://www.aspendaytreatment.com/" TargetMode="External"/><Relationship Id="rId860" Type="http://schemas.openxmlformats.org/officeDocument/2006/relationships/hyperlink" Target="https://nativeamericanlifelines.org/" TargetMode="External"/><Relationship Id="rId619" Type="http://schemas.openxmlformats.org/officeDocument/2006/relationships/hyperlink" Target="https://www.armydistaff.org/" TargetMode="External"/><Relationship Id="rId618" Type="http://schemas.openxmlformats.org/officeDocument/2006/relationships/hyperlink" Target="https://www.victoryhousing.org/byron-house/" TargetMode="External"/><Relationship Id="rId613" Type="http://schemas.openxmlformats.org/officeDocument/2006/relationships/hyperlink" Target="https://www.victoryhousing.org/victory-forest/?utm_source=GMB&amp;utm_medium=GMB&amp;utm_campaign=GMB" TargetMode="External"/><Relationship Id="rId855" Type="http://schemas.openxmlformats.org/officeDocument/2006/relationships/hyperlink" Target="https://www.commandhealthprp.com/contact-us" TargetMode="External"/><Relationship Id="rId612" Type="http://schemas.openxmlformats.org/officeDocument/2006/relationships/hyperlink" Target="https://www.victoryhousing.org/victory-oaks/?utm_source=GMB&amp;utm_medium=GMB&amp;utm_campaign=GMB" TargetMode="External"/><Relationship Id="rId854" Type="http://schemas.openxmlformats.org/officeDocument/2006/relationships/hyperlink" Target="http://www.completew.com/" TargetMode="External"/><Relationship Id="rId611" Type="http://schemas.openxmlformats.org/officeDocument/2006/relationships/hyperlink" Target="https://www.victoryhousing.org/victory-court/?utm_source=GMB&amp;utm_medium=GMB&amp;utm_campaign=GMB" TargetMode="External"/><Relationship Id="rId853" Type="http://schemas.openxmlformats.org/officeDocument/2006/relationships/hyperlink" Target="https://www.redeemhealthcaremedical.com/" TargetMode="External"/><Relationship Id="rId610" Type="http://schemas.openxmlformats.org/officeDocument/2006/relationships/hyperlink" Target="https://www.victoryhousing.org/victory-crossing/?utm_source=GMB&amp;utm_medium=GMB&amp;utm_campaign=GMB" TargetMode="External"/><Relationship Id="rId852" Type="http://schemas.openxmlformats.org/officeDocument/2006/relationships/hyperlink" Target="https://www.remacbhs.com/" TargetMode="External"/><Relationship Id="rId617" Type="http://schemas.openxmlformats.org/officeDocument/2006/relationships/hyperlink" Target="https://www.victoryhousing.org/victory-crest/?utm_source=GMB&amp;utm_medium=GMB&amp;utm_campaign=GMB" TargetMode="External"/><Relationship Id="rId859" Type="http://schemas.openxmlformats.org/officeDocument/2006/relationships/hyperlink" Target="https://newvisionbehavioral.org/" TargetMode="External"/><Relationship Id="rId616" Type="http://schemas.openxmlformats.org/officeDocument/2006/relationships/hyperlink" Target="https://www.victoryhousing.org/victory-tower/?utm_source=GMB&amp;utm_medium=GMB&amp;utm_campaign=GMB" TargetMode="External"/><Relationship Id="rId858" Type="http://schemas.openxmlformats.org/officeDocument/2006/relationships/hyperlink" Target="http://hometherapeuticservices.com/" TargetMode="External"/><Relationship Id="rId615" Type="http://schemas.openxmlformats.org/officeDocument/2006/relationships/hyperlink" Target="http://www.gabrielnetwork.org/" TargetMode="External"/><Relationship Id="rId857" Type="http://schemas.openxmlformats.org/officeDocument/2006/relationships/hyperlink" Target="https://www.harfordbelair.org/" TargetMode="External"/><Relationship Id="rId614" Type="http://schemas.openxmlformats.org/officeDocument/2006/relationships/hyperlink" Target="https://www.sheppardpratt.org/locations-directions/details/psychiatric-rehabilitation-day-program-lanham/" TargetMode="External"/><Relationship Id="rId856" Type="http://schemas.openxmlformats.org/officeDocument/2006/relationships/hyperlink" Target="https://www.sanarecounselinggroup.com/" TargetMode="External"/><Relationship Id="rId851" Type="http://schemas.openxmlformats.org/officeDocument/2006/relationships/hyperlink" Target="https://www.emrcgroup.org/" TargetMode="External"/><Relationship Id="rId850" Type="http://schemas.openxmlformats.org/officeDocument/2006/relationships/hyperlink" Target="https://agilemhc.com/contact/" TargetMode="External"/><Relationship Id="rId409" Type="http://schemas.openxmlformats.org/officeDocument/2006/relationships/hyperlink" Target="http://towson.enterpriseresidential.org/" TargetMode="External"/><Relationship Id="rId404" Type="http://schemas.openxmlformats.org/officeDocument/2006/relationships/hyperlink" Target="http://fullerton.enterpriseresidential.org/" TargetMode="External"/><Relationship Id="rId646" Type="http://schemas.openxmlformats.org/officeDocument/2006/relationships/hyperlink" Target="https://www.armyemergencyrelief.org/" TargetMode="External"/><Relationship Id="rId888" Type="http://schemas.openxmlformats.org/officeDocument/2006/relationships/hyperlink" Target="https://www.averyhall.com/" TargetMode="External"/><Relationship Id="rId403" Type="http://schemas.openxmlformats.org/officeDocument/2006/relationships/hyperlink" Target="http://dundalk.enterpriseresidential.org/" TargetMode="External"/><Relationship Id="rId645" Type="http://schemas.openxmlformats.org/officeDocument/2006/relationships/hyperlink" Target="https://www.communityoutreachcdc.org/" TargetMode="External"/><Relationship Id="rId887" Type="http://schemas.openxmlformats.org/officeDocument/2006/relationships/hyperlink" Target="https://www.tigerlilyfoundation.org/contact/" TargetMode="External"/><Relationship Id="rId402" Type="http://schemas.openxmlformats.org/officeDocument/2006/relationships/hyperlink" Target="http://coldspring.enterpriseresidential.org/" TargetMode="External"/><Relationship Id="rId644" Type="http://schemas.openxmlformats.org/officeDocument/2006/relationships/hyperlink" Target="http://www.carecendc.org/" TargetMode="External"/><Relationship Id="rId886" Type="http://schemas.openxmlformats.org/officeDocument/2006/relationships/hyperlink" Target="http://ce-cg.org/" TargetMode="External"/><Relationship Id="rId401" Type="http://schemas.openxmlformats.org/officeDocument/2006/relationships/hyperlink" Target="http://catonsville.enterpriseresidential.org/" TargetMode="External"/><Relationship Id="rId643" Type="http://schemas.openxmlformats.org/officeDocument/2006/relationships/hyperlink" Target="http://homefreeusa.org/" TargetMode="External"/><Relationship Id="rId885" Type="http://schemas.openxmlformats.org/officeDocument/2006/relationships/hyperlink" Target="https://www.frederickhealth.org/services/emergency-care/" TargetMode="External"/><Relationship Id="rId408" Type="http://schemas.openxmlformats.org/officeDocument/2006/relationships/hyperlink" Target="http://taylor.enterpriseresidential.org/" TargetMode="External"/><Relationship Id="rId407" Type="http://schemas.openxmlformats.org/officeDocument/2006/relationships/hyperlink" Target="http://rosedale.enterpriseresidential.org/" TargetMode="External"/><Relationship Id="rId649" Type="http://schemas.openxmlformats.org/officeDocument/2006/relationships/hyperlink" Target="https://www.cesisolutions.org/" TargetMode="External"/><Relationship Id="rId406" Type="http://schemas.openxmlformats.org/officeDocument/2006/relationships/hyperlink" Target="http://randallstown.enterpriseresidential.org/" TargetMode="External"/><Relationship Id="rId648" Type="http://schemas.openxmlformats.org/officeDocument/2006/relationships/hyperlink" Target="http://www.bluehubcapital.org/" TargetMode="External"/><Relationship Id="rId405" Type="http://schemas.openxmlformats.org/officeDocument/2006/relationships/hyperlink" Target="http://miramarlanding.enterpriseresidential.org/" TargetMode="External"/><Relationship Id="rId647" Type="http://schemas.openxmlformats.org/officeDocument/2006/relationships/hyperlink" Target="http://thejosephhouse.org/" TargetMode="External"/><Relationship Id="rId889" Type="http://schemas.openxmlformats.org/officeDocument/2006/relationships/hyperlink" Target="http://www.ssa.gov/" TargetMode="External"/><Relationship Id="rId880" Type="http://schemas.openxmlformats.org/officeDocument/2006/relationships/hyperlink" Target="https://www.marylandhbe.com/" TargetMode="External"/><Relationship Id="rId400" Type="http://schemas.openxmlformats.org/officeDocument/2006/relationships/hyperlink" Target="http://ashlandterrace.enterpriseresidential.org/" TargetMode="External"/><Relationship Id="rId642" Type="http://schemas.openxmlformats.org/officeDocument/2006/relationships/hyperlink" Target="http://dhcd.maryland.gov/" TargetMode="External"/><Relationship Id="rId884" Type="http://schemas.openxmlformats.org/officeDocument/2006/relationships/hyperlink" Target="http://www.healthwellfoundation.org/" TargetMode="External"/><Relationship Id="rId641" Type="http://schemas.openxmlformats.org/officeDocument/2006/relationships/hyperlink" Target="http://www.operationsecondchance.org/" TargetMode="External"/><Relationship Id="rId883" Type="http://schemas.openxmlformats.org/officeDocument/2006/relationships/hyperlink" Target="http://lynnmichel.com/" TargetMode="External"/><Relationship Id="rId640" Type="http://schemas.openxmlformats.org/officeDocument/2006/relationships/hyperlink" Target="https://www.homepartnershipinc.org/" TargetMode="External"/><Relationship Id="rId882" Type="http://schemas.openxmlformats.org/officeDocument/2006/relationships/hyperlink" Target="https://www.medstarhealth.org/locations/medstar-franklin-square-medical-center?utm_campaign=mhs_citations&amp;utm_medium=listing&amp;utm_source=citation_management&amp;utm_term=hospital" TargetMode="External"/><Relationship Id="rId881" Type="http://schemas.openxmlformats.org/officeDocument/2006/relationships/hyperlink" Target="https://caseycares.org/" TargetMode="External"/><Relationship Id="rId635" Type="http://schemas.openxmlformats.org/officeDocument/2006/relationships/hyperlink" Target="http://www.nhsbaltimore.org/" TargetMode="External"/><Relationship Id="rId877" Type="http://schemas.openxmlformats.org/officeDocument/2006/relationships/hyperlink" Target="https://www.abcf.org/" TargetMode="External"/><Relationship Id="rId634" Type="http://schemas.openxmlformats.org/officeDocument/2006/relationships/hyperlink" Target="http://www.bge.com/" TargetMode="External"/><Relationship Id="rId876" Type="http://schemas.openxmlformats.org/officeDocument/2006/relationships/hyperlink" Target="https://www.hopkinsmedicine.org/howard_county_general_hospital/?utm_source=Google&amp;utm_medium=Organic&amp;utm_campaign=Yext&amp;utm_content=FAD&amp;utm_keyword=HCGH" TargetMode="External"/><Relationship Id="rId633" Type="http://schemas.openxmlformats.org/officeDocument/2006/relationships/hyperlink" Target="https://www.thearcbaltimore.org/" TargetMode="External"/><Relationship Id="rId875" Type="http://schemas.openxmlformats.org/officeDocument/2006/relationships/hyperlink" Target="https://health.maryland.gov/" TargetMode="External"/><Relationship Id="rId632" Type="http://schemas.openxmlformats.org/officeDocument/2006/relationships/hyperlink" Target="https://www.salvationarmyusa.org/" TargetMode="External"/><Relationship Id="rId874" Type="http://schemas.openxmlformats.org/officeDocument/2006/relationships/hyperlink" Target="http://believeintomorrow.org/" TargetMode="External"/><Relationship Id="rId639" Type="http://schemas.openxmlformats.org/officeDocument/2006/relationships/hyperlink" Target="https://www.moneymanagement.org/locations/maryland/columbia" TargetMode="External"/><Relationship Id="rId638" Type="http://schemas.openxmlformats.org/officeDocument/2006/relationships/hyperlink" Target="https://dat.maryland.gov/" TargetMode="External"/><Relationship Id="rId637" Type="http://schemas.openxmlformats.org/officeDocument/2006/relationships/hyperlink" Target="http://www.belair-edison.org/" TargetMode="External"/><Relationship Id="rId879" Type="http://schemas.openxmlformats.org/officeDocument/2006/relationships/hyperlink" Target="http://www.ronaldmcdonaldhousemd.org/" TargetMode="External"/><Relationship Id="rId636" Type="http://schemas.openxmlformats.org/officeDocument/2006/relationships/hyperlink" Target="https://opc.maryland.gov/" TargetMode="External"/><Relationship Id="rId878" Type="http://schemas.openxmlformats.org/officeDocument/2006/relationships/hyperlink" Target="http://www.jaimedicalcenter.com/" TargetMode="External"/><Relationship Id="rId631" Type="http://schemas.openxmlformats.org/officeDocument/2006/relationships/hyperlink" Target="http://www.parkwestmed.org/" TargetMode="External"/><Relationship Id="rId873" Type="http://schemas.openxmlformats.org/officeDocument/2006/relationships/hyperlink" Target="http://www.jaimedicalsystems.com/" TargetMode="External"/><Relationship Id="rId630" Type="http://schemas.openxmlformats.org/officeDocument/2006/relationships/hyperlink" Target="http://www.fuelfundmaryland.org/" TargetMode="External"/><Relationship Id="rId872" Type="http://schemas.openxmlformats.org/officeDocument/2006/relationships/hyperlink" Target="https://brigancebrigade.org/" TargetMode="External"/><Relationship Id="rId871" Type="http://schemas.openxmlformats.org/officeDocument/2006/relationships/hyperlink" Target="https://www.getccgtherapy.org/" TargetMode="External"/><Relationship Id="rId870" Type="http://schemas.openxmlformats.org/officeDocument/2006/relationships/hyperlink" Target="http://www.brighthorizonsbehavioralhealth.com/" TargetMode="External"/><Relationship Id="rId829" Type="http://schemas.openxmlformats.org/officeDocument/2006/relationships/hyperlink" Target="https://www.conduitbhs.com/contact-us" TargetMode="External"/><Relationship Id="rId828" Type="http://schemas.openxmlformats.org/officeDocument/2006/relationships/hyperlink" Target="https://www.anxietyandstress.com/" TargetMode="External"/><Relationship Id="rId827" Type="http://schemas.openxmlformats.org/officeDocument/2006/relationships/hyperlink" Target="https://youturnbhs.com/" TargetMode="External"/><Relationship Id="rId822" Type="http://schemas.openxmlformats.org/officeDocument/2006/relationships/hyperlink" Target="https://blossomcareservices.com/" TargetMode="External"/><Relationship Id="rId821" Type="http://schemas.openxmlformats.org/officeDocument/2006/relationships/hyperlink" Target="https://www.islamicleadership.org/" TargetMode="External"/><Relationship Id="rId820" Type="http://schemas.openxmlformats.org/officeDocument/2006/relationships/hyperlink" Target="https://www.kindredtreatmentcenter.com/" TargetMode="External"/><Relationship Id="rId826" Type="http://schemas.openxmlformats.org/officeDocument/2006/relationships/hyperlink" Target="https://lifestance.com/location/timonium-md-1205-york-rd/?utm_source=gmb&amp;utm_medium=organic&amp;utm_campaign=locations" TargetMode="External"/><Relationship Id="rId825" Type="http://schemas.openxmlformats.org/officeDocument/2006/relationships/hyperlink" Target="https://releaserenewmentalwellness.com/" TargetMode="External"/><Relationship Id="rId824" Type="http://schemas.openxmlformats.org/officeDocument/2006/relationships/hyperlink" Target="http://www.clhmentalhealth.org/" TargetMode="External"/><Relationship Id="rId823" Type="http://schemas.openxmlformats.org/officeDocument/2006/relationships/hyperlink" Target="http://familysfirstmd.com/" TargetMode="External"/><Relationship Id="rId819" Type="http://schemas.openxmlformats.org/officeDocument/2006/relationships/hyperlink" Target="http://cancerhopenetwork.org/" TargetMode="External"/><Relationship Id="rId818" Type="http://schemas.openxmlformats.org/officeDocument/2006/relationships/hyperlink" Target="https://www.centrepointecounseling.org/" TargetMode="External"/><Relationship Id="rId817" Type="http://schemas.openxmlformats.org/officeDocument/2006/relationships/hyperlink" Target="http://www.aimbhs.com/" TargetMode="External"/><Relationship Id="rId816" Type="http://schemas.openxmlformats.org/officeDocument/2006/relationships/hyperlink" Target="https://www.cancercare.org/" TargetMode="External"/><Relationship Id="rId811" Type="http://schemas.openxmlformats.org/officeDocument/2006/relationships/hyperlink" Target="http://www.projectchesapeake.com/" TargetMode="External"/><Relationship Id="rId810" Type="http://schemas.openxmlformats.org/officeDocument/2006/relationships/hyperlink" Target="https://doverbehavioral.com/" TargetMode="External"/><Relationship Id="rId815" Type="http://schemas.openxmlformats.org/officeDocument/2006/relationships/hyperlink" Target="http://www.gowoyo.org/" TargetMode="External"/><Relationship Id="rId814" Type="http://schemas.openxmlformats.org/officeDocument/2006/relationships/hyperlink" Target="http://lifemark.pro/" TargetMode="External"/><Relationship Id="rId813" Type="http://schemas.openxmlformats.org/officeDocument/2006/relationships/hyperlink" Target="http://www.lifecrisiscenter.org/" TargetMode="External"/><Relationship Id="rId812" Type="http://schemas.openxmlformats.org/officeDocument/2006/relationships/hyperlink" Target="https://www.medstarhealth.org/locations/medstar-st-marys-hospital?utm_campaign=mhs_citations&amp;utm_medium=listing&amp;utm_source=citation_management&amp;utm_term=hospital" TargetMode="External"/><Relationship Id="rId609" Type="http://schemas.openxmlformats.org/officeDocument/2006/relationships/hyperlink" Target="https://www.asbury.org/asbury-methodist-village/?utm_source=local-listing&amp;utm_medium=organic&amp;utm_campaign=gbp" TargetMode="External"/><Relationship Id="rId608" Type="http://schemas.openxmlformats.org/officeDocument/2006/relationships/hyperlink" Target="http://myvillageatlakeview.com/" TargetMode="External"/><Relationship Id="rId607" Type="http://schemas.openxmlformats.org/officeDocument/2006/relationships/hyperlink" Target="https://www.victoryhousing.org/grace-house/about-us/" TargetMode="External"/><Relationship Id="rId849" Type="http://schemas.openxmlformats.org/officeDocument/2006/relationships/hyperlink" Target="http://allwalksoflife.org/" TargetMode="External"/><Relationship Id="rId602" Type="http://schemas.openxmlformats.org/officeDocument/2006/relationships/hyperlink" Target="http://www.thearcmd.org/" TargetMode="External"/><Relationship Id="rId844" Type="http://schemas.openxmlformats.org/officeDocument/2006/relationships/hyperlink" Target="http://truintegritycounseling.com/" TargetMode="External"/><Relationship Id="rId601" Type="http://schemas.openxmlformats.org/officeDocument/2006/relationships/hyperlink" Target="http://www.centerforsocialchange.org/" TargetMode="External"/><Relationship Id="rId843" Type="http://schemas.openxmlformats.org/officeDocument/2006/relationships/hyperlink" Target="http://www.harvestofhopebh.com/" TargetMode="External"/><Relationship Id="rId600" Type="http://schemas.openxmlformats.org/officeDocument/2006/relationships/hyperlink" Target="http://cherryhillsenior.com/" TargetMode="External"/><Relationship Id="rId842" Type="http://schemas.openxmlformats.org/officeDocument/2006/relationships/hyperlink" Target="https://jaycarementalhealthcenters.com//" TargetMode="External"/><Relationship Id="rId841" Type="http://schemas.openxmlformats.org/officeDocument/2006/relationships/hyperlink" Target="https://www.mythsmd.org/" TargetMode="External"/><Relationship Id="rId606" Type="http://schemas.openxmlformats.org/officeDocument/2006/relationships/hyperlink" Target="http://www.harfordsenior.com/Contact/contact.html" TargetMode="External"/><Relationship Id="rId848" Type="http://schemas.openxmlformats.org/officeDocument/2006/relationships/hyperlink" Target="http://emrcgroup.org/home/about-us/" TargetMode="External"/><Relationship Id="rId605" Type="http://schemas.openxmlformats.org/officeDocument/2006/relationships/hyperlink" Target="https://alfredhouse.com/" TargetMode="External"/><Relationship Id="rId847" Type="http://schemas.openxmlformats.org/officeDocument/2006/relationships/hyperlink" Target="https://www.columbiapsychmd.com/" TargetMode="External"/><Relationship Id="rId604" Type="http://schemas.openxmlformats.org/officeDocument/2006/relationships/hyperlink" Target="https://www.victoryhousing.org/victory-haven/?utm_source=GMB&amp;utm_medium=GMB&amp;utm_campaign=GMB" TargetMode="External"/><Relationship Id="rId846" Type="http://schemas.openxmlformats.org/officeDocument/2006/relationships/hyperlink" Target="https://beaconofhopemd.org/" TargetMode="External"/><Relationship Id="rId603" Type="http://schemas.openxmlformats.org/officeDocument/2006/relationships/hyperlink" Target="http://creativeoptionsmd.com/" TargetMode="External"/><Relationship Id="rId845" Type="http://schemas.openxmlformats.org/officeDocument/2006/relationships/hyperlink" Target="http://www.namibaltimore.org/" TargetMode="External"/><Relationship Id="rId840" Type="http://schemas.openxmlformats.org/officeDocument/2006/relationships/hyperlink" Target="https://lighthousemd.org/" TargetMode="External"/><Relationship Id="rId839" Type="http://schemas.openxmlformats.org/officeDocument/2006/relationships/hyperlink" Target="http://mercybehavioralhealthcenter.com/" TargetMode="External"/><Relationship Id="rId838" Type="http://schemas.openxmlformats.org/officeDocument/2006/relationships/hyperlink" Target="http://mycovenantplace.org/" TargetMode="External"/><Relationship Id="rId833" Type="http://schemas.openxmlformats.org/officeDocument/2006/relationships/hyperlink" Target="http://visionhealthcare.org/contact.html" TargetMode="External"/><Relationship Id="rId832" Type="http://schemas.openxmlformats.org/officeDocument/2006/relationships/hyperlink" Target="https://optimummd.com/" TargetMode="External"/><Relationship Id="rId831" Type="http://schemas.openxmlformats.org/officeDocument/2006/relationships/hyperlink" Target="http://inspiritmaryland.org/contact-us/" TargetMode="External"/><Relationship Id="rId830" Type="http://schemas.openxmlformats.org/officeDocument/2006/relationships/hyperlink" Target="https://www.altruistichcs.com/" TargetMode="External"/><Relationship Id="rId837" Type="http://schemas.openxmlformats.org/officeDocument/2006/relationships/hyperlink" Target="https://www.probonocounseling.org/" TargetMode="External"/><Relationship Id="rId836" Type="http://schemas.openxmlformats.org/officeDocument/2006/relationships/hyperlink" Target="https://youarecreatedforgreater.com/" TargetMode="External"/><Relationship Id="rId835" Type="http://schemas.openxmlformats.org/officeDocument/2006/relationships/hyperlink" Target="https://www.victoriousmentalhealthcare.com/" TargetMode="External"/><Relationship Id="rId834" Type="http://schemas.openxmlformats.org/officeDocument/2006/relationships/hyperlink" Target="http://glasshouserecovery.com/" TargetMode="External"/><Relationship Id="rId1059" Type="http://schemas.openxmlformats.org/officeDocument/2006/relationships/hyperlink" Target="https://www.synergyhomecare.com/md-ellicott-city-21042/?utm_source=google&amp;utm_medium=local&amp;utm_campaign=localmaps&amp;utm_content=2110" TargetMode="External"/><Relationship Id="rId228" Type="http://schemas.openxmlformats.org/officeDocument/2006/relationships/hyperlink" Target="http://autumnlakebridgepark.com/" TargetMode="External"/><Relationship Id="rId227" Type="http://schemas.openxmlformats.org/officeDocument/2006/relationships/hyperlink" Target="https://www.csi.coop/housing/md/baltimore/bowleys-garden-villa/default" TargetMode="External"/><Relationship Id="rId469" Type="http://schemas.openxmlformats.org/officeDocument/2006/relationships/hyperlink" Target="http://stephsafehaven.com/index.php/about-us/" TargetMode="External"/><Relationship Id="rId226" Type="http://schemas.openxmlformats.org/officeDocument/2006/relationships/hyperlink" Target="https://bonsecours.com/baltimore/find-a-facility/bon-secours-smallwood-summit" TargetMode="External"/><Relationship Id="rId468" Type="http://schemas.openxmlformats.org/officeDocument/2006/relationships/hyperlink" Target="https://www.ssmaps.com/how-to-start-an-assisted-living-facility/" TargetMode="External"/><Relationship Id="rId225" Type="http://schemas.openxmlformats.org/officeDocument/2006/relationships/hyperlink" Target="https://www.bonsecours.com/locations/community-services/baltimore/affordable-housing-locations" TargetMode="External"/><Relationship Id="rId467" Type="http://schemas.openxmlformats.org/officeDocument/2006/relationships/hyperlink" Target="https://www.catholiccharities-md.org/services/senior-communities/" TargetMode="External"/><Relationship Id="rId229" Type="http://schemas.openxmlformats.org/officeDocument/2006/relationships/hyperlink" Target="https://www.brightviewseniorliving.com/find-a-community/brightview-catonsville" TargetMode="External"/><Relationship Id="rId1050" Type="http://schemas.openxmlformats.org/officeDocument/2006/relationships/hyperlink" Target="https://lhcgroup.com/locations/vna-of-maryland/" TargetMode="External"/><Relationship Id="rId220" Type="http://schemas.openxmlformats.org/officeDocument/2006/relationships/hyperlink" Target="http://www.blakehurstlcs.com/?utm_campaign=gmb&amp;utm_content=business_profile_link&amp;utm_id=dir_gbp_organic&amp;utm_medium=directory&amp;utm_source=gbp" TargetMode="External"/><Relationship Id="rId462" Type="http://schemas.openxmlformats.org/officeDocument/2006/relationships/hyperlink" Target="https://stelizabethnursing.com/" TargetMode="External"/><Relationship Id="rId1051" Type="http://schemas.openxmlformats.org/officeDocument/2006/relationships/hyperlink" Target="https://www.novacare.com/contact/find-a-location/md/westminster/westminster/?ty=xt" TargetMode="External"/><Relationship Id="rId461" Type="http://schemas.openxmlformats.org/officeDocument/2006/relationships/hyperlink" Target="https://stellamaris.org/senior-living/independent-living/" TargetMode="External"/><Relationship Id="rId1052" Type="http://schemas.openxmlformats.org/officeDocument/2006/relationships/hyperlink" Target="https://futurecare.com/locations/courtland/" TargetMode="External"/><Relationship Id="rId460" Type="http://schemas.openxmlformats.org/officeDocument/2006/relationships/hyperlink" Target="https://www.catholiccharities-md.org/services/senior-communities/" TargetMode="External"/><Relationship Id="rId1053" Type="http://schemas.openxmlformats.org/officeDocument/2006/relationships/hyperlink" Target="http://preciousheartsmd.com/" TargetMode="External"/><Relationship Id="rId1054" Type="http://schemas.openxmlformats.org/officeDocument/2006/relationships/hyperlink" Target="http://www.reliablemedical.net/" TargetMode="External"/><Relationship Id="rId224" Type="http://schemas.openxmlformats.org/officeDocument/2006/relationships/hyperlink" Target="http://bonsecours.com/housing" TargetMode="External"/><Relationship Id="rId466" Type="http://schemas.openxmlformats.org/officeDocument/2006/relationships/hyperlink" Target="https://www.catholiccharities-md.org/services/senior-communities/" TargetMode="External"/><Relationship Id="rId1055" Type="http://schemas.openxmlformats.org/officeDocument/2006/relationships/hyperlink" Target="http://www.forwardvisionsinc.org/about-us/" TargetMode="External"/><Relationship Id="rId223" Type="http://schemas.openxmlformats.org/officeDocument/2006/relationships/hyperlink" Target="https://www.boltonnorthapts.com/" TargetMode="External"/><Relationship Id="rId465" Type="http://schemas.openxmlformats.org/officeDocument/2006/relationships/hyperlink" Target="http://www.stjosephs.net/" TargetMode="External"/><Relationship Id="rId1056" Type="http://schemas.openxmlformats.org/officeDocument/2006/relationships/hyperlink" Target="https://www.onenahealth.org/" TargetMode="External"/><Relationship Id="rId222" Type="http://schemas.openxmlformats.org/officeDocument/2006/relationships/hyperlink" Target="https://boltonhouse.com/" TargetMode="External"/><Relationship Id="rId464" Type="http://schemas.openxmlformats.org/officeDocument/2006/relationships/hyperlink" Target="https://www.catholiccharities-md.org/services/senior-communities/" TargetMode="External"/><Relationship Id="rId1057" Type="http://schemas.openxmlformats.org/officeDocument/2006/relationships/hyperlink" Target="https://communicarehealth.com/location/ellicott-city-healthcare-center/?utm_source=google&amp;utm_medium=organic&amp;utm_campaign=gbp-ellicott-city" TargetMode="External"/><Relationship Id="rId221" Type="http://schemas.openxmlformats.org/officeDocument/2006/relationships/hyperlink" Target="https://www.communicarehealth.com/location/blue-point-healthcare-center/?utm_source=google&amp;utm_medium=organic&amp;utm_campaign=gbp-blue-point" TargetMode="External"/><Relationship Id="rId463" Type="http://schemas.openxmlformats.org/officeDocument/2006/relationships/hyperlink" Target="https://www.capreit.com/properties" TargetMode="External"/><Relationship Id="rId1058" Type="http://schemas.openxmlformats.org/officeDocument/2006/relationships/hyperlink" Target="https://www.lifebridgehealth.org/locations/sinai-hospital" TargetMode="External"/><Relationship Id="rId1048" Type="http://schemas.openxmlformats.org/officeDocument/2006/relationships/hyperlink" Target="https://trustedheartshcs.com/" TargetMode="External"/><Relationship Id="rId1049" Type="http://schemas.openxmlformats.org/officeDocument/2006/relationships/hyperlink" Target="https://www.neurologycenter.com/?utm_source=GMBSocialClimb&amp;utm_medium=TheNeurologyCenterLeisureWorldPlaza" TargetMode="External"/><Relationship Id="rId217" Type="http://schemas.openxmlformats.org/officeDocument/2006/relationships/hyperlink" Target="http://beechwoodassistedliving.com/" TargetMode="External"/><Relationship Id="rId459" Type="http://schemas.openxmlformats.org/officeDocument/2006/relationships/hyperlink" Target="https://www.catholiccharities-md.org/services/st-ann-adult-day-services/" TargetMode="External"/><Relationship Id="rId216" Type="http://schemas.openxmlformats.org/officeDocument/2006/relationships/hyperlink" Target="https://www.catholiccharities-md.org/services/senior-communities/" TargetMode="External"/><Relationship Id="rId458" Type="http://schemas.openxmlformats.org/officeDocument/2006/relationships/hyperlink" Target="http://www.springwellseniorliving.com/" TargetMode="External"/><Relationship Id="rId215" Type="http://schemas.openxmlformats.org/officeDocument/2006/relationships/hyperlink" Target="https://www.baltimorecountymd.gov/departments/housing/" TargetMode="External"/><Relationship Id="rId457" Type="http://schemas.openxmlformats.org/officeDocument/2006/relationships/hyperlink" Target="https://health.maryland.gov/springgrove/Pages/home.aspx" TargetMode="External"/><Relationship Id="rId699" Type="http://schemas.openxmlformats.org/officeDocument/2006/relationships/hyperlink" Target="http://www.compasshealthservices.com/" TargetMode="External"/><Relationship Id="rId214" Type="http://schemas.openxmlformats.org/officeDocument/2006/relationships/hyperlink" Target="https://avilahomecare.com/" TargetMode="External"/><Relationship Id="rId456" Type="http://schemas.openxmlformats.org/officeDocument/2006/relationships/hyperlink" Target="https://www.lifebridgehealth.org/locations/sinai-hospital" TargetMode="External"/><Relationship Id="rId698" Type="http://schemas.openxmlformats.org/officeDocument/2006/relationships/hyperlink" Target="http://www.msachild.com/" TargetMode="External"/><Relationship Id="rId219" Type="http://schemas.openxmlformats.org/officeDocument/2006/relationships/hyperlink" Target="https://bestcareliving.com/" TargetMode="External"/><Relationship Id="rId218" Type="http://schemas.openxmlformats.org/officeDocument/2006/relationships/hyperlink" Target="http://thefrenchcompanies.com/?page_id=422" TargetMode="External"/><Relationship Id="rId451" Type="http://schemas.openxmlformats.org/officeDocument/2006/relationships/hyperlink" Target="https://www.sheppardpratt.org/locations-directions/details/sheppard-pratt-school-in-glyndon-glyndon-campus/" TargetMode="External"/><Relationship Id="rId693" Type="http://schemas.openxmlformats.org/officeDocument/2006/relationships/hyperlink" Target="http://www.cwcmd.org/" TargetMode="External"/><Relationship Id="rId1040" Type="http://schemas.openxmlformats.org/officeDocument/2006/relationships/hyperlink" Target="http://www.telamon.org/" TargetMode="External"/><Relationship Id="rId450" Type="http://schemas.openxmlformats.org/officeDocument/2006/relationships/hyperlink" Target="https://www.sharpleadenhall.com/?utm_knock=gmb" TargetMode="External"/><Relationship Id="rId692" Type="http://schemas.openxmlformats.org/officeDocument/2006/relationships/hyperlink" Target="https://royalmindsrehab.com/" TargetMode="External"/><Relationship Id="rId1041" Type="http://schemas.openxmlformats.org/officeDocument/2006/relationships/hyperlink" Target="http://www.firstcccenter.com/" TargetMode="External"/><Relationship Id="rId691" Type="http://schemas.openxmlformats.org/officeDocument/2006/relationships/hyperlink" Target="http://www.bbhcn.org/" TargetMode="External"/><Relationship Id="rId1042" Type="http://schemas.openxmlformats.org/officeDocument/2006/relationships/hyperlink" Target="https://autismsociety.org/" TargetMode="External"/><Relationship Id="rId690" Type="http://schemas.openxmlformats.org/officeDocument/2006/relationships/hyperlink" Target="http://www.ooohci.org/" TargetMode="External"/><Relationship Id="rId1043" Type="http://schemas.openxmlformats.org/officeDocument/2006/relationships/hyperlink" Target="https://www.annapoliswellnesshouse.org/" TargetMode="External"/><Relationship Id="rId213" Type="http://schemas.openxmlformats.org/officeDocument/2006/relationships/hyperlink" Target="https://www.aventuraattheheights.com/" TargetMode="External"/><Relationship Id="rId455" Type="http://schemas.openxmlformats.org/officeDocument/2006/relationships/hyperlink" Target="http://www.shirleycares.org/" TargetMode="External"/><Relationship Id="rId697" Type="http://schemas.openxmlformats.org/officeDocument/2006/relationships/hyperlink" Target="https://www.anewpsychiatrywellness.com/" TargetMode="External"/><Relationship Id="rId1044" Type="http://schemas.openxmlformats.org/officeDocument/2006/relationships/hyperlink" Target="http://www.dfamerica.org/contact-us/" TargetMode="External"/><Relationship Id="rId212" Type="http://schemas.openxmlformats.org/officeDocument/2006/relationships/hyperlink" Target="https://northoaksseniorliving.com/?gad_source=1&amp;gclid=EAIaIQobChMIwYGClJbdggMVRe_ICh3xOAisEAAYASAAEgIsVfD_BwE" TargetMode="External"/><Relationship Id="rId454" Type="http://schemas.openxmlformats.org/officeDocument/2006/relationships/hyperlink" Target="https://www.sheppardpratt.org/locations-directions/details/sheppard-pratt-baltimore-washington-campus/" TargetMode="External"/><Relationship Id="rId696" Type="http://schemas.openxmlformats.org/officeDocument/2006/relationships/hyperlink" Target="http://www.dynamichealthcares.com/" TargetMode="External"/><Relationship Id="rId1045" Type="http://schemas.openxmlformats.org/officeDocument/2006/relationships/hyperlink" Target="https://www.nationalmssociety.org/" TargetMode="External"/><Relationship Id="rId211" Type="http://schemas.openxmlformats.org/officeDocument/2006/relationships/hyperlink" Target="https://cogirusa.com/communities/atrium-village/?utm_campaign=google-business-profile&amp;utm_medium=organic&amp;utm_source=gmb&amp;utm_content=atrium-village" TargetMode="External"/><Relationship Id="rId453" Type="http://schemas.openxmlformats.org/officeDocument/2006/relationships/hyperlink" Target="https://www.sheppardpratt.org/" TargetMode="External"/><Relationship Id="rId695" Type="http://schemas.openxmlformats.org/officeDocument/2006/relationships/hyperlink" Target="https://www.medstarhealth.org/locations/medstar-harbor-hospital?utm_campaign=mhs_citations&amp;utm_medium=listing&amp;utm_source=citation_management&amp;utm_term=hospital" TargetMode="External"/><Relationship Id="rId1046" Type="http://schemas.openxmlformats.org/officeDocument/2006/relationships/hyperlink" Target="https://adachelp.org/" TargetMode="External"/><Relationship Id="rId210" Type="http://schemas.openxmlformats.org/officeDocument/2006/relationships/hyperlink" Target="https://www.baltimorecountymd.gov/departments/aging/centers/ateaze/" TargetMode="External"/><Relationship Id="rId452" Type="http://schemas.openxmlformats.org/officeDocument/2006/relationships/hyperlink" Target="https://www.sheppardpratt.org/locations-directions/details/sheppard-pratt-school-in-hunt-valley/" TargetMode="External"/><Relationship Id="rId694" Type="http://schemas.openxmlformats.org/officeDocument/2006/relationships/hyperlink" Target="https://itsnotoverllc.com/" TargetMode="External"/><Relationship Id="rId1047" Type="http://schemas.openxmlformats.org/officeDocument/2006/relationships/hyperlink" Target="https://autismsocietymd.org/" TargetMode="External"/><Relationship Id="rId491" Type="http://schemas.openxmlformats.org/officeDocument/2006/relationships/hyperlink" Target="http://stadiumhc.com/" TargetMode="External"/><Relationship Id="rId490" Type="http://schemas.openxmlformats.org/officeDocument/2006/relationships/hyperlink" Target="https://millenniumcare.org/" TargetMode="External"/><Relationship Id="rId249" Type="http://schemas.openxmlformats.org/officeDocument/2006/relationships/hyperlink" Target="https://www.baltimorecountymd.gov/" TargetMode="External"/><Relationship Id="rId248" Type="http://schemas.openxmlformats.org/officeDocument/2006/relationships/hyperlink" Target="https://www.baltimorecountymd.gov/departments/aging/centers/liberty/" TargetMode="External"/><Relationship Id="rId247" Type="http://schemas.openxmlformats.org/officeDocument/2006/relationships/hyperlink" Target="https://www.baltimorecountymd.gov/departments/aging/centers/catonsville" TargetMode="External"/><Relationship Id="rId489" Type="http://schemas.openxmlformats.org/officeDocument/2006/relationships/hyperlink" Target="https://www.habitatamerica.com/meadows-of-reisterstown-ii/default" TargetMode="External"/><Relationship Id="rId1070" Type="http://schemas.openxmlformats.org/officeDocument/2006/relationships/hyperlink" Target="http://www.certifiedhomenursingsolutions.com/" TargetMode="External"/><Relationship Id="rId1071" Type="http://schemas.openxmlformats.org/officeDocument/2006/relationships/hyperlink" Target="https://www.adluxehealthcare.com/" TargetMode="External"/><Relationship Id="rId1072" Type="http://schemas.openxmlformats.org/officeDocument/2006/relationships/hyperlink" Target="http://cymatexconsults.com/" TargetMode="External"/><Relationship Id="rId242" Type="http://schemas.openxmlformats.org/officeDocument/2006/relationships/hyperlink" Target="http://www.caring-hands.org/" TargetMode="External"/><Relationship Id="rId484" Type="http://schemas.openxmlformats.org/officeDocument/2006/relationships/hyperlink" Target="http://greensatloganfield.enterpriseresidential.org/" TargetMode="External"/><Relationship Id="rId1073" Type="http://schemas.openxmlformats.org/officeDocument/2006/relationships/hyperlink" Target="http://www.gavahealthcareservices.com/" TargetMode="External"/><Relationship Id="rId241" Type="http://schemas.openxmlformats.org/officeDocument/2006/relationships/hyperlink" Target="https://futurecare.com/locations/canton-harbor/" TargetMode="External"/><Relationship Id="rId483" Type="http://schemas.openxmlformats.org/officeDocument/2006/relationships/hyperlink" Target="http://greensatlibertyroad.enterpriseresidential.org/" TargetMode="External"/><Relationship Id="rId1074" Type="http://schemas.openxmlformats.org/officeDocument/2006/relationships/hyperlink" Target="https://www.myhomecares.com/" TargetMode="External"/><Relationship Id="rId240" Type="http://schemas.openxmlformats.org/officeDocument/2006/relationships/hyperlink" Target="https://www.prattlibrary.org/locations/canton" TargetMode="External"/><Relationship Id="rId482" Type="http://schemas.openxmlformats.org/officeDocument/2006/relationships/hyperlink" Target="http://greensatenglishconsul.enterpriseresidential.org/" TargetMode="External"/><Relationship Id="rId1075" Type="http://schemas.openxmlformats.org/officeDocument/2006/relationships/hyperlink" Target="http://www.conquesthealthllc.com/" TargetMode="External"/><Relationship Id="rId481" Type="http://schemas.openxmlformats.org/officeDocument/2006/relationships/hyperlink" Target="http://www.theedenplace.live/" TargetMode="External"/><Relationship Id="rId1076" Type="http://schemas.openxmlformats.org/officeDocument/2006/relationships/hyperlink" Target="https://onenationhealthcare.com/" TargetMode="External"/><Relationship Id="rId246" Type="http://schemas.openxmlformats.org/officeDocument/2006/relationships/hyperlink" Target="http://www.carrollparkhcr.com/" TargetMode="External"/><Relationship Id="rId488" Type="http://schemas.openxmlformats.org/officeDocument/2006/relationships/hyperlink" Target="http://www.leagueforpeople.org/" TargetMode="External"/><Relationship Id="rId1077" Type="http://schemas.openxmlformats.org/officeDocument/2006/relationships/hyperlink" Target="https://excellencehomecarellc.com/" TargetMode="External"/><Relationship Id="rId245" Type="http://schemas.openxmlformats.org/officeDocument/2006/relationships/hyperlink" Target="https://www.catholiccharities-md.org/services/caritas-house-assisted-living" TargetMode="External"/><Relationship Id="rId487" Type="http://schemas.openxmlformats.org/officeDocument/2006/relationships/hyperlink" Target="http://thejfcare.info/" TargetMode="External"/><Relationship Id="rId1078" Type="http://schemas.openxmlformats.org/officeDocument/2006/relationships/hyperlink" Target="https://futurecare.com/locations/cold-spring/" TargetMode="External"/><Relationship Id="rId244" Type="http://schemas.openxmlformats.org/officeDocument/2006/relationships/hyperlink" Target="https://caring-home-assisted-living.business.site/?utm_source=gmb&amp;utm_medium=referral" TargetMode="External"/><Relationship Id="rId486" Type="http://schemas.openxmlformats.org/officeDocument/2006/relationships/hyperlink" Target="http://harbourschool.org/" TargetMode="External"/><Relationship Id="rId1079" Type="http://schemas.openxmlformats.org/officeDocument/2006/relationships/hyperlink" Target="https://www.louriecenter.org/LC/?utm_source=local-listing&amp;utm_medium=organic&amp;utm_campaign=website-link" TargetMode="External"/><Relationship Id="rId243" Type="http://schemas.openxmlformats.org/officeDocument/2006/relationships/hyperlink" Target="http://www.caring-hands.org/" TargetMode="External"/><Relationship Id="rId485" Type="http://schemas.openxmlformats.org/officeDocument/2006/relationships/hyperlink" Target="http://greensatrollingroad.enterpriseresidential.org/" TargetMode="External"/><Relationship Id="rId480" Type="http://schemas.openxmlformats.org/officeDocument/2006/relationships/hyperlink" Target="https://www.cottagesofperryhall.com/?utm_source=local_listing&amp;utm_medium=organic&amp;utm_id=GBP" TargetMode="External"/><Relationship Id="rId239" Type="http://schemas.openxmlformats.org/officeDocument/2006/relationships/hyperlink" Target="http://bykota.org/" TargetMode="External"/><Relationship Id="rId238" Type="http://schemas.openxmlformats.org/officeDocument/2006/relationships/hyperlink" Target="https://bcttworks.com/" TargetMode="External"/><Relationship Id="rId237" Type="http://schemas.openxmlformats.org/officeDocument/2006/relationships/hyperlink" Target="https://www.prattlibrary.org/locations/brooklyn" TargetMode="External"/><Relationship Id="rId479" Type="http://schemas.openxmlformats.org/officeDocument/2006/relationships/hyperlink" Target="https://chimes.org/about/chimes-family/the-chimes-school/" TargetMode="External"/><Relationship Id="rId236" Type="http://schemas.openxmlformats.org/officeDocument/2006/relationships/hyperlink" Target="http://www.broadmead.org/" TargetMode="External"/><Relationship Id="rId478" Type="http://schemas.openxmlformats.org/officeDocument/2006/relationships/hyperlink" Target="http://angelnetworkassistedliving.com/" TargetMode="External"/><Relationship Id="rId1060" Type="http://schemas.openxmlformats.org/officeDocument/2006/relationships/hyperlink" Target="http://www.universalkeysolutions.com/" TargetMode="External"/><Relationship Id="rId1061" Type="http://schemas.openxmlformats.org/officeDocument/2006/relationships/hyperlink" Target="https://cwlachomecare.com/" TargetMode="External"/><Relationship Id="rId231" Type="http://schemas.openxmlformats.org/officeDocument/2006/relationships/hyperlink" Target="http://www.brightviewmayschapelridge.com/" TargetMode="External"/><Relationship Id="rId473" Type="http://schemas.openxmlformats.org/officeDocument/2006/relationships/hyperlink" Target="http://svaliving.com/?utm_source=gmb&amp;utm_medium=referral" TargetMode="External"/><Relationship Id="rId1062" Type="http://schemas.openxmlformats.org/officeDocument/2006/relationships/hyperlink" Target="http://giftedhandsseniorcare.org/" TargetMode="External"/><Relationship Id="rId230" Type="http://schemas.openxmlformats.org/officeDocument/2006/relationships/hyperlink" Target="https://www.brightviewseniorliving.com/find-a-community/brightview-hunt-valley" TargetMode="External"/><Relationship Id="rId472" Type="http://schemas.openxmlformats.org/officeDocument/2006/relationships/hyperlink" Target="https://autumnlakesummitpark.com/" TargetMode="External"/><Relationship Id="rId1063" Type="http://schemas.openxmlformats.org/officeDocument/2006/relationships/hyperlink" Target="https://futurecare.com/locations/homewood/" TargetMode="External"/><Relationship Id="rId471" Type="http://schemas.openxmlformats.org/officeDocument/2006/relationships/hyperlink" Target="http://stewart-manor.com/" TargetMode="External"/><Relationship Id="rId1064" Type="http://schemas.openxmlformats.org/officeDocument/2006/relationships/hyperlink" Target="https://amerihomecareservicesllc.com/" TargetMode="External"/><Relationship Id="rId470" Type="http://schemas.openxmlformats.org/officeDocument/2006/relationships/hyperlink" Target="http://www.sterlingassistedliving.com/" TargetMode="External"/><Relationship Id="rId1065" Type="http://schemas.openxmlformats.org/officeDocument/2006/relationships/hyperlink" Target="https://healthcare.ascension.org/locations/maryland/mdbal/baltimore-ascension-saint-agnes-hospital?utm_campaign=gmb&amp;utm_medium=organic-search&amp;utm_content=location-listing&amp;utm_source=local" TargetMode="External"/><Relationship Id="rId235" Type="http://schemas.openxmlformats.org/officeDocument/2006/relationships/hyperlink" Target="https://www.brightviewseniorliving.com/find-a-community/brightview-white-marsh" TargetMode="External"/><Relationship Id="rId477" Type="http://schemas.openxmlformats.org/officeDocument/2006/relationships/hyperlink" Target="https://www.csi.coop/housing/md/baltimore/terrace-garden/default" TargetMode="External"/><Relationship Id="rId1066" Type="http://schemas.openxmlformats.org/officeDocument/2006/relationships/hyperlink" Target="http://www.kennedykrieger.org/" TargetMode="External"/><Relationship Id="rId234" Type="http://schemas.openxmlformats.org/officeDocument/2006/relationships/hyperlink" Target="http://www.brightviewtowson.com/" TargetMode="External"/><Relationship Id="rId476" Type="http://schemas.openxmlformats.org/officeDocument/2006/relationships/hyperlink" Target="https://www.tabcotowersapts.com/?rcstdid=Mg%3D%3D-YRjTEizZPgM%3D&amp;utm_source=GBP&amp;utm_medium=organic" TargetMode="External"/><Relationship Id="rId1067" Type="http://schemas.openxmlformats.org/officeDocument/2006/relationships/hyperlink" Target="https://atreasuredliving.com/" TargetMode="External"/><Relationship Id="rId233" Type="http://schemas.openxmlformats.org/officeDocument/2006/relationships/hyperlink" Target="https://www.brightviewseniorliving.com/find-a-community/brightview-rolling-hills" TargetMode="External"/><Relationship Id="rId475" Type="http://schemas.openxmlformats.org/officeDocument/2006/relationships/hyperlink" Target="https://www.sonidaseniorliving.com/community/symphony-manor/" TargetMode="External"/><Relationship Id="rId1068" Type="http://schemas.openxmlformats.org/officeDocument/2006/relationships/hyperlink" Target="http://www.bayviewhomecare.com/" TargetMode="External"/><Relationship Id="rId232" Type="http://schemas.openxmlformats.org/officeDocument/2006/relationships/hyperlink" Target="http://www.brightviewperryhall.com/" TargetMode="External"/><Relationship Id="rId474" Type="http://schemas.openxmlformats.org/officeDocument/2006/relationships/hyperlink" Target="https://www.sunriseseniorliving.com/communities/md/sunrise-of-pikesville?utm_source=directory_listings&amp;utm_medium=clicks&amp;utm_campaign=google" TargetMode="External"/><Relationship Id="rId1069" Type="http://schemas.openxmlformats.org/officeDocument/2006/relationships/hyperlink" Target="https://www.medstarhealth.org/services/medstar-health-home-care?utm_campaign=mhs_citations&amp;utm_medium=listing&amp;utm_source=citation_management&amp;utm_term=homecare_central_md" TargetMode="External"/><Relationship Id="rId1015" Type="http://schemas.openxmlformats.org/officeDocument/2006/relationships/hyperlink" Target="https://www.tschc.com/" TargetMode="External"/><Relationship Id="rId1016" Type="http://schemas.openxmlformats.org/officeDocument/2006/relationships/hyperlink" Target="https://www.tschc.com/cumberland-obgyn.html" TargetMode="External"/><Relationship Id="rId1017" Type="http://schemas.openxmlformats.org/officeDocument/2006/relationships/hyperlink" Target="https://www.tschc.com/" TargetMode="External"/><Relationship Id="rId1018" Type="http://schemas.openxmlformats.org/officeDocument/2006/relationships/hyperlink" Target="http://www.mhamd.org/" TargetMode="External"/><Relationship Id="rId1019" Type="http://schemas.openxmlformats.org/officeDocument/2006/relationships/hyperlink" Target="http://www.humanim.com/" TargetMode="External"/><Relationship Id="rId426" Type="http://schemas.openxmlformats.org/officeDocument/2006/relationships/hyperlink" Target="https://mentoradh.com/state-location/rainbow-park-adult-day-health-center/" TargetMode="External"/><Relationship Id="rId668" Type="http://schemas.openxmlformats.org/officeDocument/2006/relationships/hyperlink" Target="https://www.1800runaway.org/" TargetMode="External"/><Relationship Id="rId425" Type="http://schemas.openxmlformats.org/officeDocument/2006/relationships/hyperlink" Target="https://radiantprop.com/case-studies/" TargetMode="External"/><Relationship Id="rId667" Type="http://schemas.openxmlformats.org/officeDocument/2006/relationships/hyperlink" Target="http://www.cancer.org/" TargetMode="External"/><Relationship Id="rId424" Type="http://schemas.openxmlformats.org/officeDocument/2006/relationships/hyperlink" Target="http://www.prologueinc.org/" TargetMode="External"/><Relationship Id="rId666" Type="http://schemas.openxmlformats.org/officeDocument/2006/relationships/hyperlink" Target="http://mercymedical.org/" TargetMode="External"/><Relationship Id="rId423" Type="http://schemas.openxmlformats.org/officeDocument/2006/relationships/hyperlink" Target="http://www.progressunlimited.org/" TargetMode="External"/><Relationship Id="rId665" Type="http://schemas.openxmlformats.org/officeDocument/2006/relationships/hyperlink" Target="https://www.royaloptionsinc.com/" TargetMode="External"/><Relationship Id="rId429" Type="http://schemas.openxmlformats.org/officeDocument/2006/relationships/hyperlink" Target="https://www.catholiccharities-md.org/services/senior-communities/" TargetMode="External"/><Relationship Id="rId428" Type="http://schemas.openxmlformats.org/officeDocument/2006/relationships/hyperlink" Target="https://www.baltimorecountymd.gov/departments/aging/centers/reisterstown/" TargetMode="External"/><Relationship Id="rId427" Type="http://schemas.openxmlformats.org/officeDocument/2006/relationships/hyperlink" Target="https://www.prattlibrary.org/locations/reisterstown-road" TargetMode="External"/><Relationship Id="rId669" Type="http://schemas.openxmlformats.org/officeDocument/2006/relationships/hyperlink" Target="https://www.corpangelnetwork.org/" TargetMode="External"/><Relationship Id="rId660" Type="http://schemas.openxmlformats.org/officeDocument/2006/relationships/hyperlink" Target="https://www.aamds.org/" TargetMode="External"/><Relationship Id="rId1010" Type="http://schemas.openxmlformats.org/officeDocument/2006/relationships/hyperlink" Target="https://www.hopkinsmedicine.org/community_physicians/locations/montgomery_county/rockville_pediatrics.html" TargetMode="External"/><Relationship Id="rId422" Type="http://schemas.openxmlformats.org/officeDocument/2006/relationships/hyperlink" Target="https://autumnlakepostacute.com/" TargetMode="External"/><Relationship Id="rId664" Type="http://schemas.openxmlformats.org/officeDocument/2006/relationships/hyperlink" Target="http://www.afas.org/" TargetMode="External"/><Relationship Id="rId1011" Type="http://schemas.openxmlformats.org/officeDocument/2006/relationships/hyperlink" Target="https://www.hopkinsmedicine.org/community-physicians/locations/breast-surgery-somc" TargetMode="External"/><Relationship Id="rId421" Type="http://schemas.openxmlformats.org/officeDocument/2006/relationships/hyperlink" Target="http://pleasantgarden.org/" TargetMode="External"/><Relationship Id="rId663" Type="http://schemas.openxmlformats.org/officeDocument/2006/relationships/hyperlink" Target="http://www.travelersaid.org/" TargetMode="External"/><Relationship Id="rId1012" Type="http://schemas.openxmlformats.org/officeDocument/2006/relationships/hyperlink" Target="https://www.lakewoodfamilyclinic.com/" TargetMode="External"/><Relationship Id="rId420" Type="http://schemas.openxmlformats.org/officeDocument/2006/relationships/hyperlink" Target="https://pleasantgarden.org/" TargetMode="External"/><Relationship Id="rId662" Type="http://schemas.openxmlformats.org/officeDocument/2006/relationships/hyperlink" Target="https://kidneyfund.org/" TargetMode="External"/><Relationship Id="rId1013" Type="http://schemas.openxmlformats.org/officeDocument/2006/relationships/hyperlink" Target="https://acounseling.org/" TargetMode="External"/><Relationship Id="rId661" Type="http://schemas.openxmlformats.org/officeDocument/2006/relationships/hyperlink" Target="https://www.thetreasuredhaven.org/" TargetMode="External"/><Relationship Id="rId1014" Type="http://schemas.openxmlformats.org/officeDocument/2006/relationships/hyperlink" Target="https://www.uhcc.com/" TargetMode="External"/><Relationship Id="rId1004" Type="http://schemas.openxmlformats.org/officeDocument/2006/relationships/hyperlink" Target="https://www.cff.org/" TargetMode="External"/><Relationship Id="rId1005" Type="http://schemas.openxmlformats.org/officeDocument/2006/relationships/hyperlink" Target="http://www.hopkinsmedicine.org/community-physicians/locations/remington/?utm_source=Google&amp;utm_medium=Organic&amp;utm_campaign=Yext&amp;utm_content=FAD&amp;utm_keyword=jhcp_rem_av_1" TargetMode="External"/><Relationship Id="rId1006" Type="http://schemas.openxmlformats.org/officeDocument/2006/relationships/hyperlink" Target="https://www.umms.org/ummc/locations/um-family-medicine-associates" TargetMode="External"/><Relationship Id="rId1007" Type="http://schemas.openxmlformats.org/officeDocument/2006/relationships/hyperlink" Target="http://msda.com/" TargetMode="External"/><Relationship Id="rId1008" Type="http://schemas.openxmlformats.org/officeDocument/2006/relationships/hyperlink" Target="http://www.hopkinsmedicine.org/community_physicians/locations/baltimore_city/canton_crossing.html" TargetMode="External"/><Relationship Id="rId1009" Type="http://schemas.openxmlformats.org/officeDocument/2006/relationships/hyperlink" Target="http://www.hopkinsmedicine.org/community_physicians/locations/howard_county/fulton.html" TargetMode="External"/><Relationship Id="rId415" Type="http://schemas.openxmlformats.org/officeDocument/2006/relationships/hyperlink" Target="https://www.ridgewayrc.com/assisted-living/" TargetMode="External"/><Relationship Id="rId657" Type="http://schemas.openxmlformats.org/officeDocument/2006/relationships/hyperlink" Target="https://radiocwstaffing.com/" TargetMode="External"/><Relationship Id="rId899" Type="http://schemas.openxmlformats.org/officeDocument/2006/relationships/hyperlink" Target="http://www.extension.umd.edu/baltimore-county" TargetMode="External"/><Relationship Id="rId414" Type="http://schemas.openxmlformats.org/officeDocument/2006/relationships/hyperlink" Target="http://www.gbmc.org/" TargetMode="External"/><Relationship Id="rId656" Type="http://schemas.openxmlformats.org/officeDocument/2006/relationships/hyperlink" Target="https://greaterbaltimorehomecare.com/" TargetMode="External"/><Relationship Id="rId898" Type="http://schemas.openxmlformats.org/officeDocument/2006/relationships/hyperlink" Target="https://unionbethelamec.org/announcements/food-giveaway-at-union-bethel" TargetMode="External"/><Relationship Id="rId413" Type="http://schemas.openxmlformats.org/officeDocument/2006/relationships/hyperlink" Target="https://www.prattlibrary.org/locations/patterson-park" TargetMode="External"/><Relationship Id="rId655" Type="http://schemas.openxmlformats.org/officeDocument/2006/relationships/hyperlink" Target="http://www.fullcircleservicecenter.com/?utm_campaign=gmb" TargetMode="External"/><Relationship Id="rId897" Type="http://schemas.openxmlformats.org/officeDocument/2006/relationships/hyperlink" Target="https://www.colonialbaptistch.org/" TargetMode="External"/><Relationship Id="rId412" Type="http://schemas.openxmlformats.org/officeDocument/2006/relationships/hyperlink" Target="http://www.patapscohcr.com/" TargetMode="External"/><Relationship Id="rId654" Type="http://schemas.openxmlformats.org/officeDocument/2006/relationships/hyperlink" Target="https://www.baltimorecountymd.gov/departments/health/health-services/" TargetMode="External"/><Relationship Id="rId896" Type="http://schemas.openxmlformats.org/officeDocument/2006/relationships/hyperlink" Target="http://www.harvestcog.org/" TargetMode="External"/><Relationship Id="rId419" Type="http://schemas.openxmlformats.org/officeDocument/2006/relationships/hyperlink" Target="http://www.baltimorecountymd.gov/" TargetMode="External"/><Relationship Id="rId418" Type="http://schemas.openxmlformats.org/officeDocument/2006/relationships/hyperlink" Target="http://pickersgillretirement.org/" TargetMode="External"/><Relationship Id="rId417" Type="http://schemas.openxmlformats.org/officeDocument/2006/relationships/hyperlink" Target="http://www.va.gov/directory/guide/facility.asp?id=185" TargetMode="External"/><Relationship Id="rId659" Type="http://schemas.openxmlformats.org/officeDocument/2006/relationships/hyperlink" Target="http://www.als.org/" TargetMode="External"/><Relationship Id="rId416" Type="http://schemas.openxmlformats.org/officeDocument/2006/relationships/hyperlink" Target="https://www.prattlibrary.org/locations/pennsylvania-ave" TargetMode="External"/><Relationship Id="rId658" Type="http://schemas.openxmlformats.org/officeDocument/2006/relationships/hyperlink" Target="http://affectionatetouchhc.com/" TargetMode="External"/><Relationship Id="rId891" Type="http://schemas.openxmlformats.org/officeDocument/2006/relationships/hyperlink" Target="https://prescriptionhope.com/" TargetMode="External"/><Relationship Id="rId890" Type="http://schemas.openxmlformats.org/officeDocument/2006/relationships/hyperlink" Target="https://copays.org/" TargetMode="External"/><Relationship Id="rId411" Type="http://schemas.openxmlformats.org/officeDocument/2006/relationships/hyperlink" Target="https://www.baltimorecountymd.gov/departments/aging/centers/parkville" TargetMode="External"/><Relationship Id="rId653" Type="http://schemas.openxmlformats.org/officeDocument/2006/relationships/hyperlink" Target="https://www.the-red-devils.org/" TargetMode="External"/><Relationship Id="rId895" Type="http://schemas.openxmlformats.org/officeDocument/2006/relationships/hyperlink" Target="https://www.goodpill.org/" TargetMode="External"/><Relationship Id="rId1000" Type="http://schemas.openxmlformats.org/officeDocument/2006/relationships/hyperlink" Target="https://www.familycrisiscenter.net/" TargetMode="External"/><Relationship Id="rId410" Type="http://schemas.openxmlformats.org/officeDocument/2006/relationships/hyperlink" Target="http://woodlawn.enterpriseresidential.org/" TargetMode="External"/><Relationship Id="rId652" Type="http://schemas.openxmlformats.org/officeDocument/2006/relationships/hyperlink" Target="https://lifekeyhealth.com/" TargetMode="External"/><Relationship Id="rId894" Type="http://schemas.openxmlformats.org/officeDocument/2006/relationships/hyperlink" Target="https://sbamaryland.weebly.com/" TargetMode="External"/><Relationship Id="rId1001" Type="http://schemas.openxmlformats.org/officeDocument/2006/relationships/hyperlink" Target="http://www.d2l.org/" TargetMode="External"/><Relationship Id="rId651" Type="http://schemas.openxmlformats.org/officeDocument/2006/relationships/hyperlink" Target="https://www.centerforcommunityinclusion.org/" TargetMode="External"/><Relationship Id="rId893" Type="http://schemas.openxmlformats.org/officeDocument/2006/relationships/hyperlink" Target="https://www.novonordisk-us.com/" TargetMode="External"/><Relationship Id="rId1002" Type="http://schemas.openxmlformats.org/officeDocument/2006/relationships/hyperlink" Target="http://www.baltimorecountymd.gov/" TargetMode="External"/><Relationship Id="rId650" Type="http://schemas.openxmlformats.org/officeDocument/2006/relationships/hyperlink" Target="http://www.butlermt.com/" TargetMode="External"/><Relationship Id="rId892" Type="http://schemas.openxmlformats.org/officeDocument/2006/relationships/hyperlink" Target="https://rxoutreach.org/?utm_source=gmb&amp;utm_medium=organic&amp;utm_campaign=1seo_gmb" TargetMode="External"/><Relationship Id="rId1003" Type="http://schemas.openxmlformats.org/officeDocument/2006/relationships/hyperlink" Target="http://goodtimefamilycare.com/" TargetMode="External"/><Relationship Id="rId1037" Type="http://schemas.openxmlformats.org/officeDocument/2006/relationships/hyperlink" Target="https://www.benschool.org/" TargetMode="External"/><Relationship Id="rId1038" Type="http://schemas.openxmlformats.org/officeDocument/2006/relationships/hyperlink" Target="http://www.whiteflintrecoveryes.com/" TargetMode="External"/><Relationship Id="rId1039" Type="http://schemas.openxmlformats.org/officeDocument/2006/relationships/hyperlink" Target="https://health.maryland.gov/dda/Pages/home.aspx" TargetMode="External"/><Relationship Id="rId206" Type="http://schemas.openxmlformats.org/officeDocument/2006/relationships/hyperlink" Target="https://autumnlakearlingtonwest.com/" TargetMode="External"/><Relationship Id="rId448" Type="http://schemas.openxmlformats.org/officeDocument/2006/relationships/hyperlink" Target="http://www.sevenoaksseniors.org/" TargetMode="External"/><Relationship Id="rId205" Type="http://schemas.openxmlformats.org/officeDocument/2006/relationships/hyperlink" Target="https://www.csi.coop/housing/md/baltimore/arlington-estates-co-op/default" TargetMode="External"/><Relationship Id="rId447" Type="http://schemas.openxmlformats.org/officeDocument/2006/relationships/hyperlink" Target="https://serenitymanorliving.com/" TargetMode="External"/><Relationship Id="rId689" Type="http://schemas.openxmlformats.org/officeDocument/2006/relationships/hyperlink" Target="https://www.mpbhealth.com/" TargetMode="External"/><Relationship Id="rId204" Type="http://schemas.openxmlformats.org/officeDocument/2006/relationships/hyperlink" Target="https://www.arden-courts.com/communities/towson?utm_source=google&amp;utm_medium=organic&amp;utm_campaign=gmb" TargetMode="External"/><Relationship Id="rId446" Type="http://schemas.openxmlformats.org/officeDocument/2006/relationships/hyperlink" Target="https://www.serenitygardenmanor.com/" TargetMode="External"/><Relationship Id="rId688" Type="http://schemas.openxmlformats.org/officeDocument/2006/relationships/hyperlink" Target="https://bpointwellness.com/?utm_source=GMBlisting&amp;utm_medium=organic" TargetMode="External"/><Relationship Id="rId203" Type="http://schemas.openxmlformats.org/officeDocument/2006/relationships/hyperlink" Target="https://www.arden-courts.com/communities/pikesville?utm_source=google&amp;utm_medium=organic&amp;utm_campaign=gmb" TargetMode="External"/><Relationship Id="rId445" Type="http://schemas.openxmlformats.org/officeDocument/2006/relationships/hyperlink" Target="https://www.govanspres.org/what-we-do/senior-center/" TargetMode="External"/><Relationship Id="rId687" Type="http://schemas.openxmlformats.org/officeDocument/2006/relationships/hyperlink" Target="http://www.breathefreelybhs.com/" TargetMode="External"/><Relationship Id="rId209" Type="http://schemas.openxmlformats.org/officeDocument/2006/relationships/hyperlink" Target="https://ccmultimed.com/" TargetMode="External"/><Relationship Id="rId208" Type="http://schemas.openxmlformats.org/officeDocument/2006/relationships/hyperlink" Target="http://completecareheritage.com/" TargetMode="External"/><Relationship Id="rId207" Type="http://schemas.openxmlformats.org/officeDocument/2006/relationships/hyperlink" Target="https://arrow.org/tangram/" TargetMode="External"/><Relationship Id="rId449" Type="http://schemas.openxmlformats.org/officeDocument/2006/relationships/hyperlink" Target="https://shadesplaceassistedliving.com/" TargetMode="External"/><Relationship Id="rId440" Type="http://schemas.openxmlformats.org/officeDocument/2006/relationships/hyperlink" Target="https://rossvillehc.com/" TargetMode="External"/><Relationship Id="rId682" Type="http://schemas.openxmlformats.org/officeDocument/2006/relationships/hyperlink" Target="https://lifestance.com/location/columbia-md-5850-waterloo-rd/?utm_source=gmb&amp;utm_medium=organic&amp;utm_campaign=locations" TargetMode="External"/><Relationship Id="rId681" Type="http://schemas.openxmlformats.org/officeDocument/2006/relationships/hyperlink" Target="http://www.hopkinsmedicine.org/" TargetMode="External"/><Relationship Id="rId1030" Type="http://schemas.openxmlformats.org/officeDocument/2006/relationships/hyperlink" Target="https://reclaimintegratedcare.com/contact" TargetMode="External"/><Relationship Id="rId680" Type="http://schemas.openxmlformats.org/officeDocument/2006/relationships/hyperlink" Target="https://www.projectchesapeake.com/" TargetMode="External"/><Relationship Id="rId1031" Type="http://schemas.openxmlformats.org/officeDocument/2006/relationships/hyperlink" Target="https://www.hopkinsmedicine.org/care-at-home" TargetMode="External"/><Relationship Id="rId1032" Type="http://schemas.openxmlformats.org/officeDocument/2006/relationships/hyperlink" Target="http://sabinashouse.com/" TargetMode="External"/><Relationship Id="rId202" Type="http://schemas.openxmlformats.org/officeDocument/2006/relationships/hyperlink" Target="https://www.baltimorecountymd.gov/departments/aging/centers/arbutus" TargetMode="External"/><Relationship Id="rId444" Type="http://schemas.openxmlformats.org/officeDocument/2006/relationships/hyperlink" Target="https://www.baltimorecountymd.gov/Agencies/aging/programsandservices/crftgall.html" TargetMode="External"/><Relationship Id="rId686" Type="http://schemas.openxmlformats.org/officeDocument/2006/relationships/hyperlink" Target="https://cc-md.org/programs/villa-maria-behavioral-health/" TargetMode="External"/><Relationship Id="rId1033" Type="http://schemas.openxmlformats.org/officeDocument/2006/relationships/hyperlink" Target="http://www.coordinatingcenter.org/" TargetMode="External"/><Relationship Id="rId201" Type="http://schemas.openxmlformats.org/officeDocument/2006/relationships/hyperlink" Target="https://www.apostolicapts.com/" TargetMode="External"/><Relationship Id="rId443" Type="http://schemas.openxmlformats.org/officeDocument/2006/relationships/hyperlink" Target="https://seatontowson.seniorlivingnearme.com/" TargetMode="External"/><Relationship Id="rId685" Type="http://schemas.openxmlformats.org/officeDocument/2006/relationships/hyperlink" Target="http://leadingbyexamplellc.com/" TargetMode="External"/><Relationship Id="rId1034" Type="http://schemas.openxmlformats.org/officeDocument/2006/relationships/hyperlink" Target="http://www.planofmd-dc.org/" TargetMode="External"/><Relationship Id="rId200" Type="http://schemas.openxmlformats.org/officeDocument/2006/relationships/hyperlink" Target="https://www.aauassistedliving.com/" TargetMode="External"/><Relationship Id="rId442" Type="http://schemas.openxmlformats.org/officeDocument/2006/relationships/hyperlink" Target="http://www.baltimorecity.gov/" TargetMode="External"/><Relationship Id="rId684" Type="http://schemas.openxmlformats.org/officeDocument/2006/relationships/hyperlink" Target="https://adoptionsupport.org/?utm_campaign=Google+Business+Profile" TargetMode="External"/><Relationship Id="rId1035" Type="http://schemas.openxmlformats.org/officeDocument/2006/relationships/hyperlink" Target="https://www.clb.org/" TargetMode="External"/><Relationship Id="rId441" Type="http://schemas.openxmlformats.org/officeDocument/2006/relationships/hyperlink" Target="https://www.preservationmanagement.com/property/ruscombe-gardens-apartments/" TargetMode="External"/><Relationship Id="rId683" Type="http://schemas.openxmlformats.org/officeDocument/2006/relationships/hyperlink" Target="http://transformanation.org/" TargetMode="External"/><Relationship Id="rId1036" Type="http://schemas.openxmlformats.org/officeDocument/2006/relationships/hyperlink" Target="https://arshealth.com/aberdeen-maryland-addiction-addiction-treatment/" TargetMode="External"/><Relationship Id="rId1026" Type="http://schemas.openxmlformats.org/officeDocument/2006/relationships/hyperlink" Target="http://druidheights.com/" TargetMode="External"/><Relationship Id="rId1027" Type="http://schemas.openxmlformats.org/officeDocument/2006/relationships/hyperlink" Target="http://www.timeorganization.org/" TargetMode="External"/><Relationship Id="rId1028" Type="http://schemas.openxmlformats.org/officeDocument/2006/relationships/hyperlink" Target="https://health.maryland.gov/dda/Pages/dda.aspx" TargetMode="External"/><Relationship Id="rId1029" Type="http://schemas.openxmlformats.org/officeDocument/2006/relationships/hyperlink" Target="https://www.globalrefuge.org/" TargetMode="External"/><Relationship Id="rId437" Type="http://schemas.openxmlformats.org/officeDocument/2006/relationships/hyperlink" Target="https://www.rolandparkhc.com/" TargetMode="External"/><Relationship Id="rId679" Type="http://schemas.openxmlformats.org/officeDocument/2006/relationships/hyperlink" Target="http://www.ccadvocacy.org/" TargetMode="External"/><Relationship Id="rId436" Type="http://schemas.openxmlformats.org/officeDocument/2006/relationships/hyperlink" Target="https://rolandparkplace.org/" TargetMode="External"/><Relationship Id="rId678" Type="http://schemas.openxmlformats.org/officeDocument/2006/relationships/hyperlink" Target="https://www.welllifemd.com/" TargetMode="External"/><Relationship Id="rId435" Type="http://schemas.openxmlformats.org/officeDocument/2006/relationships/hyperlink" Target="https://www.prattlibrary.org/locations/roland-park" TargetMode="External"/><Relationship Id="rId677" Type="http://schemas.openxmlformats.org/officeDocument/2006/relationships/hyperlink" Target="https://www.matclinics.com/locations/westminster-md" TargetMode="External"/><Relationship Id="rId434" Type="http://schemas.openxmlformats.org/officeDocument/2006/relationships/hyperlink" Target="http://library.ubalt.edu/" TargetMode="External"/><Relationship Id="rId676" Type="http://schemas.openxmlformats.org/officeDocument/2006/relationships/hyperlink" Target="http://giftspsych.com/" TargetMode="External"/><Relationship Id="rId439" Type="http://schemas.openxmlformats.org/officeDocument/2006/relationships/hyperlink" Target="https://www.rollingmeadowsassistedliving.com/" TargetMode="External"/><Relationship Id="rId438" Type="http://schemas.openxmlformats.org/officeDocument/2006/relationships/hyperlink" Target="http://www.rolandviewtowers.com/" TargetMode="External"/><Relationship Id="rId671" Type="http://schemas.openxmlformats.org/officeDocument/2006/relationships/hyperlink" Target="https://www.lifematterswellness.com/contact-10" TargetMode="External"/><Relationship Id="rId670" Type="http://schemas.openxmlformats.org/officeDocument/2006/relationships/hyperlink" Target="https://www.cedarridgecounseling.com/" TargetMode="External"/><Relationship Id="rId1020" Type="http://schemas.openxmlformats.org/officeDocument/2006/relationships/hyperlink" Target="http://www.loadingdock.org/" TargetMode="External"/><Relationship Id="rId1021" Type="http://schemas.openxmlformats.org/officeDocument/2006/relationships/hyperlink" Target="https://www.labor-intense.com/contact" TargetMode="External"/><Relationship Id="rId433" Type="http://schemas.openxmlformats.org/officeDocument/2006/relationships/hyperlink" Target="https://autumnlakeriverview.com/" TargetMode="External"/><Relationship Id="rId675" Type="http://schemas.openxmlformats.org/officeDocument/2006/relationships/hyperlink" Target="https://evergreenrecovers.com/" TargetMode="External"/><Relationship Id="rId1022" Type="http://schemas.openxmlformats.org/officeDocument/2006/relationships/hyperlink" Target="https://www.tuerkhouse.org/" TargetMode="External"/><Relationship Id="rId432" Type="http://schemas.openxmlformats.org/officeDocument/2006/relationships/hyperlink" Target="https://www.riverpointapts.com/?utm_source=GBP&amp;utm_medium=organic" TargetMode="External"/><Relationship Id="rId674" Type="http://schemas.openxmlformats.org/officeDocument/2006/relationships/hyperlink" Target="https://congruentcounseling.com/contact-us/eldersburg-sykesville/" TargetMode="External"/><Relationship Id="rId1023" Type="http://schemas.openxmlformats.org/officeDocument/2006/relationships/hyperlink" Target="http://imagemd.org/" TargetMode="External"/><Relationship Id="rId431" Type="http://schemas.openxmlformats.org/officeDocument/2006/relationships/hyperlink" Target="https://augsburgseniorliving.org/" TargetMode="External"/><Relationship Id="rId673" Type="http://schemas.openxmlformats.org/officeDocument/2006/relationships/hyperlink" Target="https://www.myiheal.com/" TargetMode="External"/><Relationship Id="rId1024" Type="http://schemas.openxmlformats.org/officeDocument/2006/relationships/hyperlink" Target="http://www.abilitiesnetwork.org/" TargetMode="External"/><Relationship Id="rId430" Type="http://schemas.openxmlformats.org/officeDocument/2006/relationships/hyperlink" Target="https://www.renaissanceamc.com/" TargetMode="External"/><Relationship Id="rId672" Type="http://schemas.openxmlformats.org/officeDocument/2006/relationships/hyperlink" Target="https://www.productivelivesprp.org/" TargetMode="External"/><Relationship Id="rId1025" Type="http://schemas.openxmlformats.org/officeDocument/2006/relationships/hyperlink" Target="http://mountainmanor.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 t="s">
        <v>2</v>
      </c>
      <c r="B1" s="2" t="s">
        <v>6</v>
      </c>
      <c r="C1" s="2" t="s">
        <v>7</v>
      </c>
      <c r="D1" s="2" t="s">
        <v>8</v>
      </c>
      <c r="E1" s="2" t="s">
        <v>9</v>
      </c>
      <c r="F1" s="2" t="s">
        <v>10</v>
      </c>
      <c r="G1" s="2" t="s">
        <v>11</v>
      </c>
      <c r="H1" s="2" t="s">
        <v>12</v>
      </c>
      <c r="I1" s="2" t="s">
        <v>13</v>
      </c>
      <c r="J1" s="2" t="s">
        <v>14</v>
      </c>
      <c r="K1" s="2" t="s">
        <v>15</v>
      </c>
      <c r="L1" s="2" t="s">
        <v>16</v>
      </c>
      <c r="M1" s="2" t="s">
        <v>17</v>
      </c>
      <c r="N1" s="2" t="s">
        <v>18</v>
      </c>
      <c r="O1" s="2" t="s">
        <v>19</v>
      </c>
      <c r="P1" s="1" t="s">
        <v>20</v>
      </c>
      <c r="Q1" s="1" t="s">
        <v>21</v>
      </c>
    </row>
    <row r="2">
      <c r="A2" s="3">
        <v>1.0</v>
      </c>
      <c r="B2" s="4" t="s">
        <v>22</v>
      </c>
      <c r="C2" s="5">
        <v>39.3031757</v>
      </c>
      <c r="D2" s="5">
        <v>-76.5929788</v>
      </c>
      <c r="E2" s="4" t="s">
        <v>23</v>
      </c>
      <c r="F2" s="4" t="s">
        <v>24</v>
      </c>
      <c r="G2" s="4" t="s">
        <v>25</v>
      </c>
      <c r="H2" s="4" t="s">
        <v>26</v>
      </c>
      <c r="I2" s="4" t="s">
        <v>27</v>
      </c>
      <c r="J2" s="4" t="s">
        <v>28</v>
      </c>
      <c r="K2" s="4"/>
      <c r="L2" s="4" t="s">
        <v>29</v>
      </c>
      <c r="M2" s="5">
        <v>67.47247121</v>
      </c>
      <c r="N2" s="5">
        <v>47.57694451</v>
      </c>
      <c r="O2" s="4" t="s">
        <v>30</v>
      </c>
      <c r="P2" s="6">
        <v>8312026.0</v>
      </c>
      <c r="Q2" s="7" t="str">
        <f>IF(OR(ISBLANK(M2), ISBLANK(N2)), "", IF(N2 &lt; Sheet3!$B$6, "Insufficient Reviews", IF(M2 &gt;= Sheet3!$B$2, "Highly Reliable", IF(M2 &gt;= Sheet3!$B$3, "Reliable", IF(M2 &gt;= Sheet3!$B$4, "Mixed Reviews", "Low Reliability")))))</f>
        <v>Mixed Reviews</v>
      </c>
    </row>
    <row r="3">
      <c r="A3" s="3">
        <f t="shared" ref="A3:A1363" si="1">A2+1</f>
        <v>2</v>
      </c>
      <c r="B3" s="4" t="s">
        <v>31</v>
      </c>
      <c r="C3" s="5">
        <v>39.3538797</v>
      </c>
      <c r="D3" s="5">
        <v>-76.6096773</v>
      </c>
      <c r="E3" s="4" t="s">
        <v>32</v>
      </c>
      <c r="F3" s="4" t="s">
        <v>33</v>
      </c>
      <c r="G3" s="4" t="s">
        <v>25</v>
      </c>
      <c r="H3" s="4" t="s">
        <v>34</v>
      </c>
      <c r="I3" s="4" t="s">
        <v>35</v>
      </c>
      <c r="J3" s="4" t="s">
        <v>36</v>
      </c>
      <c r="K3" s="4"/>
      <c r="L3" s="4" t="s">
        <v>37</v>
      </c>
      <c r="M3" s="5">
        <v>67.05563236</v>
      </c>
      <c r="N3" s="5">
        <v>54.10556213</v>
      </c>
      <c r="O3" s="4" t="s">
        <v>38</v>
      </c>
      <c r="P3" s="6">
        <v>8312026.0</v>
      </c>
      <c r="Q3" s="7" t="str">
        <f>IF(OR(ISBLANK(M3), ISBLANK(N3)), "", IF(N3 &lt; Sheet3!$B$6, "Insufficient Reviews", IF(M3 &gt;= Sheet3!$B$2, "Highly Reliable", IF(M3 &gt;= Sheet3!$B$3, "Reliable", IF(M3 &gt;= Sheet3!$B$4, "Mixed Reviews", "Low Reliability")))))</f>
        <v>Mixed Reviews</v>
      </c>
    </row>
    <row r="4">
      <c r="A4" s="3">
        <f t="shared" si="1"/>
        <v>3</v>
      </c>
      <c r="B4" s="4" t="s">
        <v>39</v>
      </c>
      <c r="C4" s="5">
        <v>39.2869711</v>
      </c>
      <c r="D4" s="5">
        <v>-76.6157314</v>
      </c>
      <c r="E4" s="4" t="s">
        <v>40</v>
      </c>
      <c r="F4" s="4" t="s">
        <v>41</v>
      </c>
      <c r="G4" s="4" t="s">
        <v>42</v>
      </c>
      <c r="H4" s="4" t="s">
        <v>43</v>
      </c>
      <c r="I4" s="4" t="s">
        <v>44</v>
      </c>
      <c r="J4" s="4" t="s">
        <v>45</v>
      </c>
      <c r="K4" s="8" t="s">
        <v>46</v>
      </c>
      <c r="L4" s="4" t="s">
        <v>47</v>
      </c>
      <c r="M4" s="5">
        <v>46.87317256</v>
      </c>
      <c r="N4" s="5">
        <v>71.54973243</v>
      </c>
      <c r="O4" s="4" t="s">
        <v>48</v>
      </c>
      <c r="P4" s="6">
        <v>8312026.0</v>
      </c>
      <c r="Q4" s="7" t="str">
        <f>IF(OR(ISBLANK(M4), ISBLANK(N4)), "", IF(N4 &lt; Sheet3!$B$6, "Insufficient Reviews", IF(M4 &gt;= Sheet3!$B$2, "Highly Reliable", IF(M4 &gt;= Sheet3!$B$3, "Reliable", IF(M4 &gt;= Sheet3!$B$4, "Mixed Reviews", "Low Reliability")))))</f>
        <v>Low Reliability</v>
      </c>
    </row>
    <row r="5">
      <c r="A5" s="3">
        <f t="shared" si="1"/>
        <v>4</v>
      </c>
      <c r="B5" s="4" t="s">
        <v>49</v>
      </c>
      <c r="C5" s="5">
        <v>39.2273954</v>
      </c>
      <c r="D5" s="5">
        <v>-76.5888796</v>
      </c>
      <c r="E5" s="4" t="s">
        <v>50</v>
      </c>
      <c r="F5" s="4" t="s">
        <v>51</v>
      </c>
      <c r="G5" s="4" t="s">
        <v>52</v>
      </c>
      <c r="H5" s="4" t="s">
        <v>53</v>
      </c>
      <c r="I5" s="4" t="s">
        <v>44</v>
      </c>
      <c r="J5" s="4" t="s">
        <v>54</v>
      </c>
      <c r="K5" s="8" t="s">
        <v>55</v>
      </c>
      <c r="L5" s="4" t="s">
        <v>56</v>
      </c>
      <c r="M5" s="5">
        <v>71.93524405</v>
      </c>
      <c r="N5" s="5">
        <v>69.45683011</v>
      </c>
      <c r="O5" s="4" t="s">
        <v>57</v>
      </c>
      <c r="P5" s="6">
        <v>8312026.0</v>
      </c>
      <c r="Q5" s="7" t="str">
        <f>IF(OR(ISBLANK(M5), ISBLANK(N5)), "", IF(N5 &lt; Sheet3!$B$6, "Insufficient Reviews", IF(M5 &gt;= Sheet3!$B$2, "Highly Reliable", IF(M5 &gt;= Sheet3!$B$3, "Reliable", IF(M5 &gt;= Sheet3!$B$4, "Mixed Reviews", "Low Reliability")))))</f>
        <v>Reliable</v>
      </c>
    </row>
    <row r="6">
      <c r="A6" s="3">
        <f t="shared" si="1"/>
        <v>5</v>
      </c>
      <c r="B6" s="4" t="s">
        <v>58</v>
      </c>
      <c r="C6" s="5">
        <v>39.3494024</v>
      </c>
      <c r="D6" s="5">
        <v>-76.6958588</v>
      </c>
      <c r="E6" s="4" t="s">
        <v>59</v>
      </c>
      <c r="F6" s="4" t="s">
        <v>60</v>
      </c>
      <c r="G6" s="4" t="s">
        <v>61</v>
      </c>
      <c r="H6" s="4" t="s">
        <v>62</v>
      </c>
      <c r="I6" s="4" t="s">
        <v>44</v>
      </c>
      <c r="J6" s="4" t="s">
        <v>63</v>
      </c>
      <c r="K6" s="8" t="s">
        <v>64</v>
      </c>
      <c r="L6" s="4" t="s">
        <v>65</v>
      </c>
      <c r="M6" s="4">
        <v>69.19049321</v>
      </c>
      <c r="N6" s="5">
        <v>70.64552897</v>
      </c>
      <c r="O6" s="5" t="s">
        <v>66</v>
      </c>
      <c r="P6" s="6">
        <v>8312026.0</v>
      </c>
      <c r="Q6" s="7" t="str">
        <f>IF(OR(ISBLANK(M6), ISBLANK(N6)), "", IF(N6 &lt; Sheet3!$B$6, "Insufficient Reviews", IF(M6 &gt;= Sheet3!$B$2, "Highly Reliable", IF(M6 &gt;= Sheet3!$B$3, "Reliable", IF(M6 &gt;= Sheet3!$B$4, "Mixed Reviews", "Low Reliability")))))</f>
        <v>Mixed Reviews</v>
      </c>
    </row>
    <row r="7">
      <c r="A7" s="3">
        <f t="shared" si="1"/>
        <v>6</v>
      </c>
      <c r="B7" s="4" t="s">
        <v>67</v>
      </c>
      <c r="C7" s="5">
        <v>39.2882029</v>
      </c>
      <c r="D7" s="5">
        <v>-76.6145097</v>
      </c>
      <c r="E7" s="4" t="s">
        <v>68</v>
      </c>
      <c r="F7" s="4" t="s">
        <v>69</v>
      </c>
      <c r="G7" s="4" t="s">
        <v>70</v>
      </c>
      <c r="H7" s="4" t="s">
        <v>62</v>
      </c>
      <c r="I7" s="4" t="s">
        <v>71</v>
      </c>
      <c r="J7" s="4" t="s">
        <v>72</v>
      </c>
      <c r="K7" s="8" t="s">
        <v>73</v>
      </c>
      <c r="L7" s="4" t="s">
        <v>74</v>
      </c>
      <c r="M7" s="4">
        <v>46.88303579</v>
      </c>
      <c r="N7" s="5">
        <v>70.64272013</v>
      </c>
      <c r="O7" s="5" t="s">
        <v>75</v>
      </c>
      <c r="P7" s="6">
        <v>8312026.0</v>
      </c>
      <c r="Q7" s="7" t="str">
        <f>IF(OR(ISBLANK(M7), ISBLANK(N7)), "", IF(N7 &lt; Sheet3!$B$6, "Insufficient Reviews", IF(M7 &gt;= Sheet3!$B$2, "Highly Reliable", IF(M7 &gt;= Sheet3!$B$3, "Reliable", IF(M7 &gt;= Sheet3!$B$4, "Mixed Reviews", "Low Reliability")))))</f>
        <v>Low Reliability</v>
      </c>
    </row>
    <row r="8">
      <c r="A8" s="3">
        <f t="shared" si="1"/>
        <v>7</v>
      </c>
      <c r="B8" s="4" t="s">
        <v>76</v>
      </c>
      <c r="C8" s="5">
        <v>39.2827299</v>
      </c>
      <c r="D8" s="5">
        <v>-76.6767594</v>
      </c>
      <c r="E8" s="4" t="s">
        <v>77</v>
      </c>
      <c r="F8" s="4" t="s">
        <v>78</v>
      </c>
      <c r="G8" s="4" t="s">
        <v>79</v>
      </c>
      <c r="H8" s="4" t="s">
        <v>80</v>
      </c>
      <c r="I8" s="4" t="s">
        <v>81</v>
      </c>
      <c r="J8" s="4" t="s">
        <v>82</v>
      </c>
      <c r="K8" s="8" t="s">
        <v>83</v>
      </c>
      <c r="L8" s="4" t="s">
        <v>84</v>
      </c>
      <c r="M8" s="5">
        <v>82.13492184</v>
      </c>
      <c r="N8" s="5">
        <v>92.16878335</v>
      </c>
      <c r="O8" s="4" t="s">
        <v>85</v>
      </c>
      <c r="P8" s="6">
        <v>8312026.0</v>
      </c>
      <c r="Q8" s="7" t="str">
        <f>IF(OR(ISBLANK(M8), ISBLANK(N8)), "", IF(N8 &lt; Sheet3!$B$6, "Insufficient Reviews", IF(M8 &gt;= Sheet3!$B$2, "Highly Reliable", IF(M8 &gt;= Sheet3!$B$3, "Reliable", IF(M8 &gt;= Sheet3!$B$4, "Mixed Reviews", "Low Reliability")))))</f>
        <v>Highly Reliable</v>
      </c>
    </row>
    <row r="9">
      <c r="A9" s="3">
        <f t="shared" si="1"/>
        <v>8</v>
      </c>
      <c r="B9" s="4" t="s">
        <v>86</v>
      </c>
      <c r="C9" s="5">
        <v>39.3551706</v>
      </c>
      <c r="D9" s="5">
        <v>-76.7046716</v>
      </c>
      <c r="E9" s="4" t="s">
        <v>87</v>
      </c>
      <c r="F9" s="4" t="s">
        <v>88</v>
      </c>
      <c r="G9" s="4" t="s">
        <v>89</v>
      </c>
      <c r="H9" s="4" t="s">
        <v>90</v>
      </c>
      <c r="I9" s="4" t="s">
        <v>91</v>
      </c>
      <c r="J9" s="4" t="s">
        <v>92</v>
      </c>
      <c r="K9" s="8" t="s">
        <v>93</v>
      </c>
      <c r="L9" s="4" t="s">
        <v>94</v>
      </c>
      <c r="M9" s="4">
        <v>69.0812432</v>
      </c>
      <c r="N9" s="5">
        <v>70.64576857</v>
      </c>
      <c r="O9" s="5" t="s">
        <v>75</v>
      </c>
      <c r="P9" s="6">
        <v>8312026.0</v>
      </c>
      <c r="Q9" s="7" t="str">
        <f>IF(OR(ISBLANK(M9), ISBLANK(N9)), "", IF(N9 &lt; Sheet3!$B$6, "Insufficient Reviews", IF(M9 &gt;= Sheet3!$B$2, "Highly Reliable", IF(M9 &gt;= Sheet3!$B$3, "Reliable", IF(M9 &gt;= Sheet3!$B$4, "Mixed Reviews", "Low Reliability")))))</f>
        <v>Mixed Reviews</v>
      </c>
    </row>
    <row r="10">
      <c r="A10" s="3">
        <f t="shared" si="1"/>
        <v>9</v>
      </c>
      <c r="B10" s="4" t="s">
        <v>95</v>
      </c>
      <c r="C10" s="5">
        <v>39.2918935</v>
      </c>
      <c r="D10" s="5">
        <v>-76.6416192</v>
      </c>
      <c r="E10" s="4" t="s">
        <v>96</v>
      </c>
      <c r="F10" s="4" t="s">
        <v>97</v>
      </c>
      <c r="G10" s="4" t="s">
        <v>98</v>
      </c>
      <c r="H10" s="4" t="s">
        <v>99</v>
      </c>
      <c r="I10" s="4" t="s">
        <v>91</v>
      </c>
      <c r="J10" s="4" t="s">
        <v>100</v>
      </c>
      <c r="K10" s="8" t="s">
        <v>101</v>
      </c>
      <c r="L10" s="4" t="s">
        <v>102</v>
      </c>
      <c r="M10" s="4">
        <v>73.32294473</v>
      </c>
      <c r="N10" s="5">
        <v>71.40465062</v>
      </c>
      <c r="O10" s="5" t="s">
        <v>103</v>
      </c>
      <c r="P10" s="6">
        <v>8312026.0</v>
      </c>
      <c r="Q10" s="7" t="str">
        <f>IF(OR(ISBLANK(M10), ISBLANK(N10)), "", IF(N10 &lt; Sheet3!$B$6, "Insufficient Reviews", IF(M10 &gt;= Sheet3!$B$2, "Highly Reliable", IF(M10 &gt;= Sheet3!$B$3, "Reliable", IF(M10 &gt;= Sheet3!$B$4, "Mixed Reviews", "Low Reliability")))))</f>
        <v>Reliable</v>
      </c>
    </row>
    <row r="11">
      <c r="A11" s="3">
        <f t="shared" si="1"/>
        <v>10</v>
      </c>
      <c r="B11" s="4" t="s">
        <v>104</v>
      </c>
      <c r="C11" s="5">
        <v>39.3553676</v>
      </c>
      <c r="D11" s="5">
        <v>-76.558075</v>
      </c>
      <c r="E11" s="4" t="s">
        <v>105</v>
      </c>
      <c r="F11" s="4" t="s">
        <v>106</v>
      </c>
      <c r="G11" s="4" t="s">
        <v>107</v>
      </c>
      <c r="H11" s="4" t="s">
        <v>108</v>
      </c>
      <c r="I11" s="4" t="s">
        <v>81</v>
      </c>
      <c r="J11" s="4" t="s">
        <v>109</v>
      </c>
      <c r="K11" s="8" t="s">
        <v>110</v>
      </c>
      <c r="L11" s="4" t="s">
        <v>111</v>
      </c>
      <c r="M11" s="4">
        <v>78.83734178</v>
      </c>
      <c r="N11" s="5">
        <v>92.49433684</v>
      </c>
      <c r="O11" s="5" t="s">
        <v>112</v>
      </c>
      <c r="P11" s="6">
        <v>8312026.0</v>
      </c>
      <c r="Q11" s="7" t="str">
        <f>IF(OR(ISBLANK(M11), ISBLANK(N11)), "", IF(N11 &lt; Sheet3!$B$6, "Insufficient Reviews", IF(M11 &gt;= Sheet3!$B$2, "Highly Reliable", IF(M11 &gt;= Sheet3!$B$3, "Reliable", IF(M11 &gt;= Sheet3!$B$4, "Mixed Reviews", "Low Reliability")))))</f>
        <v>Reliable</v>
      </c>
    </row>
    <row r="12">
      <c r="A12" s="3">
        <f t="shared" si="1"/>
        <v>11</v>
      </c>
      <c r="B12" s="4" t="s">
        <v>113</v>
      </c>
      <c r="C12" s="5">
        <v>39.3248526</v>
      </c>
      <c r="D12" s="5">
        <v>-76.6088767</v>
      </c>
      <c r="E12" s="4" t="s">
        <v>114</v>
      </c>
      <c r="F12" s="4" t="s">
        <v>115</v>
      </c>
      <c r="G12" s="4" t="s">
        <v>116</v>
      </c>
      <c r="H12" s="4" t="s">
        <v>117</v>
      </c>
      <c r="I12" s="4" t="s">
        <v>71</v>
      </c>
      <c r="J12" s="4" t="s">
        <v>118</v>
      </c>
      <c r="K12" s="8" t="s">
        <v>119</v>
      </c>
      <c r="L12" s="4" t="s">
        <v>120</v>
      </c>
      <c r="M12" s="4">
        <v>89.35700441</v>
      </c>
      <c r="N12" s="5">
        <v>73.10076524</v>
      </c>
      <c r="O12" s="5" t="s">
        <v>121</v>
      </c>
      <c r="P12" s="6">
        <v>8312026.0</v>
      </c>
      <c r="Q12" s="7" t="str">
        <f>IF(OR(ISBLANK(M12), ISBLANK(N12)), "", IF(N12 &lt; Sheet3!$B$6, "Insufficient Reviews", IF(M12 &gt;= Sheet3!$B$2, "Highly Reliable", IF(M12 &gt;= Sheet3!$B$3, "Reliable", IF(M12 &gt;= Sheet3!$B$4, "Mixed Reviews", "Low Reliability")))))</f>
        <v>Highly Reliable</v>
      </c>
    </row>
    <row r="13">
      <c r="A13" s="3">
        <f t="shared" si="1"/>
        <v>12</v>
      </c>
      <c r="B13" s="4" t="s">
        <v>122</v>
      </c>
      <c r="C13" s="5">
        <v>39.3309213</v>
      </c>
      <c r="D13" s="5">
        <v>-76.6423039</v>
      </c>
      <c r="E13" s="4" t="s">
        <v>123</v>
      </c>
      <c r="F13" s="4" t="s">
        <v>124</v>
      </c>
      <c r="G13" s="4" t="s">
        <v>125</v>
      </c>
      <c r="H13" s="4" t="s">
        <v>126</v>
      </c>
      <c r="I13" s="4" t="s">
        <v>44</v>
      </c>
      <c r="J13" s="4" t="s">
        <v>127</v>
      </c>
      <c r="K13" s="8" t="s">
        <v>128</v>
      </c>
      <c r="L13" s="4" t="s">
        <v>129</v>
      </c>
      <c r="M13" s="4">
        <v>67.43785575</v>
      </c>
      <c r="N13" s="5">
        <v>51.93916087</v>
      </c>
      <c r="O13" s="5" t="s">
        <v>130</v>
      </c>
      <c r="P13" s="6">
        <v>8312026.0</v>
      </c>
      <c r="Q13" s="7" t="str">
        <f>IF(OR(ISBLANK(M13), ISBLANK(N13)), "", IF(N13 &lt; Sheet3!$B$6, "Insufficient Reviews", IF(M13 &gt;= Sheet3!$B$2, "Highly Reliable", IF(M13 &gt;= Sheet3!$B$3, "Reliable", IF(M13 &gt;= Sheet3!$B$4, "Mixed Reviews", "Low Reliability")))))</f>
        <v>Mixed Reviews</v>
      </c>
    </row>
    <row r="14">
      <c r="A14" s="3">
        <f t="shared" si="1"/>
        <v>13</v>
      </c>
      <c r="B14" s="4" t="s">
        <v>131</v>
      </c>
      <c r="C14" s="5">
        <v>39.2903944</v>
      </c>
      <c r="D14" s="5">
        <v>-76.7095234</v>
      </c>
      <c r="E14" s="4" t="s">
        <v>132</v>
      </c>
      <c r="F14" s="4" t="s">
        <v>133</v>
      </c>
      <c r="G14" s="4" t="s">
        <v>134</v>
      </c>
      <c r="H14" s="4" t="s">
        <v>135</v>
      </c>
      <c r="I14" s="4" t="s">
        <v>44</v>
      </c>
      <c r="J14" s="4" t="s">
        <v>136</v>
      </c>
      <c r="K14" s="8" t="s">
        <v>137</v>
      </c>
      <c r="L14" s="4" t="s">
        <v>138</v>
      </c>
      <c r="M14" s="4">
        <v>65.56047469</v>
      </c>
      <c r="N14" s="5">
        <v>56.80140807</v>
      </c>
      <c r="O14" s="5" t="s">
        <v>139</v>
      </c>
      <c r="P14" s="6">
        <v>8312026.0</v>
      </c>
      <c r="Q14" s="7" t="str">
        <f>IF(OR(ISBLANK(M14), ISBLANK(N14)), "", IF(N14 &lt; Sheet3!$B$6, "Insufficient Reviews", IF(M14 &gt;= Sheet3!$B$2, "Highly Reliable", IF(M14 &gt;= Sheet3!$B$3, "Reliable", IF(M14 &gt;= Sheet3!$B$4, "Mixed Reviews", "Low Reliability")))))</f>
        <v>Mixed Reviews</v>
      </c>
    </row>
    <row r="15">
      <c r="A15" s="3">
        <f t="shared" si="1"/>
        <v>14</v>
      </c>
      <c r="B15" s="4" t="s">
        <v>140</v>
      </c>
      <c r="C15" s="5">
        <v>39.286352</v>
      </c>
      <c r="D15" s="5">
        <v>-76.5957162</v>
      </c>
      <c r="E15" s="4" t="s">
        <v>141</v>
      </c>
      <c r="F15" s="4" t="s">
        <v>142</v>
      </c>
      <c r="G15" s="4" t="s">
        <v>143</v>
      </c>
      <c r="H15" s="4" t="s">
        <v>144</v>
      </c>
      <c r="I15" s="4" t="s">
        <v>71</v>
      </c>
      <c r="J15" s="4" t="s">
        <v>145</v>
      </c>
      <c r="K15" s="8" t="s">
        <v>146</v>
      </c>
      <c r="L15" s="4" t="s">
        <v>147</v>
      </c>
      <c r="M15" s="4">
        <v>74.21088899</v>
      </c>
      <c r="N15" s="5">
        <v>70.34469748</v>
      </c>
      <c r="O15" s="5" t="s">
        <v>148</v>
      </c>
      <c r="P15" s="6">
        <v>8312026.0</v>
      </c>
      <c r="Q15" s="7" t="str">
        <f>IF(OR(ISBLANK(M15), ISBLANK(N15)), "", IF(N15 &lt; Sheet3!$B$6, "Insufficient Reviews", IF(M15 &gt;= Sheet3!$B$2, "Highly Reliable", IF(M15 &gt;= Sheet3!$B$3, "Reliable", IF(M15 &gt;= Sheet3!$B$4, "Mixed Reviews", "Low Reliability")))))</f>
        <v>Reliable</v>
      </c>
    </row>
    <row r="16">
      <c r="A16" s="3">
        <f t="shared" si="1"/>
        <v>15</v>
      </c>
      <c r="B16" s="4" t="s">
        <v>149</v>
      </c>
      <c r="C16" s="5">
        <v>39.3178833</v>
      </c>
      <c r="D16" s="5">
        <v>-76.610054</v>
      </c>
      <c r="E16" s="4" t="s">
        <v>150</v>
      </c>
      <c r="F16" s="4" t="s">
        <v>151</v>
      </c>
      <c r="G16" s="4" t="s">
        <v>152</v>
      </c>
      <c r="H16" s="4" t="s">
        <v>153</v>
      </c>
      <c r="I16" s="4" t="s">
        <v>71</v>
      </c>
      <c r="J16" s="4" t="s">
        <v>154</v>
      </c>
      <c r="K16" s="8" t="s">
        <v>155</v>
      </c>
      <c r="L16" s="4" t="s">
        <v>156</v>
      </c>
      <c r="M16" s="4">
        <v>74.58900783</v>
      </c>
      <c r="N16" s="5">
        <v>86.71021575</v>
      </c>
      <c r="O16" s="5" t="s">
        <v>157</v>
      </c>
      <c r="P16" s="6">
        <v>8312026.0</v>
      </c>
      <c r="Q16" s="7" t="str">
        <f>IF(OR(ISBLANK(M16), ISBLANK(N16)), "", IF(N16 &lt; Sheet3!$B$6, "Insufficient Reviews", IF(M16 &gt;= Sheet3!$B$2, "Highly Reliable", IF(M16 &gt;= Sheet3!$B$3, "Reliable", IF(M16 &gt;= Sheet3!$B$4, "Mixed Reviews", "Low Reliability")))))</f>
        <v>Reliable</v>
      </c>
    </row>
    <row r="17">
      <c r="A17" s="3">
        <f t="shared" si="1"/>
        <v>16</v>
      </c>
      <c r="B17" s="4" t="s">
        <v>158</v>
      </c>
      <c r="C17" s="5">
        <v>39.3927096</v>
      </c>
      <c r="D17" s="5">
        <v>-76.620671</v>
      </c>
      <c r="E17" s="4" t="s">
        <v>159</v>
      </c>
      <c r="F17" s="4" t="s">
        <v>160</v>
      </c>
      <c r="G17" s="4" t="s">
        <v>161</v>
      </c>
      <c r="H17" s="4" t="s">
        <v>162</v>
      </c>
      <c r="I17" s="4" t="s">
        <v>44</v>
      </c>
      <c r="J17" s="4" t="s">
        <v>163</v>
      </c>
      <c r="K17" s="8" t="s">
        <v>164</v>
      </c>
      <c r="L17" s="4" t="s">
        <v>165</v>
      </c>
      <c r="M17" s="4">
        <v>51.89635398</v>
      </c>
      <c r="N17" s="5">
        <v>71.94020509</v>
      </c>
      <c r="O17" s="5" t="s">
        <v>166</v>
      </c>
      <c r="P17" s="6">
        <v>8312026.0</v>
      </c>
      <c r="Q17" s="7" t="str">
        <f>IF(OR(ISBLANK(M17), ISBLANK(N17)), "", IF(N17 &lt; Sheet3!$B$6, "Insufficient Reviews", IF(M17 &gt;= Sheet3!$B$2, "Highly Reliable", IF(M17 &gt;= Sheet3!$B$3, "Reliable", IF(M17 &gt;= Sheet3!$B$4, "Mixed Reviews", "Low Reliability")))))</f>
        <v>Low Reliability</v>
      </c>
    </row>
    <row r="18">
      <c r="A18" s="3">
        <f t="shared" si="1"/>
        <v>17</v>
      </c>
      <c r="B18" s="4" t="s">
        <v>167</v>
      </c>
      <c r="C18" s="5">
        <v>39.294555</v>
      </c>
      <c r="D18" s="5">
        <v>-76.617217</v>
      </c>
      <c r="E18" s="4" t="s">
        <v>168</v>
      </c>
      <c r="F18" s="4" t="s">
        <v>169</v>
      </c>
      <c r="G18" s="4" t="s">
        <v>170</v>
      </c>
      <c r="H18" s="4" t="s">
        <v>171</v>
      </c>
      <c r="I18" s="4" t="s">
        <v>35</v>
      </c>
      <c r="J18" s="4" t="s">
        <v>172</v>
      </c>
      <c r="K18" s="8" t="s">
        <v>173</v>
      </c>
      <c r="L18" s="4" t="s">
        <v>174</v>
      </c>
      <c r="M18" s="4">
        <v>84.98408554</v>
      </c>
      <c r="N18" s="5">
        <v>94.65573154</v>
      </c>
      <c r="O18" s="5" t="s">
        <v>175</v>
      </c>
      <c r="P18" s="6">
        <v>8312026.0</v>
      </c>
      <c r="Q18" s="7" t="str">
        <f>IF(OR(ISBLANK(M18), ISBLANK(N18)), "", IF(N18 &lt; Sheet3!$B$6, "Insufficient Reviews", IF(M18 &gt;= Sheet3!$B$2, "Highly Reliable", IF(M18 &gt;= Sheet3!$B$3, "Reliable", IF(M18 &gt;= Sheet3!$B$4, "Mixed Reviews", "Low Reliability")))))</f>
        <v>Highly Reliable</v>
      </c>
    </row>
    <row r="19">
      <c r="A19" s="3">
        <f t="shared" si="1"/>
        <v>18</v>
      </c>
      <c r="B19" s="9" t="s">
        <v>176</v>
      </c>
      <c r="C19" s="10">
        <v>39.305085</v>
      </c>
      <c r="D19" s="10">
        <v>-76.61791</v>
      </c>
      <c r="E19" s="9" t="s">
        <v>177</v>
      </c>
      <c r="F19" s="9" t="s">
        <v>178</v>
      </c>
      <c r="G19" s="11"/>
      <c r="H19" s="9" t="s">
        <v>179</v>
      </c>
      <c r="I19" s="9" t="s">
        <v>180</v>
      </c>
      <c r="J19" s="9" t="s">
        <v>181</v>
      </c>
      <c r="K19" s="12" t="s">
        <v>182</v>
      </c>
      <c r="L19" s="9" t="s">
        <v>183</v>
      </c>
      <c r="M19" s="9">
        <v>80.01054038</v>
      </c>
      <c r="N19" s="10">
        <v>55.16588485</v>
      </c>
      <c r="O19" s="10" t="s">
        <v>184</v>
      </c>
      <c r="P19" s="9">
        <v>8312026.0</v>
      </c>
      <c r="Q19" s="7" t="str">
        <f>IF(OR(ISBLANK(M19), ISBLANK(N19)), "", IF(N19 &lt; Sheet3!$B$6, "Insufficient Reviews", IF(M19 &gt;= Sheet3!$B$2, "Highly Reliable", IF(M19 &gt;= Sheet3!$B$3, "Reliable", IF(M19 &gt;= Sheet3!$B$4, "Mixed Reviews", "Low Reliability")))))</f>
        <v>Reliable</v>
      </c>
    </row>
    <row r="20">
      <c r="A20" s="3">
        <f t="shared" si="1"/>
        <v>19</v>
      </c>
      <c r="B20" s="9" t="s">
        <v>185</v>
      </c>
      <c r="C20" s="10">
        <v>39.3937272</v>
      </c>
      <c r="D20" s="10">
        <v>-76.5769001</v>
      </c>
      <c r="E20" s="9" t="s">
        <v>186</v>
      </c>
      <c r="F20" s="9" t="s">
        <v>187</v>
      </c>
      <c r="G20" s="9" t="s">
        <v>188</v>
      </c>
      <c r="H20" s="9" t="s">
        <v>126</v>
      </c>
      <c r="I20" s="9" t="s">
        <v>180</v>
      </c>
      <c r="J20" s="9" t="s">
        <v>189</v>
      </c>
      <c r="K20" s="12" t="s">
        <v>190</v>
      </c>
      <c r="L20" s="9" t="s">
        <v>191</v>
      </c>
      <c r="M20" s="9">
        <v>55.09358837</v>
      </c>
      <c r="N20" s="10">
        <v>88.88494844</v>
      </c>
      <c r="O20" s="10" t="s">
        <v>192</v>
      </c>
      <c r="P20" s="9">
        <v>8312026.0</v>
      </c>
      <c r="Q20" s="7" t="str">
        <f>IF(OR(ISBLANK(M20), ISBLANK(N20)), "", IF(N20 &lt; Sheet3!$B$6, "Insufficient Reviews", IF(M20 &gt;= Sheet3!$B$2, "Highly Reliable", IF(M20 &gt;= Sheet3!$B$3, "Reliable", IF(M20 &gt;= Sheet3!$B$4, "Mixed Reviews", "Low Reliability")))))</f>
        <v>Low Reliability</v>
      </c>
    </row>
    <row r="21">
      <c r="A21" s="3">
        <f t="shared" si="1"/>
        <v>20</v>
      </c>
      <c r="B21" s="9" t="s">
        <v>193</v>
      </c>
      <c r="C21" s="10">
        <v>39.2811179</v>
      </c>
      <c r="D21" s="10">
        <v>-76.6269923</v>
      </c>
      <c r="E21" s="9" t="s">
        <v>194</v>
      </c>
      <c r="F21" s="9" t="s">
        <v>195</v>
      </c>
      <c r="G21" s="9"/>
      <c r="H21" s="11"/>
      <c r="I21" s="9" t="s">
        <v>35</v>
      </c>
      <c r="J21" s="9" t="s">
        <v>196</v>
      </c>
      <c r="K21" s="12" t="s">
        <v>197</v>
      </c>
      <c r="L21" s="9" t="s">
        <v>198</v>
      </c>
      <c r="M21" s="9">
        <v>72.0</v>
      </c>
      <c r="N21" s="10">
        <v>40.72499203</v>
      </c>
      <c r="O21" s="10" t="s">
        <v>199</v>
      </c>
      <c r="P21" s="9">
        <v>8312026.0</v>
      </c>
      <c r="Q21" s="7" t="str">
        <f>IF(OR(ISBLANK(M21), ISBLANK(N21)), "", IF(N21 &lt; Sheet3!$B$6, "Insufficient Reviews", IF(M21 &gt;= Sheet3!$B$2, "Highly Reliable", IF(M21 &gt;= Sheet3!$B$3, "Reliable", IF(M21 &gt;= Sheet3!$B$4, "Mixed Reviews", "Low Reliability")))))</f>
        <v>Reliable</v>
      </c>
    </row>
    <row r="22">
      <c r="A22" s="3">
        <f t="shared" si="1"/>
        <v>21</v>
      </c>
      <c r="B22" s="9" t="s">
        <v>200</v>
      </c>
      <c r="C22" s="10">
        <v>39.304115</v>
      </c>
      <c r="D22" s="10">
        <v>-76.5879225</v>
      </c>
      <c r="E22" s="9" t="s">
        <v>201</v>
      </c>
      <c r="F22" s="9" t="s">
        <v>202</v>
      </c>
      <c r="G22" s="11"/>
      <c r="H22" s="9" t="s">
        <v>126</v>
      </c>
      <c r="I22" s="9" t="s">
        <v>203</v>
      </c>
      <c r="J22" s="9" t="s">
        <v>204</v>
      </c>
      <c r="K22" s="9"/>
      <c r="L22" s="9" t="s">
        <v>205</v>
      </c>
      <c r="M22" s="9">
        <v>62.71729159</v>
      </c>
      <c r="N22" s="10">
        <v>35.06060777</v>
      </c>
      <c r="O22" s="10" t="s">
        <v>206</v>
      </c>
      <c r="P22" s="9">
        <v>8312026.0</v>
      </c>
      <c r="Q22" s="7" t="str">
        <f>IF(OR(ISBLANK(M22), ISBLANK(N22)), "", IF(N22 &lt; Sheet3!$B$6, "Insufficient Reviews", IF(M22 &gt;= Sheet3!$B$2, "Highly Reliable", IF(M22 &gt;= Sheet3!$B$3, "Reliable", IF(M22 &gt;= Sheet3!$B$4, "Mixed Reviews", "Low Reliability")))))</f>
        <v>Insufficient Reviews</v>
      </c>
    </row>
    <row r="23">
      <c r="A23" s="3">
        <f t="shared" si="1"/>
        <v>22</v>
      </c>
      <c r="B23" s="9" t="s">
        <v>207</v>
      </c>
      <c r="C23" s="10">
        <v>39.2974123</v>
      </c>
      <c r="D23" s="10">
        <v>-76.6105858</v>
      </c>
      <c r="E23" s="9" t="s">
        <v>208</v>
      </c>
      <c r="F23" s="9" t="s">
        <v>209</v>
      </c>
      <c r="G23" s="9" t="s">
        <v>210</v>
      </c>
      <c r="H23" s="9" t="s">
        <v>211</v>
      </c>
      <c r="I23" s="9" t="s">
        <v>81</v>
      </c>
      <c r="J23" s="9" t="s">
        <v>212</v>
      </c>
      <c r="K23" s="12" t="s">
        <v>213</v>
      </c>
      <c r="L23" s="9" t="s">
        <v>214</v>
      </c>
      <c r="M23" s="9">
        <v>70.4195034</v>
      </c>
      <c r="N23" s="10">
        <v>71.60609255</v>
      </c>
      <c r="O23" s="10" t="s">
        <v>215</v>
      </c>
      <c r="P23" s="9">
        <v>8312026.0</v>
      </c>
      <c r="Q23" s="7" t="str">
        <f>IF(OR(ISBLANK(M23), ISBLANK(N23)), "", IF(N23 &lt; Sheet3!$B$6, "Insufficient Reviews", IF(M23 &gt;= Sheet3!$B$2, "Highly Reliable", IF(M23 &gt;= Sheet3!$B$3, "Reliable", IF(M23 &gt;= Sheet3!$B$4, "Mixed Reviews", "Low Reliability")))))</f>
        <v>Reliable</v>
      </c>
    </row>
    <row r="24">
      <c r="A24" s="3">
        <f t="shared" si="1"/>
        <v>23</v>
      </c>
      <c r="B24" s="9" t="s">
        <v>216</v>
      </c>
      <c r="C24" s="10">
        <v>39.3167663</v>
      </c>
      <c r="D24" s="10">
        <v>-76.6541084</v>
      </c>
      <c r="E24" s="9" t="s">
        <v>217</v>
      </c>
      <c r="F24" s="9" t="s">
        <v>218</v>
      </c>
      <c r="G24" s="9" t="s">
        <v>219</v>
      </c>
      <c r="H24" s="9" t="s">
        <v>26</v>
      </c>
      <c r="I24" s="9" t="s">
        <v>203</v>
      </c>
      <c r="J24" s="9" t="s">
        <v>220</v>
      </c>
      <c r="K24" s="12" t="s">
        <v>221</v>
      </c>
      <c r="L24" s="9" t="s">
        <v>222</v>
      </c>
      <c r="M24" s="9">
        <v>67.85582106</v>
      </c>
      <c r="N24" s="10">
        <v>70.59852821</v>
      </c>
      <c r="O24" s="10" t="s">
        <v>223</v>
      </c>
      <c r="P24" s="9">
        <v>8312026.0</v>
      </c>
      <c r="Q24" s="7" t="str">
        <f>IF(OR(ISBLANK(M24), ISBLANK(N24)), "", IF(N24 &lt; Sheet3!$B$6, "Insufficient Reviews", IF(M24 &gt;= Sheet3!$B$2, "Highly Reliable", IF(M24 &gt;= Sheet3!$B$3, "Reliable", IF(M24 &gt;= Sheet3!$B$4, "Mixed Reviews", "Low Reliability")))))</f>
        <v>Mixed Reviews</v>
      </c>
    </row>
    <row r="25">
      <c r="A25" s="3">
        <f t="shared" si="1"/>
        <v>24</v>
      </c>
      <c r="B25" s="9" t="s">
        <v>224</v>
      </c>
      <c r="C25" s="10">
        <v>39.2762899</v>
      </c>
      <c r="D25" s="10">
        <v>-76.6354976</v>
      </c>
      <c r="E25" s="9" t="s">
        <v>225</v>
      </c>
      <c r="F25" s="9" t="s">
        <v>226</v>
      </c>
      <c r="G25" s="9" t="s">
        <v>227</v>
      </c>
      <c r="H25" s="9" t="s">
        <v>26</v>
      </c>
      <c r="I25" s="9" t="s">
        <v>203</v>
      </c>
      <c r="J25" s="9" t="s">
        <v>228</v>
      </c>
      <c r="K25" s="12" t="s">
        <v>229</v>
      </c>
      <c r="L25" s="9" t="s">
        <v>230</v>
      </c>
      <c r="M25" s="9">
        <v>71.68300796</v>
      </c>
      <c r="N25" s="10">
        <v>60.92806338</v>
      </c>
      <c r="O25" s="10" t="s">
        <v>231</v>
      </c>
      <c r="P25" s="9">
        <v>8312026.0</v>
      </c>
      <c r="Q25" s="7" t="str">
        <f>IF(OR(ISBLANK(M25), ISBLANK(N25)), "", IF(N25 &lt; Sheet3!$B$6, "Insufficient Reviews", IF(M25 &gt;= Sheet3!$B$2, "Highly Reliable", IF(M25 &gt;= Sheet3!$B$3, "Reliable", IF(M25 &gt;= Sheet3!$B$4, "Mixed Reviews", "Low Reliability")))))</f>
        <v>Reliable</v>
      </c>
    </row>
    <row r="26">
      <c r="A26" s="3">
        <f t="shared" si="1"/>
        <v>25</v>
      </c>
      <c r="B26" s="9" t="s">
        <v>232</v>
      </c>
      <c r="C26" s="10">
        <v>39.2999248</v>
      </c>
      <c r="D26" s="10">
        <v>-76.5750424</v>
      </c>
      <c r="E26" s="9" t="s">
        <v>233</v>
      </c>
      <c r="F26" s="9" t="s">
        <v>234</v>
      </c>
      <c r="G26" s="9" t="s">
        <v>235</v>
      </c>
      <c r="H26" s="9" t="s">
        <v>26</v>
      </c>
      <c r="I26" s="9" t="s">
        <v>203</v>
      </c>
      <c r="J26" s="9" t="s">
        <v>236</v>
      </c>
      <c r="K26" s="12" t="s">
        <v>237</v>
      </c>
      <c r="L26" s="9" t="s">
        <v>238</v>
      </c>
      <c r="M26" s="9">
        <v>74.8017445</v>
      </c>
      <c r="N26" s="10">
        <v>70.06193026</v>
      </c>
      <c r="O26" s="10" t="s">
        <v>239</v>
      </c>
      <c r="P26" s="9">
        <v>8312026.0</v>
      </c>
      <c r="Q26" s="7" t="str">
        <f>IF(OR(ISBLANK(M26), ISBLANK(N26)), "", IF(N26 &lt; Sheet3!$B$6, "Insufficient Reviews", IF(M26 &gt;= Sheet3!$B$2, "Highly Reliable", IF(M26 &gt;= Sheet3!$B$3, "Reliable", IF(M26 &gt;= Sheet3!$B$4, "Mixed Reviews", "Low Reliability")))))</f>
        <v>Reliable</v>
      </c>
    </row>
    <row r="27">
      <c r="A27" s="3">
        <f t="shared" si="1"/>
        <v>26</v>
      </c>
      <c r="B27" s="9" t="s">
        <v>240</v>
      </c>
      <c r="C27" s="10">
        <v>39.3147367</v>
      </c>
      <c r="D27" s="10">
        <v>-76.6167875</v>
      </c>
      <c r="E27" s="9" t="s">
        <v>241</v>
      </c>
      <c r="F27" s="9" t="s">
        <v>242</v>
      </c>
      <c r="G27" s="9" t="s">
        <v>243</v>
      </c>
      <c r="H27" s="9" t="s">
        <v>26</v>
      </c>
      <c r="I27" s="9" t="s">
        <v>203</v>
      </c>
      <c r="J27" s="9" t="s">
        <v>244</v>
      </c>
      <c r="K27" s="12" t="s">
        <v>245</v>
      </c>
      <c r="L27" s="9" t="s">
        <v>246</v>
      </c>
      <c r="M27" s="9">
        <v>86.8438674</v>
      </c>
      <c r="N27" s="10">
        <v>95.54951077</v>
      </c>
      <c r="O27" s="10" t="s">
        <v>247</v>
      </c>
      <c r="P27" s="9">
        <v>8312026.0</v>
      </c>
      <c r="Q27" s="7" t="str">
        <f>IF(OR(ISBLANK(M27), ISBLANK(N27)), "", IF(N27 &lt; Sheet3!$B$6, "Insufficient Reviews", IF(M27 &gt;= Sheet3!$B$2, "Highly Reliable", IF(M27 &gt;= Sheet3!$B$3, "Reliable", IF(M27 &gt;= Sheet3!$B$4, "Mixed Reviews", "Low Reliability")))))</f>
        <v>Highly Reliable</v>
      </c>
    </row>
    <row r="28">
      <c r="A28" s="3">
        <f t="shared" si="1"/>
        <v>27</v>
      </c>
      <c r="B28" s="9" t="s">
        <v>248</v>
      </c>
      <c r="C28" s="10">
        <v>39.2913427</v>
      </c>
      <c r="D28" s="10">
        <v>-76.6147537</v>
      </c>
      <c r="E28" s="9" t="s">
        <v>249</v>
      </c>
      <c r="F28" s="9" t="s">
        <v>250</v>
      </c>
      <c r="G28" s="9" t="s">
        <v>251</v>
      </c>
      <c r="H28" s="9" t="s">
        <v>126</v>
      </c>
      <c r="I28" s="9" t="s">
        <v>203</v>
      </c>
      <c r="J28" s="9" t="s">
        <v>252</v>
      </c>
      <c r="K28" s="12" t="s">
        <v>253</v>
      </c>
      <c r="L28" s="9" t="s">
        <v>254</v>
      </c>
      <c r="M28" s="10">
        <v>73.3662378</v>
      </c>
      <c r="N28" s="10">
        <v>50.67791812</v>
      </c>
      <c r="O28" s="9" t="s">
        <v>255</v>
      </c>
      <c r="P28" s="13">
        <v>8312026.0</v>
      </c>
      <c r="Q28" s="7" t="str">
        <f>IF(OR(ISBLANK(M28), ISBLANK(N28)), "", IF(N28 &lt; Sheet3!$B$6, "Insufficient Reviews", IF(M28 &gt;= Sheet3!$B$2, "Highly Reliable", IF(M28 &gt;= Sheet3!$B$3, "Reliable", IF(M28 &gt;= Sheet3!$B$4, "Mixed Reviews", "Low Reliability")))))</f>
        <v>Reliable</v>
      </c>
    </row>
    <row r="29">
      <c r="A29" s="3">
        <f t="shared" si="1"/>
        <v>28</v>
      </c>
      <c r="B29" s="9" t="s">
        <v>256</v>
      </c>
      <c r="C29" s="10">
        <v>39.1736847</v>
      </c>
      <c r="D29" s="10">
        <v>-76.6445201</v>
      </c>
      <c r="E29" s="9" t="s">
        <v>257</v>
      </c>
      <c r="F29" s="9" t="s">
        <v>258</v>
      </c>
      <c r="G29" s="9" t="s">
        <v>259</v>
      </c>
      <c r="H29" s="9" t="s">
        <v>43</v>
      </c>
      <c r="I29" s="9" t="s">
        <v>35</v>
      </c>
      <c r="J29" s="9" t="s">
        <v>260</v>
      </c>
      <c r="K29" s="12" t="s">
        <v>261</v>
      </c>
      <c r="L29" s="9" t="s">
        <v>262</v>
      </c>
      <c r="M29" s="9">
        <v>76.062767</v>
      </c>
      <c r="N29" s="10">
        <v>90.8568129</v>
      </c>
      <c r="O29" s="10" t="s">
        <v>263</v>
      </c>
      <c r="P29" s="9">
        <v>8312026.0</v>
      </c>
      <c r="Q29" s="7" t="str">
        <f>IF(OR(ISBLANK(M29), ISBLANK(N29)), "", IF(N29 &lt; Sheet3!$B$6, "Insufficient Reviews", IF(M29 &gt;= Sheet3!$B$2, "Highly Reliable", IF(M29 &gt;= Sheet3!$B$3, "Reliable", IF(M29 &gt;= Sheet3!$B$4, "Mixed Reviews", "Low Reliability")))))</f>
        <v>Reliable</v>
      </c>
    </row>
    <row r="30">
      <c r="A30" s="3">
        <f t="shared" si="1"/>
        <v>29</v>
      </c>
      <c r="B30" s="9" t="s">
        <v>264</v>
      </c>
      <c r="C30" s="10">
        <v>39.3315047</v>
      </c>
      <c r="D30" s="10">
        <v>-76.629766</v>
      </c>
      <c r="E30" s="9" t="s">
        <v>265</v>
      </c>
      <c r="F30" s="9" t="s">
        <v>266</v>
      </c>
      <c r="G30" s="9" t="s">
        <v>267</v>
      </c>
      <c r="H30" s="9" t="s">
        <v>268</v>
      </c>
      <c r="I30" s="9" t="s">
        <v>71</v>
      </c>
      <c r="J30" s="9" t="s">
        <v>269</v>
      </c>
      <c r="K30" s="12" t="s">
        <v>270</v>
      </c>
      <c r="L30" s="9" t="s">
        <v>271</v>
      </c>
      <c r="M30" s="9">
        <v>80.57803043</v>
      </c>
      <c r="N30" s="10">
        <v>67.68529214</v>
      </c>
      <c r="O30" s="10" t="s">
        <v>272</v>
      </c>
      <c r="P30" s="9">
        <v>8312026.0</v>
      </c>
      <c r="Q30" s="7" t="str">
        <f>IF(OR(ISBLANK(M30), ISBLANK(N30)), "", IF(N30 &lt; Sheet3!$B$6, "Insufficient Reviews", IF(M30 &gt;= Sheet3!$B$2, "Highly Reliable", IF(M30 &gt;= Sheet3!$B$3, "Reliable", IF(M30 &gt;= Sheet3!$B$4, "Mixed Reviews", "Low Reliability")))))</f>
        <v>Reliable</v>
      </c>
    </row>
    <row r="31">
      <c r="A31" s="3">
        <f t="shared" si="1"/>
        <v>30</v>
      </c>
      <c r="B31" s="9" t="s">
        <v>273</v>
      </c>
      <c r="C31" s="10">
        <v>39.3197602</v>
      </c>
      <c r="D31" s="10">
        <v>-76.6216754</v>
      </c>
      <c r="E31" s="9" t="s">
        <v>274</v>
      </c>
      <c r="F31" s="9" t="s">
        <v>275</v>
      </c>
      <c r="G31" s="9" t="s">
        <v>276</v>
      </c>
      <c r="H31" s="9" t="s">
        <v>277</v>
      </c>
      <c r="I31" s="9" t="s">
        <v>71</v>
      </c>
      <c r="J31" s="9" t="s">
        <v>278</v>
      </c>
      <c r="K31" s="12" t="s">
        <v>279</v>
      </c>
      <c r="L31" s="9" t="s">
        <v>280</v>
      </c>
      <c r="M31" s="9">
        <v>85.40793834</v>
      </c>
      <c r="N31" s="10">
        <v>85.30919659</v>
      </c>
      <c r="O31" s="10" t="s">
        <v>281</v>
      </c>
      <c r="P31" s="9">
        <v>8312026.0</v>
      </c>
      <c r="Q31" s="7" t="str">
        <f>IF(OR(ISBLANK(M31), ISBLANK(N31)), "", IF(N31 &lt; Sheet3!$B$6, "Insufficient Reviews", IF(M31 &gt;= Sheet3!$B$2, "Highly Reliable", IF(M31 &gt;= Sheet3!$B$3, "Reliable", IF(M31 &gt;= Sheet3!$B$4, "Mixed Reviews", "Low Reliability")))))</f>
        <v>Highly Reliable</v>
      </c>
    </row>
    <row r="32">
      <c r="A32" s="3">
        <f t="shared" si="1"/>
        <v>31</v>
      </c>
      <c r="B32" s="9" t="s">
        <v>282</v>
      </c>
      <c r="C32" s="10">
        <v>39.3503755</v>
      </c>
      <c r="D32" s="10">
        <v>-76.6804535</v>
      </c>
      <c r="E32" s="9" t="s">
        <v>283</v>
      </c>
      <c r="F32" s="9" t="s">
        <v>284</v>
      </c>
      <c r="G32" s="9" t="s">
        <v>285</v>
      </c>
      <c r="H32" s="9" t="s">
        <v>286</v>
      </c>
      <c r="I32" s="9" t="s">
        <v>35</v>
      </c>
      <c r="J32" s="9" t="s">
        <v>287</v>
      </c>
      <c r="K32" s="12" t="s">
        <v>288</v>
      </c>
      <c r="L32" s="9" t="s">
        <v>289</v>
      </c>
      <c r="M32" s="9">
        <v>10.5</v>
      </c>
      <c r="N32" s="10">
        <v>31.83333333</v>
      </c>
      <c r="O32" s="10" t="s">
        <v>290</v>
      </c>
      <c r="P32" s="9">
        <v>8312026.0</v>
      </c>
      <c r="Q32" s="7" t="str">
        <f>IF(OR(ISBLANK(M32), ISBLANK(N32)), "", IF(N32 &lt; Sheet3!$B$6, "Insufficient Reviews", IF(M32 &gt;= Sheet3!$B$2, "Highly Reliable", IF(M32 &gt;= Sheet3!$B$3, "Reliable", IF(M32 &gt;= Sheet3!$B$4, "Mixed Reviews", "Low Reliability")))))</f>
        <v>Insufficient Reviews</v>
      </c>
    </row>
    <row r="33">
      <c r="A33" s="3">
        <f t="shared" si="1"/>
        <v>32</v>
      </c>
      <c r="B33" s="9" t="s">
        <v>291</v>
      </c>
      <c r="C33" s="10">
        <v>39.2826966</v>
      </c>
      <c r="D33" s="10">
        <v>-76.6141035</v>
      </c>
      <c r="E33" s="9" t="s">
        <v>292</v>
      </c>
      <c r="F33" s="9" t="s">
        <v>293</v>
      </c>
      <c r="G33" s="9" t="s">
        <v>294</v>
      </c>
      <c r="H33" s="9" t="s">
        <v>126</v>
      </c>
      <c r="I33" s="9" t="s">
        <v>35</v>
      </c>
      <c r="J33" s="9" t="s">
        <v>295</v>
      </c>
      <c r="K33" s="12" t="s">
        <v>296</v>
      </c>
      <c r="L33" s="9" t="s">
        <v>297</v>
      </c>
      <c r="M33" s="9">
        <v>72.47834155</v>
      </c>
      <c r="N33" s="10">
        <v>94.49654259</v>
      </c>
      <c r="O33" s="10" t="s">
        <v>298</v>
      </c>
      <c r="P33" s="9">
        <v>8312026.0</v>
      </c>
      <c r="Q33" s="7" t="str">
        <f>IF(OR(ISBLANK(M33), ISBLANK(N33)), "", IF(N33 &lt; Sheet3!$B$6, "Insufficient Reviews", IF(M33 &gt;= Sheet3!$B$2, "Highly Reliable", IF(M33 &gt;= Sheet3!$B$3, "Reliable", IF(M33 &gt;= Sheet3!$B$4, "Mixed Reviews", "Low Reliability")))))</f>
        <v>Reliable</v>
      </c>
    </row>
    <row r="34">
      <c r="A34" s="3">
        <f t="shared" si="1"/>
        <v>33</v>
      </c>
      <c r="B34" s="9" t="s">
        <v>299</v>
      </c>
      <c r="C34" s="10">
        <v>39.2242</v>
      </c>
      <c r="D34" s="10">
        <v>-76.685386</v>
      </c>
      <c r="E34" s="9" t="s">
        <v>300</v>
      </c>
      <c r="F34" s="9" t="s">
        <v>301</v>
      </c>
      <c r="G34" s="9" t="s">
        <v>302</v>
      </c>
      <c r="H34" s="9" t="s">
        <v>303</v>
      </c>
      <c r="I34" s="9" t="s">
        <v>71</v>
      </c>
      <c r="J34" s="9" t="s">
        <v>304</v>
      </c>
      <c r="K34" s="12" t="s">
        <v>305</v>
      </c>
      <c r="L34" s="9" t="s">
        <v>306</v>
      </c>
      <c r="M34" s="9">
        <v>81.54046123</v>
      </c>
      <c r="N34" s="10">
        <v>72.84847036</v>
      </c>
      <c r="O34" s="10" t="s">
        <v>307</v>
      </c>
      <c r="P34" s="9">
        <v>8312026.0</v>
      </c>
      <c r="Q34" s="7" t="str">
        <f>IF(OR(ISBLANK(M34), ISBLANK(N34)), "", IF(N34 &lt; Sheet3!$B$6, "Insufficient Reviews", IF(M34 &gt;= Sheet3!$B$2, "Highly Reliable", IF(M34 &gt;= Sheet3!$B$3, "Reliable", IF(M34 &gt;= Sheet3!$B$4, "Mixed Reviews", "Low Reliability")))))</f>
        <v>Reliable</v>
      </c>
    </row>
    <row r="35">
      <c r="A35" s="3">
        <f t="shared" si="1"/>
        <v>34</v>
      </c>
      <c r="B35" s="9" t="s">
        <v>308</v>
      </c>
      <c r="C35" s="10">
        <v>39.298209</v>
      </c>
      <c r="D35" s="10">
        <v>-76.6102959</v>
      </c>
      <c r="E35" s="9" t="s">
        <v>309</v>
      </c>
      <c r="F35" s="9" t="s">
        <v>310</v>
      </c>
      <c r="G35" s="9" t="s">
        <v>311</v>
      </c>
      <c r="H35" s="9" t="s">
        <v>312</v>
      </c>
      <c r="I35" s="9" t="s">
        <v>203</v>
      </c>
      <c r="J35" s="9" t="s">
        <v>313</v>
      </c>
      <c r="K35" s="12" t="s">
        <v>197</v>
      </c>
      <c r="L35" s="9" t="s">
        <v>314</v>
      </c>
      <c r="M35" s="9">
        <v>77.61776296</v>
      </c>
      <c r="N35" s="10">
        <v>69.67318566</v>
      </c>
      <c r="O35" s="10" t="s">
        <v>315</v>
      </c>
      <c r="P35" s="9">
        <v>8312026.0</v>
      </c>
      <c r="Q35" s="7" t="str">
        <f>IF(OR(ISBLANK(M35), ISBLANK(N35)), "", IF(N35 &lt; Sheet3!$B$6, "Insufficient Reviews", IF(M35 &gt;= Sheet3!$B$2, "Highly Reliable", IF(M35 &gt;= Sheet3!$B$3, "Reliable", IF(M35 &gt;= Sheet3!$B$4, "Mixed Reviews", "Low Reliability")))))</f>
        <v>Reliable</v>
      </c>
    </row>
    <row r="36">
      <c r="A36" s="3">
        <f t="shared" si="1"/>
        <v>35</v>
      </c>
      <c r="B36" s="9" t="s">
        <v>316</v>
      </c>
      <c r="C36" s="10">
        <v>39.3014297</v>
      </c>
      <c r="D36" s="10">
        <v>-76.5822664</v>
      </c>
      <c r="E36" s="9" t="s">
        <v>317</v>
      </c>
      <c r="F36" s="9" t="s">
        <v>318</v>
      </c>
      <c r="G36" s="9" t="s">
        <v>319</v>
      </c>
      <c r="H36" s="9"/>
      <c r="I36" s="9" t="s">
        <v>71</v>
      </c>
      <c r="J36" s="9" t="s">
        <v>320</v>
      </c>
      <c r="K36" s="12" t="s">
        <v>321</v>
      </c>
      <c r="L36" s="9" t="s">
        <v>322</v>
      </c>
      <c r="M36" s="9">
        <v>81.58057496</v>
      </c>
      <c r="N36" s="10">
        <v>93.34119772</v>
      </c>
      <c r="O36" s="10" t="s">
        <v>323</v>
      </c>
      <c r="P36" s="9">
        <v>8312026.0</v>
      </c>
      <c r="Q36" s="7" t="str">
        <f>IF(OR(ISBLANK(M36), ISBLANK(N36)), "", IF(N36 &lt; Sheet3!$B$6, "Insufficient Reviews", IF(M36 &gt;= Sheet3!$B$2, "Highly Reliable", IF(M36 &gt;= Sheet3!$B$3, "Reliable", IF(M36 &gt;= Sheet3!$B$4, "Mixed Reviews", "Low Reliability")))))</f>
        <v>Reliable</v>
      </c>
    </row>
    <row r="37">
      <c r="A37" s="3">
        <f t="shared" si="1"/>
        <v>36</v>
      </c>
      <c r="B37" s="9" t="s">
        <v>324</v>
      </c>
      <c r="C37" s="10">
        <v>39.3148226</v>
      </c>
      <c r="D37" s="10">
        <v>-76.6186757</v>
      </c>
      <c r="E37" s="9" t="s">
        <v>325</v>
      </c>
      <c r="F37" s="9" t="s">
        <v>326</v>
      </c>
      <c r="G37" s="9" t="s">
        <v>327</v>
      </c>
      <c r="H37" s="9" t="s">
        <v>328</v>
      </c>
      <c r="I37" s="9" t="s">
        <v>35</v>
      </c>
      <c r="J37" s="9" t="s">
        <v>329</v>
      </c>
      <c r="K37" s="12" t="s">
        <v>330</v>
      </c>
      <c r="L37" s="9" t="s">
        <v>331</v>
      </c>
      <c r="M37" s="10">
        <v>78.67449881</v>
      </c>
      <c r="N37" s="10">
        <v>91.99269349</v>
      </c>
      <c r="O37" s="9" t="s">
        <v>332</v>
      </c>
      <c r="P37" s="13">
        <v>8312026.0</v>
      </c>
      <c r="Q37" s="7" t="str">
        <f>IF(OR(ISBLANK(M37), ISBLANK(N37)), "", IF(N37 &lt; Sheet3!$B$6, "Insufficient Reviews", IF(M37 &gt;= Sheet3!$B$2, "Highly Reliable", IF(M37 &gt;= Sheet3!$B$3, "Reliable", IF(M37 &gt;= Sheet3!$B$4, "Mixed Reviews", "Low Reliability")))))</f>
        <v>Reliable</v>
      </c>
    </row>
    <row r="38">
      <c r="A38" s="3">
        <f t="shared" si="1"/>
        <v>37</v>
      </c>
      <c r="B38" s="9" t="s">
        <v>333</v>
      </c>
      <c r="C38" s="10">
        <v>39.2736789</v>
      </c>
      <c r="D38" s="10">
        <v>-76.6293887</v>
      </c>
      <c r="E38" s="9" t="s">
        <v>334</v>
      </c>
      <c r="F38" s="9" t="s">
        <v>335</v>
      </c>
      <c r="G38" s="9" t="s">
        <v>336</v>
      </c>
      <c r="H38" s="9" t="s">
        <v>337</v>
      </c>
      <c r="I38" s="9" t="s">
        <v>71</v>
      </c>
      <c r="J38" s="9" t="s">
        <v>338</v>
      </c>
      <c r="K38" s="12" t="s">
        <v>339</v>
      </c>
      <c r="L38" s="9" t="s">
        <v>340</v>
      </c>
      <c r="M38" s="10">
        <v>79.53950176</v>
      </c>
      <c r="N38" s="10">
        <v>93.6188672</v>
      </c>
      <c r="O38" s="9" t="s">
        <v>341</v>
      </c>
      <c r="P38" s="13">
        <v>8312026.0</v>
      </c>
      <c r="Q38" s="7" t="str">
        <f>IF(OR(ISBLANK(M38), ISBLANK(N38)), "", IF(N38 &lt; Sheet3!$B$6, "Insufficient Reviews", IF(M38 &gt;= Sheet3!$B$2, "Highly Reliable", IF(M38 &gt;= Sheet3!$B$3, "Reliable", IF(M38 &gt;= Sheet3!$B$4, "Mixed Reviews", "Low Reliability")))))</f>
        <v>Reliable</v>
      </c>
    </row>
    <row r="39">
      <c r="A39" s="3">
        <f t="shared" si="1"/>
        <v>38</v>
      </c>
      <c r="B39" s="9" t="s">
        <v>342</v>
      </c>
      <c r="C39" s="10">
        <v>39.2961744</v>
      </c>
      <c r="D39" s="10">
        <v>-76.5874311</v>
      </c>
      <c r="E39" s="9" t="s">
        <v>343</v>
      </c>
      <c r="F39" s="9" t="s">
        <v>344</v>
      </c>
      <c r="G39" s="9" t="s">
        <v>345</v>
      </c>
      <c r="H39" s="9" t="s">
        <v>53</v>
      </c>
      <c r="I39" s="9" t="s">
        <v>71</v>
      </c>
      <c r="J39" s="9" t="s">
        <v>346</v>
      </c>
      <c r="K39" s="12" t="s">
        <v>347</v>
      </c>
      <c r="L39" s="9" t="s">
        <v>348</v>
      </c>
      <c r="M39" s="10">
        <v>74.46636369</v>
      </c>
      <c r="N39" s="10">
        <v>85.63121089</v>
      </c>
      <c r="O39" s="9" t="s">
        <v>349</v>
      </c>
      <c r="P39" s="13">
        <v>8312026.0</v>
      </c>
      <c r="Q39" s="7" t="str">
        <f>IF(OR(ISBLANK(M39), ISBLANK(N39)), "", IF(N39 &lt; Sheet3!$B$6, "Insufficient Reviews", IF(M39 &gt;= Sheet3!$B$2, "Highly Reliable", IF(M39 &gt;= Sheet3!$B$3, "Reliable", IF(M39 &gt;= Sheet3!$B$4, "Mixed Reviews", "Low Reliability")))))</f>
        <v>Reliable</v>
      </c>
    </row>
    <row r="40">
      <c r="A40" s="3">
        <f t="shared" si="1"/>
        <v>39</v>
      </c>
      <c r="B40" s="9" t="s">
        <v>350</v>
      </c>
      <c r="C40" s="10">
        <v>39.2817729</v>
      </c>
      <c r="D40" s="10">
        <v>-76.6505279</v>
      </c>
      <c r="E40" s="9" t="s">
        <v>351</v>
      </c>
      <c r="F40" s="9" t="s">
        <v>352</v>
      </c>
      <c r="G40" s="9" t="s">
        <v>353</v>
      </c>
      <c r="H40" s="9" t="s">
        <v>354</v>
      </c>
      <c r="I40" s="9" t="s">
        <v>71</v>
      </c>
      <c r="J40" s="9" t="s">
        <v>355</v>
      </c>
      <c r="K40" s="12" t="s">
        <v>356</v>
      </c>
      <c r="L40" s="9" t="s">
        <v>357</v>
      </c>
      <c r="M40" s="9">
        <v>16.5</v>
      </c>
      <c r="N40" s="10">
        <v>31.83333333</v>
      </c>
      <c r="O40" s="10" t="s">
        <v>290</v>
      </c>
      <c r="P40" s="13">
        <v>8312026.0</v>
      </c>
      <c r="Q40" s="7" t="str">
        <f>IF(OR(ISBLANK(M40), ISBLANK(N40)), "", IF(N40 &lt; Sheet3!$B$6, "Insufficient Reviews", IF(M40 &gt;= Sheet3!$B$2, "Highly Reliable", IF(M40 &gt;= Sheet3!$B$3, "Reliable", IF(M40 &gt;= Sheet3!$B$4, "Mixed Reviews", "Low Reliability")))))</f>
        <v>Insufficient Reviews</v>
      </c>
    </row>
    <row r="41">
      <c r="A41" s="3">
        <f t="shared" si="1"/>
        <v>40</v>
      </c>
      <c r="B41" s="9" t="s">
        <v>358</v>
      </c>
      <c r="C41" s="10">
        <v>39.2922246</v>
      </c>
      <c r="D41" s="10">
        <v>-76.6990987</v>
      </c>
      <c r="E41" s="9" t="s">
        <v>359</v>
      </c>
      <c r="F41" s="9" t="s">
        <v>360</v>
      </c>
      <c r="G41" s="9" t="s">
        <v>361</v>
      </c>
      <c r="H41" s="9" t="s">
        <v>362</v>
      </c>
      <c r="I41" s="9" t="s">
        <v>71</v>
      </c>
      <c r="J41" s="9" t="s">
        <v>363</v>
      </c>
      <c r="K41" s="12" t="s">
        <v>364</v>
      </c>
      <c r="L41" s="9" t="s">
        <v>365</v>
      </c>
      <c r="M41" s="9">
        <v>80.81265828</v>
      </c>
      <c r="N41" s="10">
        <v>93.15740817</v>
      </c>
      <c r="O41" s="10" t="s">
        <v>366</v>
      </c>
      <c r="P41" s="13">
        <v>8312026.0</v>
      </c>
      <c r="Q41" s="7" t="str">
        <f>IF(OR(ISBLANK(M41), ISBLANK(N41)), "", IF(N41 &lt; Sheet3!$B$6, "Insufficient Reviews", IF(M41 &gt;= Sheet3!$B$2, "Highly Reliable", IF(M41 &gt;= Sheet3!$B$3, "Reliable", IF(M41 &gt;= Sheet3!$B$4, "Mixed Reviews", "Low Reliability")))))</f>
        <v>Reliable</v>
      </c>
    </row>
    <row r="42">
      <c r="A42" s="3">
        <f t="shared" si="1"/>
        <v>41</v>
      </c>
      <c r="B42" s="9" t="s">
        <v>367</v>
      </c>
      <c r="C42" s="10">
        <v>39.2526919</v>
      </c>
      <c r="D42" s="10">
        <v>-76.650475</v>
      </c>
      <c r="E42" s="9" t="s">
        <v>368</v>
      </c>
      <c r="F42" s="9" t="s">
        <v>369</v>
      </c>
      <c r="G42" s="9" t="s">
        <v>370</v>
      </c>
      <c r="H42" s="9" t="s">
        <v>371</v>
      </c>
      <c r="I42" s="9" t="s">
        <v>71</v>
      </c>
      <c r="J42" s="9" t="s">
        <v>372</v>
      </c>
      <c r="K42" s="12" t="s">
        <v>373</v>
      </c>
      <c r="L42" s="9" t="s">
        <v>374</v>
      </c>
      <c r="M42" s="9">
        <v>80.07734392</v>
      </c>
      <c r="N42" s="10">
        <v>93.07908803</v>
      </c>
      <c r="O42" s="10" t="s">
        <v>375</v>
      </c>
      <c r="P42" s="13">
        <v>8312026.0</v>
      </c>
      <c r="Q42" s="7" t="str">
        <f>IF(OR(ISBLANK(M42), ISBLANK(N42)), "", IF(N42 &lt; Sheet3!$B$6, "Insufficient Reviews", IF(M42 &gt;= Sheet3!$B$2, "Highly Reliable", IF(M42 &gt;= Sheet3!$B$3, "Reliable", IF(M42 &gt;= Sheet3!$B$4, "Mixed Reviews", "Low Reliability")))))</f>
        <v>Reliable</v>
      </c>
    </row>
    <row r="43">
      <c r="A43" s="3">
        <f t="shared" si="1"/>
        <v>42</v>
      </c>
      <c r="B43" s="9" t="s">
        <v>376</v>
      </c>
      <c r="C43" s="10">
        <v>39.2820421</v>
      </c>
      <c r="D43" s="10">
        <v>-76.6328611</v>
      </c>
      <c r="E43" s="9" t="s">
        <v>377</v>
      </c>
      <c r="F43" s="9" t="s">
        <v>378</v>
      </c>
      <c r="G43" s="9" t="s">
        <v>379</v>
      </c>
      <c r="H43" s="9" t="s">
        <v>380</v>
      </c>
      <c r="I43" s="9" t="s">
        <v>71</v>
      </c>
      <c r="J43" s="9" t="s">
        <v>381</v>
      </c>
      <c r="K43" s="12" t="s">
        <v>382</v>
      </c>
      <c r="L43" s="9" t="s">
        <v>383</v>
      </c>
      <c r="M43" s="9">
        <v>78.30872052</v>
      </c>
      <c r="N43" s="10">
        <v>73.37685079</v>
      </c>
      <c r="O43" s="10" t="s">
        <v>384</v>
      </c>
      <c r="P43" s="13">
        <v>8312026.0</v>
      </c>
      <c r="Q43" s="7" t="str">
        <f>IF(OR(ISBLANK(M43), ISBLANK(N43)), "", IF(N43 &lt; Sheet3!$B$6, "Insufficient Reviews", IF(M43 &gt;= Sheet3!$B$2, "Highly Reliable", IF(M43 &gt;= Sheet3!$B$3, "Reliable", IF(M43 &gt;= Sheet3!$B$4, "Mixed Reviews", "Low Reliability")))))</f>
        <v>Reliable</v>
      </c>
    </row>
    <row r="44">
      <c r="A44" s="3">
        <f t="shared" si="1"/>
        <v>43</v>
      </c>
      <c r="B44" s="9" t="s">
        <v>385</v>
      </c>
      <c r="C44" s="10">
        <v>39.3141837</v>
      </c>
      <c r="D44" s="10">
        <v>-76.6355533</v>
      </c>
      <c r="E44" s="9" t="s">
        <v>386</v>
      </c>
      <c r="F44" s="9" t="s">
        <v>387</v>
      </c>
      <c r="G44" s="9" t="s">
        <v>388</v>
      </c>
      <c r="H44" s="9" t="s">
        <v>389</v>
      </c>
      <c r="I44" s="9" t="s">
        <v>35</v>
      </c>
      <c r="J44" s="9" t="s">
        <v>390</v>
      </c>
      <c r="K44" s="12" t="s">
        <v>391</v>
      </c>
      <c r="L44" s="9" t="s">
        <v>392</v>
      </c>
      <c r="M44" s="9">
        <v>87.20494796</v>
      </c>
      <c r="N44" s="10">
        <v>94.99027909</v>
      </c>
      <c r="O44" s="10" t="s">
        <v>393</v>
      </c>
      <c r="P44" s="13">
        <v>8312026.0</v>
      </c>
      <c r="Q44" s="7" t="str">
        <f>IF(OR(ISBLANK(M44), ISBLANK(N44)), "", IF(N44 &lt; Sheet3!$B$6, "Insufficient Reviews", IF(M44 &gt;= Sheet3!$B$2, "Highly Reliable", IF(M44 &gt;= Sheet3!$B$3, "Reliable", IF(M44 &gt;= Sheet3!$B$4, "Mixed Reviews", "Low Reliability")))))</f>
        <v>Highly Reliable</v>
      </c>
    </row>
    <row r="45">
      <c r="A45" s="3">
        <f t="shared" si="1"/>
        <v>44</v>
      </c>
      <c r="B45" s="9" t="s">
        <v>149</v>
      </c>
      <c r="C45" s="10">
        <v>39.3178833</v>
      </c>
      <c r="D45" s="10">
        <v>-76.610054</v>
      </c>
      <c r="E45" s="9" t="s">
        <v>150</v>
      </c>
      <c r="F45" s="9" t="s">
        <v>151</v>
      </c>
      <c r="G45" s="9" t="s">
        <v>394</v>
      </c>
      <c r="H45" s="9" t="s">
        <v>153</v>
      </c>
      <c r="I45" s="9" t="s">
        <v>71</v>
      </c>
      <c r="J45" s="9" t="s">
        <v>395</v>
      </c>
      <c r="K45" s="12" t="s">
        <v>155</v>
      </c>
      <c r="L45" s="9" t="s">
        <v>396</v>
      </c>
      <c r="M45" s="9">
        <v>73.58900783</v>
      </c>
      <c r="N45" s="10">
        <v>65.04354908</v>
      </c>
      <c r="O45" s="10" t="s">
        <v>397</v>
      </c>
      <c r="P45" s="13">
        <v>8312026.0</v>
      </c>
      <c r="Q45" s="7" t="str">
        <f>IF(OR(ISBLANK(M45), ISBLANK(N45)), "", IF(N45 &lt; Sheet3!$B$6, "Insufficient Reviews", IF(M45 &gt;= Sheet3!$B$2, "Highly Reliable", IF(M45 &gt;= Sheet3!$B$3, "Reliable", IF(M45 &gt;= Sheet3!$B$4, "Mixed Reviews", "Low Reliability")))))</f>
        <v>Reliable</v>
      </c>
    </row>
    <row r="46">
      <c r="A46" s="3">
        <f t="shared" si="1"/>
        <v>45</v>
      </c>
      <c r="B46" s="9" t="s">
        <v>398</v>
      </c>
      <c r="C46" s="10">
        <v>39.4868715</v>
      </c>
      <c r="D46" s="10">
        <v>-77.240458</v>
      </c>
      <c r="E46" s="9" t="s">
        <v>399</v>
      </c>
      <c r="F46" s="9" t="s">
        <v>400</v>
      </c>
      <c r="G46" s="9" t="s">
        <v>401</v>
      </c>
      <c r="H46" s="9" t="s">
        <v>126</v>
      </c>
      <c r="I46" s="9" t="s">
        <v>35</v>
      </c>
      <c r="J46" s="9" t="s">
        <v>402</v>
      </c>
      <c r="K46" s="12" t="s">
        <v>403</v>
      </c>
      <c r="L46" s="9" t="s">
        <v>404</v>
      </c>
      <c r="M46" s="9">
        <v>83.36088515</v>
      </c>
      <c r="N46" s="10">
        <v>74.9027669</v>
      </c>
      <c r="O46" s="10" t="s">
        <v>405</v>
      </c>
      <c r="P46" s="13">
        <v>8312026.0</v>
      </c>
      <c r="Q46" s="7" t="str">
        <f>IF(OR(ISBLANK(M46), ISBLANK(N46)), "", IF(N46 &lt; Sheet3!$B$6, "Insufficient Reviews", IF(M46 &gt;= Sheet3!$B$2, "Highly Reliable", IF(M46 &gt;= Sheet3!$B$3, "Reliable", IF(M46 &gt;= Sheet3!$B$4, "Mixed Reviews", "Low Reliability")))))</f>
        <v>Highly Reliable</v>
      </c>
    </row>
    <row r="47">
      <c r="A47" s="3">
        <f t="shared" si="1"/>
        <v>46</v>
      </c>
      <c r="B47" s="9" t="s">
        <v>406</v>
      </c>
      <c r="C47" s="10">
        <v>39.3050761</v>
      </c>
      <c r="D47" s="10">
        <v>-76.5915422</v>
      </c>
      <c r="E47" s="9" t="s">
        <v>407</v>
      </c>
      <c r="F47" s="9" t="s">
        <v>408</v>
      </c>
      <c r="G47" s="9" t="s">
        <v>409</v>
      </c>
      <c r="H47" s="9" t="s">
        <v>410</v>
      </c>
      <c r="I47" s="9" t="s">
        <v>91</v>
      </c>
      <c r="J47" s="9" t="s">
        <v>411</v>
      </c>
      <c r="K47" s="12" t="s">
        <v>412</v>
      </c>
      <c r="L47" s="9" t="s">
        <v>413</v>
      </c>
      <c r="M47" s="9">
        <v>88.1579969</v>
      </c>
      <c r="N47" s="10">
        <v>75.61496733</v>
      </c>
      <c r="O47" s="10" t="s">
        <v>414</v>
      </c>
      <c r="P47" s="13">
        <v>8312026.0</v>
      </c>
      <c r="Q47" s="7" t="str">
        <f>IF(OR(ISBLANK(M47), ISBLANK(N47)), "", IF(N47 &lt; Sheet3!$B$6, "Insufficient Reviews", IF(M47 &gt;= Sheet3!$B$2, "Highly Reliable", IF(M47 &gt;= Sheet3!$B$3, "Reliable", IF(M47 &gt;= Sheet3!$B$4, "Mixed Reviews", "Low Reliability")))))</f>
        <v>Highly Reliable</v>
      </c>
    </row>
    <row r="48">
      <c r="A48" s="3">
        <f t="shared" si="1"/>
        <v>47</v>
      </c>
      <c r="B48" s="9" t="s">
        <v>415</v>
      </c>
      <c r="C48" s="10">
        <v>39.3027077</v>
      </c>
      <c r="D48" s="10">
        <v>-76.6155461</v>
      </c>
      <c r="E48" s="9" t="s">
        <v>416</v>
      </c>
      <c r="F48" s="9" t="s">
        <v>417</v>
      </c>
      <c r="G48" s="9" t="s">
        <v>418</v>
      </c>
      <c r="H48" s="9" t="s">
        <v>419</v>
      </c>
      <c r="I48" s="9" t="s">
        <v>91</v>
      </c>
      <c r="J48" s="9" t="s">
        <v>420</v>
      </c>
      <c r="K48" s="12" t="s">
        <v>421</v>
      </c>
      <c r="L48" s="9" t="s">
        <v>422</v>
      </c>
      <c r="M48" s="9">
        <v>81.33927597</v>
      </c>
      <c r="N48" s="10">
        <v>72.84847036</v>
      </c>
      <c r="O48" s="10" t="s">
        <v>307</v>
      </c>
      <c r="P48" s="13">
        <v>8312026.0</v>
      </c>
      <c r="Q48" s="7" t="str">
        <f>IF(OR(ISBLANK(M48), ISBLANK(N48)), "", IF(N48 &lt; Sheet3!$B$6, "Insufficient Reviews", IF(M48 &gt;= Sheet3!$B$2, "Highly Reliable", IF(M48 &gt;= Sheet3!$B$3, "Reliable", IF(M48 &gt;= Sheet3!$B$4, "Mixed Reviews", "Low Reliability")))))</f>
        <v>Reliable</v>
      </c>
    </row>
    <row r="49">
      <c r="A49" s="3">
        <f t="shared" si="1"/>
        <v>48</v>
      </c>
      <c r="B49" s="9" t="s">
        <v>423</v>
      </c>
      <c r="C49" s="10">
        <v>39.2938254</v>
      </c>
      <c r="D49" s="10">
        <v>-76.6096406</v>
      </c>
      <c r="E49" s="9" t="s">
        <v>424</v>
      </c>
      <c r="F49" s="9" t="s">
        <v>425</v>
      </c>
      <c r="G49" s="9" t="s">
        <v>426</v>
      </c>
      <c r="H49" s="9" t="s">
        <v>427</v>
      </c>
      <c r="I49" s="9" t="s">
        <v>91</v>
      </c>
      <c r="J49" s="9" t="s">
        <v>428</v>
      </c>
      <c r="K49" s="12" t="s">
        <v>429</v>
      </c>
      <c r="L49" s="9" t="s">
        <v>430</v>
      </c>
      <c r="M49" s="9">
        <v>84.72894088</v>
      </c>
      <c r="N49" s="10">
        <v>95.59088256</v>
      </c>
      <c r="O49" s="10" t="s">
        <v>431</v>
      </c>
      <c r="P49" s="13">
        <v>8312026.0</v>
      </c>
      <c r="Q49" s="7" t="str">
        <f>IF(OR(ISBLANK(M49), ISBLANK(N49)), "", IF(N49 &lt; Sheet3!$B$6, "Insufficient Reviews", IF(M49 &gt;= Sheet3!$B$2, "Highly Reliable", IF(M49 &gt;= Sheet3!$B$3, "Reliable", IF(M49 &gt;= Sheet3!$B$4, "Mixed Reviews", "Low Reliability")))))</f>
        <v>Highly Reliable</v>
      </c>
    </row>
    <row r="50">
      <c r="A50" s="3">
        <f t="shared" si="1"/>
        <v>49</v>
      </c>
      <c r="B50" s="9" t="s">
        <v>432</v>
      </c>
      <c r="C50" s="10">
        <v>39.3211709</v>
      </c>
      <c r="D50" s="10">
        <v>-76.5727087</v>
      </c>
      <c r="E50" s="9" t="s">
        <v>433</v>
      </c>
      <c r="F50" s="9" t="s">
        <v>434</v>
      </c>
      <c r="G50" s="9" t="s">
        <v>435</v>
      </c>
      <c r="H50" s="9" t="s">
        <v>43</v>
      </c>
      <c r="I50" s="9" t="s">
        <v>91</v>
      </c>
      <c r="J50" s="9" t="s">
        <v>436</v>
      </c>
      <c r="K50" s="12" t="s">
        <v>437</v>
      </c>
      <c r="L50" s="9" t="s">
        <v>438</v>
      </c>
      <c r="M50" s="9">
        <v>61.76970377</v>
      </c>
      <c r="N50" s="10">
        <v>68.62305683</v>
      </c>
      <c r="O50" s="10" t="s">
        <v>439</v>
      </c>
      <c r="P50" s="13">
        <v>8312026.0</v>
      </c>
      <c r="Q50" s="7" t="str">
        <f>IF(OR(ISBLANK(M50), ISBLANK(N50)), "", IF(N50 &lt; Sheet3!$B$6, "Insufficient Reviews", IF(M50 &gt;= Sheet3!$B$2, "Highly Reliable", IF(M50 &gt;= Sheet3!$B$3, "Reliable", IF(M50 &gt;= Sheet3!$B$4, "Mixed Reviews", "Low Reliability")))))</f>
        <v>Mixed Reviews</v>
      </c>
    </row>
    <row r="51">
      <c r="A51" s="3">
        <f t="shared" si="1"/>
        <v>50</v>
      </c>
      <c r="B51" s="9" t="s">
        <v>440</v>
      </c>
      <c r="C51" s="10">
        <v>39.3032782</v>
      </c>
      <c r="D51" s="10">
        <v>-76.6316472</v>
      </c>
      <c r="E51" s="9" t="s">
        <v>96</v>
      </c>
      <c r="F51" s="9" t="s">
        <v>441</v>
      </c>
      <c r="G51" s="11"/>
      <c r="H51" s="9" t="s">
        <v>99</v>
      </c>
      <c r="I51" s="9" t="s">
        <v>91</v>
      </c>
      <c r="J51" s="9" t="s">
        <v>442</v>
      </c>
      <c r="K51" s="12" t="s">
        <v>443</v>
      </c>
      <c r="L51" s="9" t="s">
        <v>444</v>
      </c>
      <c r="M51" s="9">
        <v>71.1493955</v>
      </c>
      <c r="N51" s="10">
        <v>92.52470122</v>
      </c>
      <c r="O51" s="10" t="s">
        <v>112</v>
      </c>
      <c r="P51" s="13">
        <v>8312026.0</v>
      </c>
      <c r="Q51" s="7" t="str">
        <f>IF(OR(ISBLANK(M51), ISBLANK(N51)), "", IF(N51 &lt; Sheet3!$B$6, "Insufficient Reviews", IF(M51 &gt;= Sheet3!$B$2, "Highly Reliable", IF(M51 &gt;= Sheet3!$B$3, "Reliable", IF(M51 &gt;= Sheet3!$B$4, "Mixed Reviews", "Low Reliability")))))</f>
        <v>Reliable</v>
      </c>
    </row>
    <row r="52">
      <c r="A52" s="3">
        <f t="shared" si="1"/>
        <v>51</v>
      </c>
      <c r="B52" s="9" t="s">
        <v>445</v>
      </c>
      <c r="C52" s="10">
        <v>39.2857839</v>
      </c>
      <c r="D52" s="10">
        <v>-76.5938327</v>
      </c>
      <c r="E52" s="9" t="s">
        <v>446</v>
      </c>
      <c r="F52" s="9" t="s">
        <v>447</v>
      </c>
      <c r="G52" s="9" t="s">
        <v>448</v>
      </c>
      <c r="H52" s="9" t="s">
        <v>449</v>
      </c>
      <c r="I52" s="9" t="s">
        <v>91</v>
      </c>
      <c r="J52" s="9" t="s">
        <v>450</v>
      </c>
      <c r="K52" s="12" t="s">
        <v>451</v>
      </c>
      <c r="L52" s="9" t="s">
        <v>452</v>
      </c>
      <c r="M52" s="9">
        <v>80.30154444</v>
      </c>
      <c r="N52" s="10">
        <v>69.57495615</v>
      </c>
      <c r="O52" s="10" t="s">
        <v>453</v>
      </c>
      <c r="P52" s="13">
        <v>8312026.0</v>
      </c>
      <c r="Q52" s="7" t="str">
        <f>IF(OR(ISBLANK(M52), ISBLANK(N52)), "", IF(N52 &lt; Sheet3!$B$6, "Insufficient Reviews", IF(M52 &gt;= Sheet3!$B$2, "Highly Reliable", IF(M52 &gt;= Sheet3!$B$3, "Reliable", IF(M52 &gt;= Sheet3!$B$4, "Mixed Reviews", "Low Reliability")))))</f>
        <v>Reliable</v>
      </c>
    </row>
    <row r="53">
      <c r="A53" s="3">
        <f t="shared" si="1"/>
        <v>52</v>
      </c>
      <c r="B53" s="9" t="s">
        <v>454</v>
      </c>
      <c r="C53" s="10">
        <v>39.2717008</v>
      </c>
      <c r="D53" s="10">
        <v>-76.6735285</v>
      </c>
      <c r="E53" s="9" t="s">
        <v>455</v>
      </c>
      <c r="F53" s="9" t="s">
        <v>456</v>
      </c>
      <c r="G53" s="9" t="s">
        <v>457</v>
      </c>
      <c r="H53" s="9" t="s">
        <v>135</v>
      </c>
      <c r="I53" s="9" t="s">
        <v>91</v>
      </c>
      <c r="J53" s="9" t="s">
        <v>458</v>
      </c>
      <c r="K53" s="12" t="s">
        <v>459</v>
      </c>
      <c r="L53" s="9" t="s">
        <v>460</v>
      </c>
      <c r="M53" s="9">
        <v>71.92588116</v>
      </c>
      <c r="N53" s="10">
        <v>71.50229216</v>
      </c>
      <c r="O53" s="10" t="s">
        <v>461</v>
      </c>
      <c r="P53" s="13">
        <v>8312026.0</v>
      </c>
      <c r="Q53" s="7" t="str">
        <f>IF(OR(ISBLANK(M53), ISBLANK(N53)), "", IF(N53 &lt; Sheet3!$B$6, "Insufficient Reviews", IF(M53 &gt;= Sheet3!$B$2, "Highly Reliable", IF(M53 &gt;= Sheet3!$B$3, "Reliable", IF(M53 &gt;= Sheet3!$B$4, "Mixed Reviews", "Low Reliability")))))</f>
        <v>Reliable</v>
      </c>
    </row>
    <row r="54">
      <c r="A54" s="3">
        <f t="shared" si="1"/>
        <v>53</v>
      </c>
      <c r="B54" s="9" t="s">
        <v>462</v>
      </c>
      <c r="C54" s="10">
        <v>39.2967385</v>
      </c>
      <c r="D54" s="10">
        <v>-76.5927362</v>
      </c>
      <c r="E54" s="9" t="s">
        <v>463</v>
      </c>
      <c r="F54" s="9" t="s">
        <v>464</v>
      </c>
      <c r="G54" s="9" t="s">
        <v>465</v>
      </c>
      <c r="H54" s="9" t="s">
        <v>135</v>
      </c>
      <c r="I54" s="9" t="s">
        <v>91</v>
      </c>
      <c r="J54" s="9" t="s">
        <v>466</v>
      </c>
      <c r="K54" s="12" t="s">
        <v>467</v>
      </c>
      <c r="L54" s="9" t="s">
        <v>468</v>
      </c>
      <c r="M54" s="9">
        <v>63.77837549</v>
      </c>
      <c r="N54" s="10">
        <v>70.08358794</v>
      </c>
      <c r="O54" s="10" t="s">
        <v>469</v>
      </c>
      <c r="P54" s="13">
        <v>8312026.0</v>
      </c>
      <c r="Q54" s="7" t="str">
        <f>IF(OR(ISBLANK(M54), ISBLANK(N54)), "", IF(N54 &lt; Sheet3!$B$6, "Insufficient Reviews", IF(M54 &gt;= Sheet3!$B$2, "Highly Reliable", IF(M54 &gt;= Sheet3!$B$3, "Reliable", IF(M54 &gt;= Sheet3!$B$4, "Mixed Reviews", "Low Reliability")))))</f>
        <v>Mixed Reviews</v>
      </c>
    </row>
    <row r="55">
      <c r="A55" s="3">
        <f t="shared" si="1"/>
        <v>54</v>
      </c>
      <c r="B55" s="9" t="s">
        <v>470</v>
      </c>
      <c r="C55" s="10">
        <v>39.2519583</v>
      </c>
      <c r="D55" s="10">
        <v>-76.6143071</v>
      </c>
      <c r="E55" s="9" t="s">
        <v>471</v>
      </c>
      <c r="F55" s="9" t="s">
        <v>472</v>
      </c>
      <c r="G55" s="9" t="s">
        <v>473</v>
      </c>
      <c r="H55" s="9" t="s">
        <v>135</v>
      </c>
      <c r="I55" s="9" t="s">
        <v>91</v>
      </c>
      <c r="J55" s="9" t="s">
        <v>474</v>
      </c>
      <c r="K55" s="12" t="s">
        <v>475</v>
      </c>
      <c r="L55" s="9" t="s">
        <v>476</v>
      </c>
      <c r="M55" s="9">
        <v>83.30358446</v>
      </c>
      <c r="N55" s="10">
        <v>94.91972068</v>
      </c>
      <c r="O55" s="10" t="s">
        <v>477</v>
      </c>
      <c r="P55" s="13">
        <v>8312026.0</v>
      </c>
      <c r="Q55" s="7" t="str">
        <f>IF(OR(ISBLANK(M55), ISBLANK(N55)), "", IF(N55 &lt; Sheet3!$B$6, "Insufficient Reviews", IF(M55 &gt;= Sheet3!$B$2, "Highly Reliable", IF(M55 &gt;= Sheet3!$B$3, "Reliable", IF(M55 &gt;= Sheet3!$B$4, "Mixed Reviews", "Low Reliability")))))</f>
        <v>Highly Reliable</v>
      </c>
    </row>
    <row r="56">
      <c r="A56" s="3">
        <f t="shared" si="1"/>
        <v>55</v>
      </c>
      <c r="B56" s="4" t="s">
        <v>478</v>
      </c>
      <c r="C56" s="5">
        <v>39.2761809</v>
      </c>
      <c r="D56" s="5">
        <v>-76.6184507</v>
      </c>
      <c r="E56" s="4" t="s">
        <v>479</v>
      </c>
      <c r="F56" s="4" t="s">
        <v>480</v>
      </c>
      <c r="G56" s="4" t="s">
        <v>481</v>
      </c>
      <c r="H56" s="4" t="s">
        <v>135</v>
      </c>
      <c r="I56" s="4" t="s">
        <v>482</v>
      </c>
      <c r="J56" s="4" t="s">
        <v>483</v>
      </c>
      <c r="K56" s="8" t="s">
        <v>484</v>
      </c>
      <c r="L56" s="4" t="s">
        <v>485</v>
      </c>
      <c r="M56" s="4">
        <v>85.77378941</v>
      </c>
      <c r="N56" s="5">
        <v>72.71888991</v>
      </c>
      <c r="O56" s="5" t="s">
        <v>486</v>
      </c>
      <c r="P56" s="1">
        <v>8312026.0</v>
      </c>
      <c r="Q56" s="7" t="str">
        <f>IF(OR(ISBLANK(M56), ISBLANK(N56)), "", IF(N56 &lt; Sheet3!$B$6, "Insufficient Reviews", IF(M56 &gt;= Sheet3!$B$2, "Highly Reliable", IF(M56 &gt;= Sheet3!$B$3, "Reliable", IF(M56 &gt;= Sheet3!$B$4, "Mixed Reviews", "Low Reliability")))))</f>
        <v>Highly Reliable</v>
      </c>
    </row>
    <row r="57">
      <c r="A57" s="3">
        <f t="shared" si="1"/>
        <v>56</v>
      </c>
      <c r="B57" s="4" t="s">
        <v>487</v>
      </c>
      <c r="C57" s="5">
        <v>39.3134721</v>
      </c>
      <c r="D57" s="5">
        <v>-76.6182627</v>
      </c>
      <c r="E57" s="4" t="s">
        <v>488</v>
      </c>
      <c r="F57" s="4" t="s">
        <v>489</v>
      </c>
      <c r="G57" s="14"/>
      <c r="H57" s="4" t="s">
        <v>490</v>
      </c>
      <c r="I57" s="4" t="s">
        <v>44</v>
      </c>
      <c r="J57" s="4" t="s">
        <v>491</v>
      </c>
      <c r="K57" s="8" t="s">
        <v>492</v>
      </c>
      <c r="L57" s="4" t="s">
        <v>493</v>
      </c>
      <c r="M57" s="5">
        <v>76.44558894</v>
      </c>
      <c r="N57" s="5">
        <v>67.15622052</v>
      </c>
      <c r="O57" s="4" t="s">
        <v>494</v>
      </c>
      <c r="P57" s="1">
        <v>8312026.0</v>
      </c>
      <c r="Q57" s="7" t="str">
        <f>IF(OR(ISBLANK(M57), ISBLANK(N57)), "", IF(N57 &lt; Sheet3!$B$6, "Insufficient Reviews", IF(M57 &gt;= Sheet3!$B$2, "Highly Reliable", IF(M57 &gt;= Sheet3!$B$3, "Reliable", IF(M57 &gt;= Sheet3!$B$4, "Mixed Reviews", "Low Reliability")))))</f>
        <v>Reliable</v>
      </c>
    </row>
    <row r="58">
      <c r="A58" s="3">
        <f t="shared" si="1"/>
        <v>57</v>
      </c>
      <c r="B58" s="4" t="s">
        <v>495</v>
      </c>
      <c r="C58" s="5">
        <v>39.3049703</v>
      </c>
      <c r="D58" s="5">
        <v>-76.5920995</v>
      </c>
      <c r="E58" s="4" t="s">
        <v>496</v>
      </c>
      <c r="F58" s="4" t="s">
        <v>497</v>
      </c>
      <c r="G58" s="4" t="s">
        <v>498</v>
      </c>
      <c r="H58" s="4" t="s">
        <v>135</v>
      </c>
      <c r="I58" s="4" t="s">
        <v>44</v>
      </c>
      <c r="J58" s="4" t="s">
        <v>499</v>
      </c>
      <c r="K58" s="8" t="s">
        <v>500</v>
      </c>
      <c r="L58" s="4" t="s">
        <v>501</v>
      </c>
      <c r="M58" s="5">
        <v>83.14743745</v>
      </c>
      <c r="N58" s="5">
        <v>71.80876682</v>
      </c>
      <c r="O58" s="4" t="s">
        <v>502</v>
      </c>
      <c r="P58" s="1">
        <v>8312026.0</v>
      </c>
      <c r="Q58" s="7" t="str">
        <f>IF(OR(ISBLANK(M58), ISBLANK(N58)), "", IF(N58 &lt; Sheet3!$B$6, "Insufficient Reviews", IF(M58 &gt;= Sheet3!$B$2, "Highly Reliable", IF(M58 &gt;= Sheet3!$B$3, "Reliable", IF(M58 &gt;= Sheet3!$B$4, "Mixed Reviews", "Low Reliability")))))</f>
        <v>Highly Reliable</v>
      </c>
    </row>
    <row r="59">
      <c r="A59" s="3">
        <f t="shared" si="1"/>
        <v>58</v>
      </c>
      <c r="B59" s="4" t="s">
        <v>503</v>
      </c>
      <c r="C59" s="5">
        <v>39.3178278</v>
      </c>
      <c r="D59" s="5">
        <v>-76.6119782</v>
      </c>
      <c r="E59" s="4" t="s">
        <v>504</v>
      </c>
      <c r="F59" s="4" t="s">
        <v>505</v>
      </c>
      <c r="G59" s="4" t="s">
        <v>506</v>
      </c>
      <c r="H59" s="4" t="s">
        <v>507</v>
      </c>
      <c r="I59" s="4" t="s">
        <v>81</v>
      </c>
      <c r="J59" s="4" t="s">
        <v>508</v>
      </c>
      <c r="K59" s="8" t="s">
        <v>509</v>
      </c>
      <c r="L59" s="4" t="s">
        <v>510</v>
      </c>
      <c r="M59" s="5">
        <v>70.3970144</v>
      </c>
      <c r="N59" s="5">
        <v>73.57172095</v>
      </c>
      <c r="O59" s="4" t="s">
        <v>511</v>
      </c>
      <c r="P59" s="1">
        <v>8312026.0</v>
      </c>
      <c r="Q59" s="7" t="str">
        <f>IF(OR(ISBLANK(M59), ISBLANK(N59)), "", IF(N59 &lt; Sheet3!$B$6, "Insufficient Reviews", IF(M59 &gt;= Sheet3!$B$2, "Highly Reliable", IF(M59 &gt;= Sheet3!$B$3, "Reliable", IF(M59 &gt;= Sheet3!$B$4, "Mixed Reviews", "Low Reliability")))))</f>
        <v>Reliable</v>
      </c>
    </row>
    <row r="60">
      <c r="A60" s="3">
        <f t="shared" si="1"/>
        <v>59</v>
      </c>
      <c r="B60" s="4" t="s">
        <v>512</v>
      </c>
      <c r="C60" s="5">
        <v>39.3181819</v>
      </c>
      <c r="D60" s="5">
        <v>-76.6146379</v>
      </c>
      <c r="E60" s="4" t="s">
        <v>513</v>
      </c>
      <c r="F60" s="4" t="s">
        <v>514</v>
      </c>
      <c r="G60" s="4" t="s">
        <v>515</v>
      </c>
      <c r="H60" s="4" t="s">
        <v>117</v>
      </c>
      <c r="I60" s="4" t="s">
        <v>81</v>
      </c>
      <c r="J60" s="4" t="s">
        <v>516</v>
      </c>
      <c r="K60" s="8" t="s">
        <v>517</v>
      </c>
      <c r="L60" s="4" t="s">
        <v>518</v>
      </c>
      <c r="M60" s="5">
        <v>48.38828777</v>
      </c>
      <c r="N60" s="5">
        <v>52.16785611</v>
      </c>
      <c r="O60" s="4" t="s">
        <v>519</v>
      </c>
      <c r="P60" s="1">
        <v>8312026.0</v>
      </c>
      <c r="Q60" s="7" t="str">
        <f>IF(OR(ISBLANK(M60), ISBLANK(N60)), "", IF(N60 &lt; Sheet3!$B$6, "Insufficient Reviews", IF(M60 &gt;= Sheet3!$B$2, "Highly Reliable", IF(M60 &gt;= Sheet3!$B$3, "Reliable", IF(M60 &gt;= Sheet3!$B$4, "Mixed Reviews", "Low Reliability")))))</f>
        <v>Low Reliability</v>
      </c>
    </row>
    <row r="61">
      <c r="A61" s="3">
        <f t="shared" si="1"/>
        <v>60</v>
      </c>
      <c r="B61" s="4" t="s">
        <v>520</v>
      </c>
      <c r="C61" s="5">
        <v>39.317732</v>
      </c>
      <c r="D61" s="5">
        <v>-76.6144095</v>
      </c>
      <c r="E61" s="4" t="s">
        <v>521</v>
      </c>
      <c r="F61" s="4" t="s">
        <v>522</v>
      </c>
      <c r="G61" s="4" t="s">
        <v>523</v>
      </c>
      <c r="H61" s="4" t="s">
        <v>126</v>
      </c>
      <c r="I61" s="4" t="s">
        <v>81</v>
      </c>
      <c r="J61" s="4" t="s">
        <v>524</v>
      </c>
      <c r="K61" s="8" t="s">
        <v>525</v>
      </c>
      <c r="L61" s="4" t="s">
        <v>526</v>
      </c>
      <c r="M61" s="5">
        <v>61.2</v>
      </c>
      <c r="N61" s="5">
        <v>65.63900261</v>
      </c>
      <c r="O61" s="4" t="s">
        <v>527</v>
      </c>
      <c r="P61" s="1">
        <v>8312026.0</v>
      </c>
      <c r="Q61" s="7" t="str">
        <f>IF(OR(ISBLANK(M61), ISBLANK(N61)), "", IF(N61 &lt; Sheet3!$B$6, "Insufficient Reviews", IF(M61 &gt;= Sheet3!$B$2, "Highly Reliable", IF(M61 &gt;= Sheet3!$B$3, "Reliable", IF(M61 &gt;= Sheet3!$B$4, "Mixed Reviews", "Low Reliability")))))</f>
        <v>Mixed Reviews</v>
      </c>
    </row>
    <row r="62">
      <c r="A62" s="3">
        <f t="shared" si="1"/>
        <v>61</v>
      </c>
      <c r="B62" s="4" t="s">
        <v>528</v>
      </c>
      <c r="C62" s="5">
        <v>39.2881276</v>
      </c>
      <c r="D62" s="5">
        <v>-76.6166986</v>
      </c>
      <c r="E62" s="4" t="s">
        <v>529</v>
      </c>
      <c r="F62" s="4" t="s">
        <v>530</v>
      </c>
      <c r="G62" s="4" t="s">
        <v>531</v>
      </c>
      <c r="H62" s="4" t="s">
        <v>532</v>
      </c>
      <c r="I62" s="4" t="s">
        <v>482</v>
      </c>
      <c r="J62" s="4" t="s">
        <v>533</v>
      </c>
      <c r="K62" s="8" t="s">
        <v>534</v>
      </c>
      <c r="L62" s="4" t="s">
        <v>535</v>
      </c>
      <c r="M62" s="5">
        <v>55.12620287</v>
      </c>
      <c r="N62" s="5">
        <v>69.63273175</v>
      </c>
      <c r="O62" s="4" t="s">
        <v>536</v>
      </c>
      <c r="P62" s="1">
        <v>8312026.0</v>
      </c>
      <c r="Q62" s="7" t="str">
        <f>IF(OR(ISBLANK(M62), ISBLANK(N62)), "", IF(N62 &lt; Sheet3!$B$6, "Insufficient Reviews", IF(M62 &gt;= Sheet3!$B$2, "Highly Reliable", IF(M62 &gt;= Sheet3!$B$3, "Reliable", IF(M62 &gt;= Sheet3!$B$4, "Mixed Reviews", "Low Reliability")))))</f>
        <v>Low Reliability</v>
      </c>
    </row>
    <row r="63">
      <c r="A63" s="3">
        <f t="shared" si="1"/>
        <v>62</v>
      </c>
      <c r="B63" s="4" t="s">
        <v>537</v>
      </c>
      <c r="C63" s="5">
        <v>39.2898998</v>
      </c>
      <c r="D63" s="5">
        <v>-76.6244769</v>
      </c>
      <c r="E63" s="4" t="s">
        <v>538</v>
      </c>
      <c r="F63" s="4" t="s">
        <v>539</v>
      </c>
      <c r="G63" s="4" t="s">
        <v>540</v>
      </c>
      <c r="H63" s="4" t="s">
        <v>135</v>
      </c>
      <c r="I63" s="4" t="s">
        <v>91</v>
      </c>
      <c r="J63" s="4" t="s">
        <v>541</v>
      </c>
      <c r="K63" s="4"/>
      <c r="L63" s="4" t="s">
        <v>542</v>
      </c>
      <c r="M63" s="5">
        <v>66.3948564</v>
      </c>
      <c r="N63" s="5">
        <v>54.84837861</v>
      </c>
      <c r="O63" s="4" t="s">
        <v>543</v>
      </c>
      <c r="P63" s="1">
        <v>8312026.0</v>
      </c>
      <c r="Q63" s="7" t="str">
        <f>IF(OR(ISBLANK(M63), ISBLANK(N63)), "", IF(N63 &lt; Sheet3!$B$6, "Insufficient Reviews", IF(M63 &gt;= Sheet3!$B$2, "Highly Reliable", IF(M63 &gt;= Sheet3!$B$3, "Reliable", IF(M63 &gt;= Sheet3!$B$4, "Mixed Reviews", "Low Reliability")))))</f>
        <v>Mixed Reviews</v>
      </c>
    </row>
    <row r="64">
      <c r="A64" s="3">
        <f t="shared" si="1"/>
        <v>63</v>
      </c>
      <c r="B64" s="4" t="s">
        <v>544</v>
      </c>
      <c r="C64" s="5">
        <v>39.3361453</v>
      </c>
      <c r="D64" s="5">
        <v>-76.5961342</v>
      </c>
      <c r="E64" s="4" t="s">
        <v>545</v>
      </c>
      <c r="F64" s="4" t="s">
        <v>546</v>
      </c>
      <c r="G64" s="4" t="s">
        <v>547</v>
      </c>
      <c r="H64" s="4" t="s">
        <v>303</v>
      </c>
      <c r="I64" s="4" t="s">
        <v>91</v>
      </c>
      <c r="J64" s="4" t="s">
        <v>548</v>
      </c>
      <c r="K64" s="4"/>
      <c r="L64" s="4" t="s">
        <v>549</v>
      </c>
      <c r="M64" s="5">
        <v>70.62442121</v>
      </c>
      <c r="N64" s="5">
        <v>48.22107486</v>
      </c>
      <c r="O64" s="4" t="s">
        <v>550</v>
      </c>
      <c r="P64" s="1">
        <v>8312026.0</v>
      </c>
      <c r="Q64" s="7" t="str">
        <f>IF(OR(ISBLANK(M64), ISBLANK(N64)), "", IF(N64 &lt; Sheet3!$B$6, "Insufficient Reviews", IF(M64 &gt;= Sheet3!$B$2, "Highly Reliable", IF(M64 &gt;= Sheet3!$B$3, "Reliable", IF(M64 &gt;= Sheet3!$B$4, "Mixed Reviews", "Low Reliability")))))</f>
        <v>Reliable</v>
      </c>
    </row>
    <row r="65">
      <c r="A65" s="3">
        <f t="shared" si="1"/>
        <v>64</v>
      </c>
      <c r="B65" s="4" t="s">
        <v>551</v>
      </c>
      <c r="C65" s="5">
        <v>39.3222049</v>
      </c>
      <c r="D65" s="5">
        <v>-76.6033334</v>
      </c>
      <c r="E65" s="4" t="s">
        <v>552</v>
      </c>
      <c r="F65" s="4" t="s">
        <v>553</v>
      </c>
      <c r="G65" s="4" t="s">
        <v>554</v>
      </c>
      <c r="H65" s="4" t="s">
        <v>555</v>
      </c>
      <c r="I65" s="4" t="s">
        <v>27</v>
      </c>
      <c r="J65" s="4" t="s">
        <v>556</v>
      </c>
      <c r="K65" s="4"/>
      <c r="L65" s="4" t="s">
        <v>557</v>
      </c>
      <c r="M65" s="4">
        <v>71.12965559</v>
      </c>
      <c r="N65" s="5">
        <v>49.09751563</v>
      </c>
      <c r="O65" s="5" t="s">
        <v>558</v>
      </c>
      <c r="P65" s="1">
        <v>8312026.0</v>
      </c>
      <c r="Q65" s="7" t="str">
        <f>IF(OR(ISBLANK(M65), ISBLANK(N65)), "", IF(N65 &lt; Sheet3!$B$6, "Insufficient Reviews", IF(M65 &gt;= Sheet3!$B$2, "Highly Reliable", IF(M65 &gt;= Sheet3!$B$3, "Reliable", IF(M65 &gt;= Sheet3!$B$4, "Mixed Reviews", "Low Reliability")))))</f>
        <v>Reliable</v>
      </c>
    </row>
    <row r="66">
      <c r="A66" s="3">
        <f t="shared" si="1"/>
        <v>65</v>
      </c>
      <c r="B66" s="4" t="s">
        <v>559</v>
      </c>
      <c r="C66" s="5">
        <v>39.2830097</v>
      </c>
      <c r="D66" s="5">
        <v>-76.6313531</v>
      </c>
      <c r="E66" s="4" t="s">
        <v>560</v>
      </c>
      <c r="F66" s="4" t="s">
        <v>561</v>
      </c>
      <c r="G66" s="4" t="s">
        <v>562</v>
      </c>
      <c r="H66" s="4" t="s">
        <v>563</v>
      </c>
      <c r="I66" s="4" t="s">
        <v>91</v>
      </c>
      <c r="J66" s="4" t="s">
        <v>564</v>
      </c>
      <c r="K66" s="8" t="s">
        <v>565</v>
      </c>
      <c r="L66" s="4" t="s">
        <v>566</v>
      </c>
      <c r="M66" s="4">
        <v>79.87365277</v>
      </c>
      <c r="N66" s="5">
        <v>60.18558966</v>
      </c>
      <c r="O66" s="5" t="s">
        <v>567</v>
      </c>
      <c r="P66" s="1">
        <v>8312026.0</v>
      </c>
      <c r="Q66" s="7" t="str">
        <f>IF(OR(ISBLANK(M66), ISBLANK(N66)), "", IF(N66 &lt; Sheet3!$B$6, "Insufficient Reviews", IF(M66 &gt;= Sheet3!$B$2, "Highly Reliable", IF(M66 &gt;= Sheet3!$B$3, "Reliable", IF(M66 &gt;= Sheet3!$B$4, "Mixed Reviews", "Low Reliability")))))</f>
        <v>Reliable</v>
      </c>
    </row>
    <row r="67">
      <c r="A67" s="3">
        <f t="shared" si="1"/>
        <v>66</v>
      </c>
      <c r="B67" s="4" t="s">
        <v>568</v>
      </c>
      <c r="C67" s="5">
        <v>39.3054776</v>
      </c>
      <c r="D67" s="5">
        <v>-76.6211895</v>
      </c>
      <c r="E67" s="4" t="s">
        <v>569</v>
      </c>
      <c r="F67" s="4" t="s">
        <v>570</v>
      </c>
      <c r="G67" s="4" t="s">
        <v>571</v>
      </c>
      <c r="H67" s="4" t="s">
        <v>572</v>
      </c>
      <c r="I67" s="4" t="s">
        <v>35</v>
      </c>
      <c r="J67" s="4" t="s">
        <v>573</v>
      </c>
      <c r="K67" s="8" t="s">
        <v>574</v>
      </c>
      <c r="L67" s="4" t="s">
        <v>575</v>
      </c>
      <c r="M67" s="5">
        <v>69.6</v>
      </c>
      <c r="N67" s="5">
        <v>70.32006756</v>
      </c>
      <c r="O67" s="4" t="s">
        <v>576</v>
      </c>
      <c r="P67" s="1">
        <v>8312026.0</v>
      </c>
      <c r="Q67" s="7" t="str">
        <f>IF(OR(ISBLANK(M67), ISBLANK(N67)), "", IF(N67 &lt; Sheet3!$B$6, "Insufficient Reviews", IF(M67 &gt;= Sheet3!$B$2, "Highly Reliable", IF(M67 &gt;= Sheet3!$B$3, "Reliable", IF(M67 &gt;= Sheet3!$B$4, "Mixed Reviews", "Low Reliability")))))</f>
        <v>Mixed Reviews</v>
      </c>
    </row>
    <row r="68">
      <c r="A68" s="3">
        <f t="shared" si="1"/>
        <v>67</v>
      </c>
      <c r="B68" s="4" t="s">
        <v>577</v>
      </c>
      <c r="C68" s="5">
        <v>39.3121555</v>
      </c>
      <c r="D68" s="5">
        <v>-76.613171</v>
      </c>
      <c r="E68" s="4" t="s">
        <v>578</v>
      </c>
      <c r="F68" s="4" t="s">
        <v>579</v>
      </c>
      <c r="G68" s="4" t="s">
        <v>580</v>
      </c>
      <c r="H68" s="4" t="s">
        <v>43</v>
      </c>
      <c r="I68" s="4" t="s">
        <v>35</v>
      </c>
      <c r="J68" s="4" t="s">
        <v>581</v>
      </c>
      <c r="K68" s="8" t="s">
        <v>582</v>
      </c>
      <c r="L68" s="4" t="s">
        <v>583</v>
      </c>
      <c r="M68" s="5">
        <v>71.87621159</v>
      </c>
      <c r="N68" s="5">
        <v>70.6415969</v>
      </c>
      <c r="O68" s="4" t="s">
        <v>584</v>
      </c>
      <c r="P68" s="1">
        <v>8312026.0</v>
      </c>
      <c r="Q68" s="7" t="str">
        <f>IF(OR(ISBLANK(M68), ISBLANK(N68)), "", IF(N68 &lt; Sheet3!$B$6, "Insufficient Reviews", IF(M68 &gt;= Sheet3!$B$2, "Highly Reliable", IF(M68 &gt;= Sheet3!$B$3, "Reliable", IF(M68 &gt;= Sheet3!$B$4, "Mixed Reviews", "Low Reliability")))))</f>
        <v>Reliable</v>
      </c>
    </row>
    <row r="69">
      <c r="A69" s="3">
        <f t="shared" si="1"/>
        <v>68</v>
      </c>
      <c r="B69" s="4" t="s">
        <v>585</v>
      </c>
      <c r="C69" s="5">
        <v>39.2926234</v>
      </c>
      <c r="D69" s="5">
        <v>-76.6227235</v>
      </c>
      <c r="E69" s="4" t="s">
        <v>586</v>
      </c>
      <c r="F69" s="4" t="s">
        <v>587</v>
      </c>
      <c r="G69" s="4" t="s">
        <v>588</v>
      </c>
      <c r="H69" s="4" t="s">
        <v>589</v>
      </c>
      <c r="I69" s="4" t="s">
        <v>35</v>
      </c>
      <c r="J69" s="4" t="s">
        <v>590</v>
      </c>
      <c r="K69" s="8" t="s">
        <v>591</v>
      </c>
      <c r="L69" s="4" t="s">
        <v>592</v>
      </c>
      <c r="M69" s="5">
        <v>73.60654725</v>
      </c>
      <c r="N69" s="5">
        <v>68.30578247</v>
      </c>
      <c r="O69" s="4" t="s">
        <v>593</v>
      </c>
      <c r="P69" s="1">
        <v>8312026.0</v>
      </c>
      <c r="Q69" s="7" t="str">
        <f>IF(OR(ISBLANK(M69), ISBLANK(N69)), "", IF(N69 &lt; Sheet3!$B$6, "Insufficient Reviews", IF(M69 &gt;= Sheet3!$B$2, "Highly Reliable", IF(M69 &gt;= Sheet3!$B$3, "Reliable", IF(M69 &gt;= Sheet3!$B$4, "Mixed Reviews", "Low Reliability")))))</f>
        <v>Reliable</v>
      </c>
    </row>
    <row r="70">
      <c r="A70" s="3">
        <f t="shared" si="1"/>
        <v>69</v>
      </c>
      <c r="B70" s="4" t="s">
        <v>594</v>
      </c>
      <c r="C70" s="5">
        <v>39.3318824</v>
      </c>
      <c r="D70" s="5">
        <v>-76.7475154</v>
      </c>
      <c r="E70" s="4" t="s">
        <v>595</v>
      </c>
      <c r="F70" s="4" t="s">
        <v>596</v>
      </c>
      <c r="G70" s="4" t="s">
        <v>597</v>
      </c>
      <c r="H70" s="4" t="s">
        <v>598</v>
      </c>
      <c r="I70" s="4" t="s">
        <v>203</v>
      </c>
      <c r="J70" s="4" t="s">
        <v>599</v>
      </c>
      <c r="K70" s="8" t="s">
        <v>600</v>
      </c>
      <c r="L70" s="4" t="s">
        <v>601</v>
      </c>
      <c r="M70" s="5">
        <v>13.5</v>
      </c>
      <c r="N70" s="5">
        <v>31.83333333</v>
      </c>
      <c r="O70" s="4" t="s">
        <v>290</v>
      </c>
      <c r="P70" s="1">
        <v>8312026.0</v>
      </c>
      <c r="Q70" s="7" t="str">
        <f>IF(OR(ISBLANK(M70), ISBLANK(N70)), "", IF(N70 &lt; Sheet3!$B$6, "Insufficient Reviews", IF(M70 &gt;= Sheet3!$B$2, "Highly Reliable", IF(M70 &gt;= Sheet3!$B$3, "Reliable", IF(M70 &gt;= Sheet3!$B$4, "Mixed Reviews", "Low Reliability")))))</f>
        <v>Insufficient Reviews</v>
      </c>
    </row>
    <row r="71">
      <c r="A71" s="3">
        <f t="shared" si="1"/>
        <v>70</v>
      </c>
      <c r="B71" s="4" t="s">
        <v>602</v>
      </c>
      <c r="C71" s="5">
        <v>39.3450164</v>
      </c>
      <c r="D71" s="5">
        <v>-76.6397849</v>
      </c>
      <c r="E71" s="4" t="s">
        <v>603</v>
      </c>
      <c r="F71" s="4" t="s">
        <v>604</v>
      </c>
      <c r="G71" s="4" t="s">
        <v>605</v>
      </c>
      <c r="H71" s="4" t="s">
        <v>26</v>
      </c>
      <c r="I71" s="4" t="s">
        <v>35</v>
      </c>
      <c r="J71" s="4" t="s">
        <v>606</v>
      </c>
      <c r="K71" s="8" t="s">
        <v>607</v>
      </c>
      <c r="L71" s="4" t="s">
        <v>608</v>
      </c>
      <c r="M71" s="5">
        <v>75.26794478</v>
      </c>
      <c r="N71" s="5">
        <v>60.36495254</v>
      </c>
      <c r="O71" s="4" t="s">
        <v>609</v>
      </c>
      <c r="P71" s="1">
        <v>8312026.0</v>
      </c>
      <c r="Q71" s="7" t="str">
        <f>IF(OR(ISBLANK(M71), ISBLANK(N71)), "", IF(N71 &lt; Sheet3!$B$6, "Insufficient Reviews", IF(M71 &gt;= Sheet3!$B$2, "Highly Reliable", IF(M71 &gt;= Sheet3!$B$3, "Reliable", IF(M71 &gt;= Sheet3!$B$4, "Mixed Reviews", "Low Reliability")))))</f>
        <v>Reliable</v>
      </c>
    </row>
    <row r="72">
      <c r="A72" s="3">
        <f t="shared" si="1"/>
        <v>71</v>
      </c>
      <c r="B72" s="4" t="s">
        <v>610</v>
      </c>
      <c r="C72" s="5">
        <v>39.3447303</v>
      </c>
      <c r="D72" s="5">
        <v>-76.6624779</v>
      </c>
      <c r="E72" s="4" t="s">
        <v>611</v>
      </c>
      <c r="F72" s="4" t="s">
        <v>612</v>
      </c>
      <c r="G72" s="4" t="s">
        <v>613</v>
      </c>
      <c r="H72" s="4"/>
      <c r="I72" s="4" t="s">
        <v>35</v>
      </c>
      <c r="J72" s="4" t="s">
        <v>614</v>
      </c>
      <c r="K72" s="8" t="s">
        <v>615</v>
      </c>
      <c r="L72" s="4" t="s">
        <v>616</v>
      </c>
      <c r="M72" s="5">
        <v>82.40793834</v>
      </c>
      <c r="N72" s="5">
        <v>73.55527629</v>
      </c>
      <c r="O72" s="4" t="s">
        <v>617</v>
      </c>
      <c r="P72" s="1">
        <v>8312026.0</v>
      </c>
      <c r="Q72" s="7" t="str">
        <f>IF(OR(ISBLANK(M72), ISBLANK(N72)), "", IF(N72 &lt; Sheet3!$B$6, "Insufficient Reviews", IF(M72 &gt;= Sheet3!$B$2, "Highly Reliable", IF(M72 &gt;= Sheet3!$B$3, "Reliable", IF(M72 &gt;= Sheet3!$B$4, "Mixed Reviews", "Low Reliability")))))</f>
        <v>Highly Reliable</v>
      </c>
    </row>
    <row r="73">
      <c r="A73" s="3">
        <f t="shared" si="1"/>
        <v>72</v>
      </c>
      <c r="B73" s="4" t="s">
        <v>618</v>
      </c>
      <c r="C73" s="5">
        <v>39.3426571</v>
      </c>
      <c r="D73" s="5">
        <v>-76.6071434</v>
      </c>
      <c r="E73" s="4" t="s">
        <v>619</v>
      </c>
      <c r="F73" s="4" t="s">
        <v>620</v>
      </c>
      <c r="G73" s="4" t="s">
        <v>621</v>
      </c>
      <c r="H73" s="4" t="s">
        <v>622</v>
      </c>
      <c r="I73" s="4" t="s">
        <v>35</v>
      </c>
      <c r="J73" s="4" t="s">
        <v>623</v>
      </c>
      <c r="K73" s="8" t="s">
        <v>624</v>
      </c>
      <c r="L73" s="4" t="s">
        <v>625</v>
      </c>
      <c r="M73" s="5">
        <v>83.85771492</v>
      </c>
      <c r="N73" s="5">
        <v>74.52161782</v>
      </c>
      <c r="O73" s="4" t="s">
        <v>626</v>
      </c>
      <c r="P73" s="1">
        <v>8312026.0</v>
      </c>
      <c r="Q73" s="7" t="str">
        <f>IF(OR(ISBLANK(M73), ISBLANK(N73)), "", IF(N73 &lt; Sheet3!$B$6, "Insufficient Reviews", IF(M73 &gt;= Sheet3!$B$2, "Highly Reliable", IF(M73 &gt;= Sheet3!$B$3, "Reliable", IF(M73 &gt;= Sheet3!$B$4, "Mixed Reviews", "Low Reliability")))))</f>
        <v>Highly Reliable</v>
      </c>
    </row>
    <row r="74">
      <c r="A74" s="3">
        <f t="shared" si="1"/>
        <v>73</v>
      </c>
      <c r="B74" s="4" t="s">
        <v>627</v>
      </c>
      <c r="C74" s="5">
        <v>39.337867</v>
      </c>
      <c r="D74" s="5">
        <v>-76.662074</v>
      </c>
      <c r="E74" s="4" t="s">
        <v>628</v>
      </c>
      <c r="F74" s="4" t="s">
        <v>629</v>
      </c>
      <c r="G74" s="14"/>
      <c r="H74" s="4" t="s">
        <v>630</v>
      </c>
      <c r="I74" s="4" t="s">
        <v>27</v>
      </c>
      <c r="J74" s="4" t="s">
        <v>631</v>
      </c>
      <c r="K74" s="8" t="s">
        <v>632</v>
      </c>
      <c r="L74" s="4" t="s">
        <v>633</v>
      </c>
      <c r="M74" s="5">
        <v>7.5</v>
      </c>
      <c r="N74" s="5">
        <v>31.83333333</v>
      </c>
      <c r="O74" s="4" t="s">
        <v>634</v>
      </c>
      <c r="P74" s="1">
        <v>8312026.0</v>
      </c>
      <c r="Q74" s="7" t="str">
        <f>IF(OR(ISBLANK(M74), ISBLANK(N74)), "", IF(N74 &lt; Sheet3!$B$6, "Insufficient Reviews", IF(M74 &gt;= Sheet3!$B$2, "Highly Reliable", IF(M74 &gt;= Sheet3!$B$3, "Reliable", IF(M74 &gt;= Sheet3!$B$4, "Mixed Reviews", "Low Reliability")))))</f>
        <v>Insufficient Reviews</v>
      </c>
    </row>
    <row r="75">
      <c r="A75" s="3">
        <f t="shared" si="1"/>
        <v>74</v>
      </c>
      <c r="B75" s="4" t="s">
        <v>635</v>
      </c>
      <c r="C75" s="5">
        <v>39.3716246</v>
      </c>
      <c r="D75" s="5">
        <v>-76.6059407</v>
      </c>
      <c r="E75" s="4" t="s">
        <v>636</v>
      </c>
      <c r="F75" s="4" t="s">
        <v>637</v>
      </c>
      <c r="G75" s="4" t="s">
        <v>638</v>
      </c>
      <c r="H75" s="4" t="s">
        <v>639</v>
      </c>
      <c r="I75" s="4" t="s">
        <v>35</v>
      </c>
      <c r="J75" s="4" t="s">
        <v>640</v>
      </c>
      <c r="K75" s="8" t="s">
        <v>641</v>
      </c>
      <c r="L75" s="4" t="s">
        <v>642</v>
      </c>
      <c r="M75" s="5">
        <v>78.10684844</v>
      </c>
      <c r="N75" s="5">
        <v>89.44103799</v>
      </c>
      <c r="O75" s="4" t="s">
        <v>643</v>
      </c>
      <c r="P75" s="1">
        <v>8312026.0</v>
      </c>
      <c r="Q75" s="7" t="str">
        <f>IF(OR(ISBLANK(M75), ISBLANK(N75)), "", IF(N75 &lt; Sheet3!$B$6, "Insufficient Reviews", IF(M75 &gt;= Sheet3!$B$2, "Highly Reliable", IF(M75 &gt;= Sheet3!$B$3, "Reliable", IF(M75 &gt;= Sheet3!$B$4, "Mixed Reviews", "Low Reliability")))))</f>
        <v>Reliable</v>
      </c>
    </row>
    <row r="76">
      <c r="A76" s="3">
        <f t="shared" si="1"/>
        <v>75</v>
      </c>
      <c r="B76" s="4" t="s">
        <v>644</v>
      </c>
      <c r="C76" s="5">
        <v>39.3486556</v>
      </c>
      <c r="D76" s="5">
        <v>-76.6782053</v>
      </c>
      <c r="E76" s="4" t="s">
        <v>645</v>
      </c>
      <c r="F76" s="4" t="s">
        <v>646</v>
      </c>
      <c r="G76" s="4"/>
      <c r="H76" s="4" t="s">
        <v>647</v>
      </c>
      <c r="I76" s="4" t="s">
        <v>71</v>
      </c>
      <c r="J76" s="4" t="s">
        <v>648</v>
      </c>
      <c r="K76" s="8" t="s">
        <v>649</v>
      </c>
      <c r="L76" s="4" t="s">
        <v>650</v>
      </c>
      <c r="M76" s="5">
        <v>77.23953159</v>
      </c>
      <c r="N76" s="5">
        <v>55.21799176</v>
      </c>
      <c r="O76" s="4" t="s">
        <v>651</v>
      </c>
      <c r="P76" s="1">
        <v>8312026.0</v>
      </c>
      <c r="Q76" s="7" t="str">
        <f>IF(OR(ISBLANK(M76), ISBLANK(N76)), "", IF(N76 &lt; Sheet3!$B$6, "Insufficient Reviews", IF(M76 &gt;= Sheet3!$B$2, "Highly Reliable", IF(M76 &gt;= Sheet3!$B$3, "Reliable", IF(M76 &gt;= Sheet3!$B$4, "Mixed Reviews", "Low Reliability")))))</f>
        <v>Reliable</v>
      </c>
    </row>
    <row r="77">
      <c r="A77" s="3">
        <f t="shared" si="1"/>
        <v>76</v>
      </c>
      <c r="B77" s="4" t="s">
        <v>652</v>
      </c>
      <c r="C77" s="5">
        <v>39.3422481</v>
      </c>
      <c r="D77" s="5">
        <v>-76.6801349</v>
      </c>
      <c r="E77" s="4" t="s">
        <v>653</v>
      </c>
      <c r="F77" s="4" t="s">
        <v>654</v>
      </c>
      <c r="G77" s="4" t="s">
        <v>655</v>
      </c>
      <c r="H77" s="4" t="s">
        <v>126</v>
      </c>
      <c r="I77" s="4" t="s">
        <v>71</v>
      </c>
      <c r="J77" s="4" t="s">
        <v>656</v>
      </c>
      <c r="K77" s="8" t="s">
        <v>657</v>
      </c>
      <c r="L77" s="4" t="s">
        <v>658</v>
      </c>
      <c r="M77" s="5">
        <v>77.91743204</v>
      </c>
      <c r="N77" s="5">
        <v>73.07933615</v>
      </c>
      <c r="O77" s="4" t="s">
        <v>659</v>
      </c>
      <c r="P77" s="1">
        <v>8312026.0</v>
      </c>
      <c r="Q77" s="7" t="str">
        <f>IF(OR(ISBLANK(M77), ISBLANK(N77)), "", IF(N77 &lt; Sheet3!$B$6, "Insufficient Reviews", IF(M77 &gt;= Sheet3!$B$2, "Highly Reliable", IF(M77 &gt;= Sheet3!$B$3, "Reliable", IF(M77 &gt;= Sheet3!$B$4, "Mixed Reviews", "Low Reliability")))))</f>
        <v>Reliable</v>
      </c>
    </row>
    <row r="78">
      <c r="A78" s="3">
        <f t="shared" si="1"/>
        <v>77</v>
      </c>
      <c r="B78" s="4" t="s">
        <v>660</v>
      </c>
      <c r="C78" s="5">
        <v>39.352677</v>
      </c>
      <c r="D78" s="5">
        <v>-76.685322</v>
      </c>
      <c r="E78" s="4" t="s">
        <v>661</v>
      </c>
      <c r="F78" s="4" t="s">
        <v>662</v>
      </c>
      <c r="G78" s="14"/>
      <c r="H78" s="4" t="s">
        <v>663</v>
      </c>
      <c r="I78" s="4" t="s">
        <v>27</v>
      </c>
      <c r="J78" s="4" t="s">
        <v>664</v>
      </c>
      <c r="K78" s="4"/>
      <c r="L78" s="4" t="s">
        <v>665</v>
      </c>
      <c r="M78" s="5">
        <v>69.73080628</v>
      </c>
      <c r="N78" s="5">
        <v>32.87337216</v>
      </c>
      <c r="O78" s="4" t="s">
        <v>666</v>
      </c>
      <c r="P78" s="1">
        <v>8312026.0</v>
      </c>
      <c r="Q78" s="7" t="str">
        <f>IF(OR(ISBLANK(M78), ISBLANK(N78)), "", IF(N78 &lt; Sheet3!$B$6, "Insufficient Reviews", IF(M78 &gt;= Sheet3!$B$2, "Highly Reliable", IF(M78 &gt;= Sheet3!$B$3, "Reliable", IF(M78 &gt;= Sheet3!$B$4, "Mixed Reviews", "Low Reliability")))))</f>
        <v>Insufficient Reviews</v>
      </c>
    </row>
    <row r="79">
      <c r="A79" s="3">
        <f t="shared" si="1"/>
        <v>78</v>
      </c>
      <c r="B79" s="4" t="s">
        <v>667</v>
      </c>
      <c r="C79" s="5">
        <v>39.3261197</v>
      </c>
      <c r="D79" s="5">
        <v>-76.6736662</v>
      </c>
      <c r="E79" s="4" t="s">
        <v>668</v>
      </c>
      <c r="F79" s="4" t="s">
        <v>669</v>
      </c>
      <c r="G79" s="4"/>
      <c r="H79" s="4" t="s">
        <v>670</v>
      </c>
      <c r="I79" s="4" t="s">
        <v>71</v>
      </c>
      <c r="J79" s="4" t="s">
        <v>671</v>
      </c>
      <c r="K79" s="4"/>
      <c r="L79" s="4" t="s">
        <v>672</v>
      </c>
      <c r="M79" s="5">
        <v>73.00855847</v>
      </c>
      <c r="N79" s="5">
        <v>35.05854028</v>
      </c>
      <c r="O79" s="4" t="s">
        <v>673</v>
      </c>
      <c r="P79" s="1">
        <v>8312026.0</v>
      </c>
      <c r="Q79" s="7" t="str">
        <f>IF(OR(ISBLANK(M79), ISBLANK(N79)), "", IF(N79 &lt; Sheet3!$B$6, "Insufficient Reviews", IF(M79 &gt;= Sheet3!$B$2, "Highly Reliable", IF(M79 &gt;= Sheet3!$B$3, "Reliable", IF(M79 &gt;= Sheet3!$B$4, "Mixed Reviews", "Low Reliability")))))</f>
        <v>Insufficient Reviews</v>
      </c>
    </row>
    <row r="80">
      <c r="A80" s="3">
        <f t="shared" si="1"/>
        <v>79</v>
      </c>
      <c r="B80" s="4" t="s">
        <v>674</v>
      </c>
      <c r="C80" s="5">
        <v>39.3175548</v>
      </c>
      <c r="D80" s="5">
        <v>-76.606769</v>
      </c>
      <c r="E80" s="4" t="s">
        <v>675</v>
      </c>
      <c r="F80" s="4" t="s">
        <v>676</v>
      </c>
      <c r="G80" s="4" t="s">
        <v>677</v>
      </c>
      <c r="H80" s="4" t="s">
        <v>678</v>
      </c>
      <c r="I80" s="4" t="s">
        <v>71</v>
      </c>
      <c r="J80" s="4" t="s">
        <v>679</v>
      </c>
      <c r="K80" s="8" t="s">
        <v>680</v>
      </c>
      <c r="L80" s="4" t="s">
        <v>681</v>
      </c>
      <c r="M80" s="5">
        <v>79.60213904</v>
      </c>
      <c r="N80" s="5">
        <v>69.98324421</v>
      </c>
      <c r="O80" s="4" t="s">
        <v>682</v>
      </c>
      <c r="P80" s="1">
        <v>8312026.0</v>
      </c>
      <c r="Q80" s="7" t="str">
        <f>IF(OR(ISBLANK(M80), ISBLANK(N80)), "", IF(N80 &lt; Sheet3!$B$6, "Insufficient Reviews", IF(M80 &gt;= Sheet3!$B$2, "Highly Reliable", IF(M80 &gt;= Sheet3!$B$3, "Reliable", IF(M80 &gt;= Sheet3!$B$4, "Mixed Reviews", "Low Reliability")))))</f>
        <v>Reliable</v>
      </c>
    </row>
    <row r="81">
      <c r="A81" s="3">
        <f t="shared" si="1"/>
        <v>80</v>
      </c>
      <c r="B81" s="4" t="s">
        <v>683</v>
      </c>
      <c r="C81" s="5">
        <v>39.3182066</v>
      </c>
      <c r="D81" s="5">
        <v>-76.6031099</v>
      </c>
      <c r="E81" s="4" t="s">
        <v>684</v>
      </c>
      <c r="F81" s="4" t="s">
        <v>685</v>
      </c>
      <c r="G81" s="4"/>
      <c r="H81" s="4" t="s">
        <v>686</v>
      </c>
      <c r="I81" s="4" t="s">
        <v>71</v>
      </c>
      <c r="J81" s="4" t="s">
        <v>687</v>
      </c>
      <c r="K81" s="8" t="s">
        <v>688</v>
      </c>
      <c r="L81" s="4" t="s">
        <v>689</v>
      </c>
      <c r="M81" s="5">
        <v>82.66516729</v>
      </c>
      <c r="N81" s="5">
        <v>62.28984159</v>
      </c>
      <c r="O81" s="4" t="s">
        <v>690</v>
      </c>
      <c r="P81" s="1">
        <v>8312026.0</v>
      </c>
      <c r="Q81" s="7" t="str">
        <f>IF(OR(ISBLANK(M81), ISBLANK(N81)), "", IF(N81 &lt; Sheet3!$B$6, "Insufficient Reviews", IF(M81 &gt;= Sheet3!$B$2, "Highly Reliable", IF(M81 &gt;= Sheet3!$B$3, "Reliable", IF(M81 &gt;= Sheet3!$B$4, "Mixed Reviews", "Low Reliability")))))</f>
        <v>Highly Reliable</v>
      </c>
    </row>
    <row r="82">
      <c r="A82" s="3">
        <f t="shared" si="1"/>
        <v>81</v>
      </c>
      <c r="B82" s="4" t="s">
        <v>691</v>
      </c>
      <c r="C82" s="5">
        <v>39.4013911</v>
      </c>
      <c r="D82" s="5">
        <v>-76.6064584</v>
      </c>
      <c r="E82" s="4" t="s">
        <v>692</v>
      </c>
      <c r="F82" s="4" t="s">
        <v>693</v>
      </c>
      <c r="G82" s="4" t="s">
        <v>694</v>
      </c>
      <c r="H82" s="4" t="s">
        <v>695</v>
      </c>
      <c r="I82" s="4" t="s">
        <v>71</v>
      </c>
      <c r="J82" s="4" t="s">
        <v>696</v>
      </c>
      <c r="K82" s="8" t="s">
        <v>697</v>
      </c>
      <c r="L82" s="4" t="s">
        <v>698</v>
      </c>
      <c r="M82" s="5">
        <v>76.64241104</v>
      </c>
      <c r="N82" s="5">
        <v>70.36337827</v>
      </c>
      <c r="O82" s="4" t="s">
        <v>699</v>
      </c>
      <c r="P82" s="1">
        <v>8312026.0</v>
      </c>
      <c r="Q82" s="7" t="str">
        <f>IF(OR(ISBLANK(M82), ISBLANK(N82)), "", IF(N82 &lt; Sheet3!$B$6, "Insufficient Reviews", IF(M82 &gt;= Sheet3!$B$2, "Highly Reliable", IF(M82 &gt;= Sheet3!$B$3, "Reliable", IF(M82 &gt;= Sheet3!$B$4, "Mixed Reviews", "Low Reliability")))))</f>
        <v>Reliable</v>
      </c>
    </row>
    <row r="83">
      <c r="A83" s="3">
        <f t="shared" si="1"/>
        <v>82</v>
      </c>
      <c r="B83" s="4" t="s">
        <v>700</v>
      </c>
      <c r="C83" s="5">
        <v>39.3064664</v>
      </c>
      <c r="D83" s="5">
        <v>-76.6249529</v>
      </c>
      <c r="E83" s="4" t="s">
        <v>701</v>
      </c>
      <c r="F83" s="4" t="s">
        <v>702</v>
      </c>
      <c r="G83" s="4" t="s">
        <v>703</v>
      </c>
      <c r="H83" s="4" t="s">
        <v>704</v>
      </c>
      <c r="I83" s="4" t="s">
        <v>71</v>
      </c>
      <c r="J83" s="4" t="s">
        <v>705</v>
      </c>
      <c r="K83" s="8" t="s">
        <v>706</v>
      </c>
      <c r="L83" s="4" t="s">
        <v>707</v>
      </c>
      <c r="M83" s="5">
        <v>81.9848299</v>
      </c>
      <c r="N83" s="5">
        <v>74.70817374</v>
      </c>
      <c r="O83" s="4" t="s">
        <v>708</v>
      </c>
      <c r="P83" s="1">
        <v>8312026.0</v>
      </c>
      <c r="Q83" s="7" t="str">
        <f>IF(OR(ISBLANK(M83), ISBLANK(N83)), "", IF(N83 &lt; Sheet3!$B$6, "Insufficient Reviews", IF(M83 &gt;= Sheet3!$B$2, "Highly Reliable", IF(M83 &gt;= Sheet3!$B$3, "Reliable", IF(M83 &gt;= Sheet3!$B$4, "Mixed Reviews", "Low Reliability")))))</f>
        <v>Reliable</v>
      </c>
    </row>
    <row r="84">
      <c r="A84" s="3">
        <f t="shared" si="1"/>
        <v>83</v>
      </c>
      <c r="B84" s="4" t="s">
        <v>709</v>
      </c>
      <c r="C84" s="5">
        <v>39.3063434</v>
      </c>
      <c r="D84" s="5">
        <v>-76.6437672</v>
      </c>
      <c r="E84" s="4" t="s">
        <v>710</v>
      </c>
      <c r="F84" s="4" t="s">
        <v>711</v>
      </c>
      <c r="G84" s="4" t="s">
        <v>712</v>
      </c>
      <c r="H84" s="4" t="s">
        <v>713</v>
      </c>
      <c r="I84" s="4" t="s">
        <v>71</v>
      </c>
      <c r="J84" s="4" t="s">
        <v>714</v>
      </c>
      <c r="K84" s="4"/>
      <c r="L84" s="4" t="s">
        <v>715</v>
      </c>
      <c r="M84" s="5">
        <v>79.1046902</v>
      </c>
      <c r="N84" s="5">
        <v>49.10336208</v>
      </c>
      <c r="O84" s="4" t="s">
        <v>716</v>
      </c>
      <c r="P84" s="1">
        <v>8312026.0</v>
      </c>
      <c r="Q84" s="7" t="str">
        <f>IF(OR(ISBLANK(M84), ISBLANK(N84)), "", IF(N84 &lt; Sheet3!$B$6, "Insufficient Reviews", IF(M84 &gt;= Sheet3!$B$2, "Highly Reliable", IF(M84 &gt;= Sheet3!$B$3, "Reliable", IF(M84 &gt;= Sheet3!$B$4, "Mixed Reviews", "Low Reliability")))))</f>
        <v>Reliable</v>
      </c>
    </row>
    <row r="85">
      <c r="A85" s="3">
        <f t="shared" si="1"/>
        <v>84</v>
      </c>
      <c r="B85" s="4" t="s">
        <v>717</v>
      </c>
      <c r="C85" s="5">
        <v>39.3048699</v>
      </c>
      <c r="D85" s="5">
        <v>-76.6317194</v>
      </c>
      <c r="E85" s="4" t="s">
        <v>718</v>
      </c>
      <c r="F85" s="4" t="s">
        <v>719</v>
      </c>
      <c r="G85" s="4" t="s">
        <v>720</v>
      </c>
      <c r="H85" s="4" t="s">
        <v>721</v>
      </c>
      <c r="I85" s="4" t="s">
        <v>91</v>
      </c>
      <c r="J85" s="4" t="s">
        <v>722</v>
      </c>
      <c r="K85" s="8" t="s">
        <v>723</v>
      </c>
      <c r="L85" s="4" t="s">
        <v>724</v>
      </c>
      <c r="M85" s="5">
        <v>79.10671903</v>
      </c>
      <c r="N85" s="5">
        <v>73.57846906</v>
      </c>
      <c r="O85" s="4" t="s">
        <v>725</v>
      </c>
      <c r="P85" s="1">
        <v>8312026.0</v>
      </c>
      <c r="Q85" s="7" t="str">
        <f>IF(OR(ISBLANK(M85), ISBLANK(N85)), "", IF(N85 &lt; Sheet3!$B$6, "Insufficient Reviews", IF(M85 &gt;= Sheet3!$B$2, "Highly Reliable", IF(M85 &gt;= Sheet3!$B$3, "Reliable", IF(M85 &gt;= Sheet3!$B$4, "Mixed Reviews", "Low Reliability")))))</f>
        <v>Reliable</v>
      </c>
    </row>
    <row r="86">
      <c r="A86" s="3">
        <f t="shared" si="1"/>
        <v>85</v>
      </c>
      <c r="B86" s="4" t="s">
        <v>726</v>
      </c>
      <c r="C86" s="5">
        <v>38.1911442</v>
      </c>
      <c r="D86" s="5">
        <v>-76.4168041</v>
      </c>
      <c r="E86" s="4" t="s">
        <v>727</v>
      </c>
      <c r="F86" s="4" t="s">
        <v>728</v>
      </c>
      <c r="G86" s="4"/>
      <c r="H86" s="4" t="s">
        <v>729</v>
      </c>
      <c r="I86" s="4" t="s">
        <v>71</v>
      </c>
      <c r="J86" s="4" t="s">
        <v>730</v>
      </c>
      <c r="K86" s="8" t="s">
        <v>731</v>
      </c>
      <c r="L86" s="4" t="s">
        <v>732</v>
      </c>
      <c r="M86" s="5">
        <v>79.99728457</v>
      </c>
      <c r="N86" s="5">
        <v>64.64328775</v>
      </c>
      <c r="O86" s="4" t="s">
        <v>733</v>
      </c>
      <c r="P86" s="1">
        <v>8312026.0</v>
      </c>
      <c r="Q86" s="7" t="str">
        <f>IF(OR(ISBLANK(M86), ISBLANK(N86)), "", IF(N86 &lt; Sheet3!$B$6, "Insufficient Reviews", IF(M86 &gt;= Sheet3!$B$2, "Highly Reliable", IF(M86 &gt;= Sheet3!$B$3, "Reliable", IF(M86 &gt;= Sheet3!$B$4, "Mixed Reviews", "Low Reliability")))))</f>
        <v>Reliable</v>
      </c>
    </row>
    <row r="87">
      <c r="A87" s="3">
        <f t="shared" si="1"/>
        <v>86</v>
      </c>
      <c r="B87" s="4" t="s">
        <v>734</v>
      </c>
      <c r="C87" s="5">
        <v>39.3123848</v>
      </c>
      <c r="D87" s="5">
        <v>-76.6750648</v>
      </c>
      <c r="E87" s="4" t="s">
        <v>735</v>
      </c>
      <c r="F87" s="4" t="s">
        <v>736</v>
      </c>
      <c r="G87" s="4" t="s">
        <v>737</v>
      </c>
      <c r="H87" s="4" t="s">
        <v>738</v>
      </c>
      <c r="I87" s="4" t="s">
        <v>71</v>
      </c>
      <c r="J87" s="4" t="s">
        <v>739</v>
      </c>
      <c r="K87" s="4"/>
      <c r="L87" s="4" t="s">
        <v>740</v>
      </c>
      <c r="M87" s="4">
        <v>9.0</v>
      </c>
      <c r="N87" s="5">
        <v>15.91666667</v>
      </c>
      <c r="O87" s="5" t="s">
        <v>741</v>
      </c>
      <c r="P87" s="15">
        <v>8312026.0</v>
      </c>
      <c r="Q87" s="7" t="str">
        <f>IF(OR(ISBLANK(M87), ISBLANK(N87)), "", IF(N87 &lt; Sheet3!$B$6, "Insufficient Reviews", IF(M87 &gt;= Sheet3!$B$2, "Highly Reliable", IF(M87 &gt;= Sheet3!$B$3, "Reliable", IF(M87 &gt;= Sheet3!$B$4, "Mixed Reviews", "Low Reliability")))))</f>
        <v>Insufficient Reviews</v>
      </c>
    </row>
    <row r="88">
      <c r="A88" s="3">
        <f t="shared" si="1"/>
        <v>87</v>
      </c>
      <c r="B88" s="4" t="s">
        <v>742</v>
      </c>
      <c r="C88" s="5">
        <v>39.3102155</v>
      </c>
      <c r="D88" s="5">
        <v>-76.6712739</v>
      </c>
      <c r="E88" s="4" t="s">
        <v>743</v>
      </c>
      <c r="F88" s="4" t="s">
        <v>744</v>
      </c>
      <c r="G88" s="4" t="s">
        <v>745</v>
      </c>
      <c r="H88" s="4" t="s">
        <v>746</v>
      </c>
      <c r="I88" s="4" t="s">
        <v>71</v>
      </c>
      <c r="J88" s="4" t="s">
        <v>747</v>
      </c>
      <c r="K88" s="8" t="s">
        <v>748</v>
      </c>
      <c r="L88" s="4" t="s">
        <v>749</v>
      </c>
      <c r="M88" s="4">
        <v>78.11416743</v>
      </c>
      <c r="N88" s="5">
        <v>43.77611162</v>
      </c>
      <c r="O88" s="5" t="s">
        <v>750</v>
      </c>
      <c r="P88" s="15">
        <v>8312026.0</v>
      </c>
      <c r="Q88" s="7" t="str">
        <f>IF(OR(ISBLANK(M88), ISBLANK(N88)), "", IF(N88 &lt; Sheet3!$B$6, "Insufficient Reviews", IF(M88 &gt;= Sheet3!$B$2, "Highly Reliable", IF(M88 &gt;= Sheet3!$B$3, "Reliable", IF(M88 &gt;= Sheet3!$B$4, "Mixed Reviews", "Low Reliability")))))</f>
        <v>Reliable</v>
      </c>
    </row>
    <row r="89">
      <c r="A89" s="3">
        <f t="shared" si="1"/>
        <v>88</v>
      </c>
      <c r="B89" s="4" t="s">
        <v>751</v>
      </c>
      <c r="C89" s="5">
        <v>39.3338337</v>
      </c>
      <c r="D89" s="5">
        <v>-76.7020511</v>
      </c>
      <c r="E89" s="4" t="s">
        <v>752</v>
      </c>
      <c r="F89" s="4" t="s">
        <v>753</v>
      </c>
      <c r="G89" s="4" t="s">
        <v>754</v>
      </c>
      <c r="H89" s="4" t="s">
        <v>755</v>
      </c>
      <c r="I89" s="4" t="s">
        <v>71</v>
      </c>
      <c r="J89" s="4" t="s">
        <v>756</v>
      </c>
      <c r="K89" s="4"/>
      <c r="L89" s="4" t="s">
        <v>757</v>
      </c>
      <c r="M89" s="4">
        <v>78.81395156</v>
      </c>
      <c r="N89" s="5">
        <v>41.71815897</v>
      </c>
      <c r="O89" s="5" t="s">
        <v>758</v>
      </c>
      <c r="P89" s="1">
        <v>8312026.0</v>
      </c>
      <c r="Q89" s="7" t="str">
        <f>IF(OR(ISBLANK(M89), ISBLANK(N89)), "", IF(N89 &lt; Sheet3!$B$6, "Insufficient Reviews", IF(M89 &gt;= Sheet3!$B$2, "Highly Reliable", IF(M89 &gt;= Sheet3!$B$3, "Reliable", IF(M89 &gt;= Sheet3!$B$4, "Mixed Reviews", "Low Reliability")))))</f>
        <v>Reliable</v>
      </c>
    </row>
    <row r="90">
      <c r="A90" s="3">
        <f t="shared" si="1"/>
        <v>89</v>
      </c>
      <c r="B90" s="4" t="s">
        <v>759</v>
      </c>
      <c r="C90" s="5">
        <v>39.3056944</v>
      </c>
      <c r="D90" s="5">
        <v>-76.6676227</v>
      </c>
      <c r="E90" s="4" t="s">
        <v>760</v>
      </c>
      <c r="F90" s="4" t="s">
        <v>761</v>
      </c>
      <c r="G90" s="4" t="s">
        <v>762</v>
      </c>
      <c r="H90" s="4" t="s">
        <v>763</v>
      </c>
      <c r="I90" s="4" t="s">
        <v>71</v>
      </c>
      <c r="J90" s="4" t="s">
        <v>764</v>
      </c>
      <c r="K90" s="4"/>
      <c r="L90" s="4" t="s">
        <v>765</v>
      </c>
      <c r="M90" s="4">
        <v>76.67757387</v>
      </c>
      <c r="N90" s="5">
        <v>55.04311322</v>
      </c>
      <c r="O90" s="5" t="s">
        <v>766</v>
      </c>
      <c r="P90" s="1">
        <v>8312026.0</v>
      </c>
      <c r="Q90" s="7" t="str">
        <f>IF(OR(ISBLANK(M90), ISBLANK(N90)), "", IF(N90 &lt; Sheet3!$B$6, "Insufficient Reviews", IF(M90 &gt;= Sheet3!$B$2, "Highly Reliable", IF(M90 &gt;= Sheet3!$B$3, "Reliable", IF(M90 &gt;= Sheet3!$B$4, "Mixed Reviews", "Low Reliability")))))</f>
        <v>Reliable</v>
      </c>
    </row>
    <row r="91">
      <c r="A91" s="3">
        <f t="shared" si="1"/>
        <v>90</v>
      </c>
      <c r="B91" s="4" t="s">
        <v>767</v>
      </c>
      <c r="C91" s="5">
        <v>39.2989569</v>
      </c>
      <c r="D91" s="5">
        <v>-76.635665</v>
      </c>
      <c r="E91" s="4" t="s">
        <v>768</v>
      </c>
      <c r="F91" s="4" t="s">
        <v>769</v>
      </c>
      <c r="G91" s="4" t="s">
        <v>770</v>
      </c>
      <c r="H91" s="4" t="s">
        <v>771</v>
      </c>
      <c r="I91" s="4" t="s">
        <v>27</v>
      </c>
      <c r="J91" s="4" t="s">
        <v>772</v>
      </c>
      <c r="K91" s="8" t="s">
        <v>773</v>
      </c>
      <c r="L91" s="4" t="s">
        <v>774</v>
      </c>
      <c r="M91" s="4">
        <v>71.83438719</v>
      </c>
      <c r="N91" s="5">
        <v>72.41621539</v>
      </c>
      <c r="O91" s="5" t="s">
        <v>775</v>
      </c>
      <c r="P91" s="1">
        <v>8312026.0</v>
      </c>
      <c r="Q91" s="7" t="str">
        <f>IF(OR(ISBLANK(M91), ISBLANK(N91)), "", IF(N91 &lt; Sheet3!$B$6, "Insufficient Reviews", IF(M91 &gt;= Sheet3!$B$2, "Highly Reliable", IF(M91 &gt;= Sheet3!$B$3, "Reliable", IF(M91 &gt;= Sheet3!$B$4, "Mixed Reviews", "Low Reliability")))))</f>
        <v>Reliable</v>
      </c>
    </row>
    <row r="92">
      <c r="A92" s="3">
        <f t="shared" si="1"/>
        <v>91</v>
      </c>
      <c r="B92" s="4" t="s">
        <v>776</v>
      </c>
      <c r="C92" s="5">
        <v>39.3890912</v>
      </c>
      <c r="D92" s="5">
        <v>-76.5722777</v>
      </c>
      <c r="E92" s="4" t="s">
        <v>777</v>
      </c>
      <c r="F92" s="4" t="s">
        <v>778</v>
      </c>
      <c r="G92" s="4" t="s">
        <v>779</v>
      </c>
      <c r="H92" s="4" t="s">
        <v>53</v>
      </c>
      <c r="I92" s="4" t="s">
        <v>71</v>
      </c>
      <c r="J92" s="4" t="s">
        <v>780</v>
      </c>
      <c r="K92" s="8" t="s">
        <v>781</v>
      </c>
      <c r="L92" s="4" t="s">
        <v>782</v>
      </c>
      <c r="M92" s="4">
        <v>79.60091692</v>
      </c>
      <c r="N92" s="5">
        <v>70.43809157</v>
      </c>
      <c r="O92" s="5" t="s">
        <v>783</v>
      </c>
      <c r="P92" s="1">
        <v>8312026.0</v>
      </c>
      <c r="Q92" s="7" t="str">
        <f>IF(OR(ISBLANK(M92), ISBLANK(N92)), "", IF(N92 &lt; Sheet3!$B$6, "Insufficient Reviews", IF(M92 &gt;= Sheet3!$B$2, "Highly Reliable", IF(M92 &gt;= Sheet3!$B$3, "Reliable", IF(M92 &gt;= Sheet3!$B$4, "Mixed Reviews", "Low Reliability")))))</f>
        <v>Reliable</v>
      </c>
    </row>
    <row r="93">
      <c r="A93" s="3">
        <f t="shared" si="1"/>
        <v>92</v>
      </c>
      <c r="B93" s="4" t="s">
        <v>784</v>
      </c>
      <c r="C93" s="5">
        <v>39.3053505</v>
      </c>
      <c r="D93" s="5">
        <v>-76.5997827</v>
      </c>
      <c r="E93" s="4" t="s">
        <v>785</v>
      </c>
      <c r="F93" s="4" t="s">
        <v>786</v>
      </c>
      <c r="G93" s="4" t="s">
        <v>787</v>
      </c>
      <c r="H93" s="4" t="s">
        <v>788</v>
      </c>
      <c r="I93" s="4" t="s">
        <v>27</v>
      </c>
      <c r="J93" s="4" t="s">
        <v>789</v>
      </c>
      <c r="K93" s="8" t="s">
        <v>790</v>
      </c>
      <c r="L93" s="4" t="s">
        <v>791</v>
      </c>
      <c r="M93" s="4">
        <v>73.42001522</v>
      </c>
      <c r="N93" s="5">
        <v>68.58934422</v>
      </c>
      <c r="O93" s="5" t="s">
        <v>792</v>
      </c>
      <c r="P93" s="1">
        <v>8312026.0</v>
      </c>
      <c r="Q93" s="7" t="str">
        <f>IF(OR(ISBLANK(M93), ISBLANK(N93)), "", IF(N93 &lt; Sheet3!$B$6, "Insufficient Reviews", IF(M93 &gt;= Sheet3!$B$2, "Highly Reliable", IF(M93 &gt;= Sheet3!$B$3, "Reliable", IF(M93 &gt;= Sheet3!$B$4, "Mixed Reviews", "Low Reliability")))))</f>
        <v>Reliable</v>
      </c>
    </row>
    <row r="94">
      <c r="A94" s="3">
        <f t="shared" si="1"/>
        <v>93</v>
      </c>
      <c r="B94" s="4" t="s">
        <v>793</v>
      </c>
      <c r="C94" s="5">
        <v>39.2983395</v>
      </c>
      <c r="D94" s="5">
        <v>-76.6441241</v>
      </c>
      <c r="E94" s="4" t="s">
        <v>794</v>
      </c>
      <c r="F94" s="4" t="s">
        <v>795</v>
      </c>
      <c r="G94" s="4" t="s">
        <v>787</v>
      </c>
      <c r="H94" s="4" t="s">
        <v>796</v>
      </c>
      <c r="I94" s="4" t="s">
        <v>71</v>
      </c>
      <c r="J94" s="4" t="s">
        <v>797</v>
      </c>
      <c r="K94" s="4"/>
      <c r="L94" s="4" t="s">
        <v>798</v>
      </c>
      <c r="M94" s="4">
        <v>72.67819001</v>
      </c>
      <c r="N94" s="5">
        <v>54.02438935</v>
      </c>
      <c r="O94" s="5" t="s">
        <v>799</v>
      </c>
      <c r="P94" s="1">
        <v>8312026.0</v>
      </c>
      <c r="Q94" s="7" t="str">
        <f>IF(OR(ISBLANK(M94), ISBLANK(N94)), "", IF(N94 &lt; Sheet3!$B$6, "Insufficient Reviews", IF(M94 &gt;= Sheet3!$B$2, "Highly Reliable", IF(M94 &gt;= Sheet3!$B$3, "Reliable", IF(M94 &gt;= Sheet3!$B$4, "Mixed Reviews", "Low Reliability")))))</f>
        <v>Reliable</v>
      </c>
    </row>
    <row r="95">
      <c r="A95" s="3">
        <f t="shared" si="1"/>
        <v>94</v>
      </c>
      <c r="B95" s="4" t="s">
        <v>800</v>
      </c>
      <c r="C95" s="5">
        <v>39.3072658</v>
      </c>
      <c r="D95" s="5">
        <v>-76.5825185</v>
      </c>
      <c r="E95" s="4" t="s">
        <v>801</v>
      </c>
      <c r="F95" s="4" t="s">
        <v>802</v>
      </c>
      <c r="G95" s="4" t="s">
        <v>787</v>
      </c>
      <c r="H95" s="4" t="s">
        <v>803</v>
      </c>
      <c r="I95" s="4" t="s">
        <v>71</v>
      </c>
      <c r="J95" s="4" t="s">
        <v>804</v>
      </c>
      <c r="K95" s="8" t="s">
        <v>805</v>
      </c>
      <c r="L95" s="4" t="s">
        <v>806</v>
      </c>
      <c r="M95" s="4">
        <v>76.9346677</v>
      </c>
      <c r="N95" s="5">
        <v>45.15254076</v>
      </c>
      <c r="O95" s="5" t="s">
        <v>807</v>
      </c>
      <c r="P95" s="1">
        <v>8312026.0</v>
      </c>
      <c r="Q95" s="7" t="str">
        <f>IF(OR(ISBLANK(M95), ISBLANK(N95)), "", IF(N95 &lt; Sheet3!$B$6, "Insufficient Reviews", IF(M95 &gt;= Sheet3!$B$2, "Highly Reliable", IF(M95 &gt;= Sheet3!$B$3, "Reliable", IF(M95 &gt;= Sheet3!$B$4, "Mixed Reviews", "Low Reliability")))))</f>
        <v>Reliable</v>
      </c>
    </row>
    <row r="96">
      <c r="A96" s="3">
        <f t="shared" si="1"/>
        <v>95</v>
      </c>
      <c r="B96" s="4" t="s">
        <v>808</v>
      </c>
      <c r="C96" s="5">
        <v>39.2914939</v>
      </c>
      <c r="D96" s="5">
        <v>-76.6456087</v>
      </c>
      <c r="E96" s="4" t="s">
        <v>809</v>
      </c>
      <c r="F96" s="4" t="s">
        <v>810</v>
      </c>
      <c r="G96" s="4" t="s">
        <v>811</v>
      </c>
      <c r="H96" s="4" t="s">
        <v>812</v>
      </c>
      <c r="I96" s="4" t="s">
        <v>27</v>
      </c>
      <c r="J96" s="4" t="s">
        <v>813</v>
      </c>
      <c r="K96" s="4"/>
      <c r="L96" s="4" t="s">
        <v>814</v>
      </c>
      <c r="M96" s="4">
        <v>62.7</v>
      </c>
      <c r="N96" s="5">
        <v>25.81559694</v>
      </c>
      <c r="O96" s="5" t="s">
        <v>815</v>
      </c>
      <c r="P96" s="1">
        <v>8312026.0</v>
      </c>
      <c r="Q96" s="7" t="str">
        <f>IF(OR(ISBLANK(M96), ISBLANK(N96)), "", IF(N96 &lt; Sheet3!$B$6, "Insufficient Reviews", IF(M96 &gt;= Sheet3!$B$2, "Highly Reliable", IF(M96 &gt;= Sheet3!$B$3, "Reliable", IF(M96 &gt;= Sheet3!$B$4, "Mixed Reviews", "Low Reliability")))))</f>
        <v>Insufficient Reviews</v>
      </c>
    </row>
    <row r="97">
      <c r="A97" s="3">
        <f t="shared" si="1"/>
        <v>96</v>
      </c>
      <c r="B97" s="4" t="s">
        <v>816</v>
      </c>
      <c r="C97" s="5">
        <v>39.3683094</v>
      </c>
      <c r="D97" s="5">
        <v>-76.5478661</v>
      </c>
      <c r="E97" s="4" t="s">
        <v>817</v>
      </c>
      <c r="F97" s="4" t="s">
        <v>818</v>
      </c>
      <c r="G97" s="4" t="s">
        <v>819</v>
      </c>
      <c r="H97" s="4" t="s">
        <v>820</v>
      </c>
      <c r="I97" s="4" t="s">
        <v>71</v>
      </c>
      <c r="J97" s="4" t="s">
        <v>821</v>
      </c>
      <c r="K97" s="4"/>
      <c r="L97" s="4" t="s">
        <v>822</v>
      </c>
      <c r="M97" s="4">
        <v>76.39820128</v>
      </c>
      <c r="N97" s="5">
        <v>56.33429224</v>
      </c>
      <c r="O97" s="5" t="s">
        <v>823</v>
      </c>
      <c r="P97" s="1">
        <v>8312026.0</v>
      </c>
      <c r="Q97" s="7" t="str">
        <f>IF(OR(ISBLANK(M97), ISBLANK(N97)), "", IF(N97 &lt; Sheet3!$B$6, "Insufficient Reviews", IF(M97 &gt;= Sheet3!$B$2, "Highly Reliable", IF(M97 &gt;= Sheet3!$B$3, "Reliable", IF(M97 &gt;= Sheet3!$B$4, "Mixed Reviews", "Low Reliability")))))</f>
        <v>Reliable</v>
      </c>
    </row>
    <row r="98">
      <c r="A98" s="3">
        <f t="shared" si="1"/>
        <v>97</v>
      </c>
      <c r="B98" s="4" t="s">
        <v>824</v>
      </c>
      <c r="C98" s="5">
        <v>39.2877282</v>
      </c>
      <c r="D98" s="5">
        <v>-76.6497566</v>
      </c>
      <c r="E98" s="4" t="s">
        <v>825</v>
      </c>
      <c r="F98" s="4" t="s">
        <v>826</v>
      </c>
      <c r="G98" s="4" t="s">
        <v>827</v>
      </c>
      <c r="H98" s="4" t="s">
        <v>828</v>
      </c>
      <c r="I98" s="4" t="s">
        <v>71</v>
      </c>
      <c r="J98" s="4" t="s">
        <v>829</v>
      </c>
      <c r="K98" s="8" t="s">
        <v>830</v>
      </c>
      <c r="L98" s="4" t="s">
        <v>831</v>
      </c>
      <c r="M98" s="4">
        <v>77.61137385</v>
      </c>
      <c r="N98" s="5">
        <v>68.88848843</v>
      </c>
      <c r="O98" s="5" t="s">
        <v>832</v>
      </c>
      <c r="P98" s="1">
        <v>8312026.0</v>
      </c>
      <c r="Q98" s="7" t="str">
        <f>IF(OR(ISBLANK(M98), ISBLANK(N98)), "", IF(N98 &lt; Sheet3!$B$6, "Insufficient Reviews", IF(M98 &gt;= Sheet3!$B$2, "Highly Reliable", IF(M98 &gt;= Sheet3!$B$3, "Reliable", IF(M98 &gt;= Sheet3!$B$4, "Mixed Reviews", "Low Reliability")))))</f>
        <v>Reliable</v>
      </c>
    </row>
    <row r="99">
      <c r="A99" s="3">
        <f t="shared" si="1"/>
        <v>98</v>
      </c>
      <c r="B99" s="4" t="s">
        <v>833</v>
      </c>
      <c r="C99" s="5">
        <v>39.2913652</v>
      </c>
      <c r="D99" s="5">
        <v>-76.6063216</v>
      </c>
      <c r="E99" s="4" t="s">
        <v>834</v>
      </c>
      <c r="F99" s="4" t="s">
        <v>835</v>
      </c>
      <c r="G99" s="4" t="s">
        <v>836</v>
      </c>
      <c r="H99" s="4" t="s">
        <v>837</v>
      </c>
      <c r="I99" s="4" t="s">
        <v>71</v>
      </c>
      <c r="J99" s="4" t="s">
        <v>838</v>
      </c>
      <c r="K99" s="8" t="s">
        <v>839</v>
      </c>
      <c r="L99" s="4" t="s">
        <v>840</v>
      </c>
      <c r="M99" s="4">
        <v>79.21562978</v>
      </c>
      <c r="N99" s="5">
        <v>74.27289362</v>
      </c>
      <c r="O99" s="5" t="s">
        <v>841</v>
      </c>
      <c r="P99" s="1">
        <v>8312026.0</v>
      </c>
      <c r="Q99" s="7" t="str">
        <f>IF(OR(ISBLANK(M99), ISBLANK(N99)), "", IF(N99 &lt; Sheet3!$B$6, "Insufficient Reviews", IF(M99 &gt;= Sheet3!$B$2, "Highly Reliable", IF(M99 &gt;= Sheet3!$B$3, "Reliable", IF(M99 &gt;= Sheet3!$B$4, "Mixed Reviews", "Low Reliability")))))</f>
        <v>Reliable</v>
      </c>
    </row>
    <row r="100">
      <c r="A100" s="3">
        <f t="shared" si="1"/>
        <v>99</v>
      </c>
      <c r="B100" s="4" t="s">
        <v>842</v>
      </c>
      <c r="C100" s="5">
        <v>39.2894664</v>
      </c>
      <c r="D100" s="5">
        <v>-76.6091161</v>
      </c>
      <c r="E100" s="4" t="s">
        <v>843</v>
      </c>
      <c r="F100" s="4" t="s">
        <v>844</v>
      </c>
      <c r="G100" s="4" t="s">
        <v>845</v>
      </c>
      <c r="H100" s="4" t="s">
        <v>846</v>
      </c>
      <c r="I100" s="4" t="s">
        <v>71</v>
      </c>
      <c r="J100" s="4" t="s">
        <v>847</v>
      </c>
      <c r="K100" s="4"/>
      <c r="L100" s="4" t="s">
        <v>848</v>
      </c>
      <c r="M100" s="4">
        <v>76.76811867</v>
      </c>
      <c r="N100" s="5">
        <v>35.36491375</v>
      </c>
      <c r="O100" s="5" t="s">
        <v>849</v>
      </c>
      <c r="P100" s="1">
        <v>8312026.0</v>
      </c>
      <c r="Q100" s="7" t="str">
        <f>IF(OR(ISBLANK(M100), ISBLANK(N100)), "", IF(N100 &lt; Sheet3!$B$6, "Insufficient Reviews", IF(M100 &gt;= Sheet3!$B$2, "Highly Reliable", IF(M100 &gt;= Sheet3!$B$3, "Reliable", IF(M100 &gt;= Sheet3!$B$4, "Mixed Reviews", "Low Reliability")))))</f>
        <v>Insufficient Reviews</v>
      </c>
    </row>
    <row r="101">
      <c r="A101" s="3">
        <f t="shared" si="1"/>
        <v>100</v>
      </c>
      <c r="B101" s="4" t="s">
        <v>850</v>
      </c>
      <c r="C101" s="5">
        <v>39.294913</v>
      </c>
      <c r="D101" s="5">
        <v>-76.5873571</v>
      </c>
      <c r="E101" s="4" t="s">
        <v>851</v>
      </c>
      <c r="F101" s="4" t="s">
        <v>852</v>
      </c>
      <c r="G101" s="4" t="s">
        <v>853</v>
      </c>
      <c r="H101" s="4" t="s">
        <v>854</v>
      </c>
      <c r="I101" s="4" t="s">
        <v>71</v>
      </c>
      <c r="J101" s="4" t="s">
        <v>855</v>
      </c>
      <c r="K101" s="4"/>
      <c r="L101" s="4" t="s">
        <v>856</v>
      </c>
      <c r="M101" s="4">
        <v>70.09630335</v>
      </c>
      <c r="N101" s="5">
        <v>43.49293982</v>
      </c>
      <c r="O101" s="5" t="s">
        <v>857</v>
      </c>
      <c r="P101" s="1">
        <v>8312026.0</v>
      </c>
      <c r="Q101" s="7" t="str">
        <f>IF(OR(ISBLANK(M101), ISBLANK(N101)), "", IF(N101 &lt; Sheet3!$B$6, "Insufficient Reviews", IF(M101 &gt;= Sheet3!$B$2, "Highly Reliable", IF(M101 &gt;= Sheet3!$B$3, "Reliable", IF(M101 &gt;= Sheet3!$B$4, "Mixed Reviews", "Low Reliability")))))</f>
        <v>Reliable</v>
      </c>
    </row>
    <row r="102">
      <c r="A102" s="3">
        <f t="shared" si="1"/>
        <v>101</v>
      </c>
      <c r="B102" s="4" t="s">
        <v>858</v>
      </c>
      <c r="C102" s="5">
        <v>39.3490728</v>
      </c>
      <c r="D102" s="5">
        <v>-76.5347667</v>
      </c>
      <c r="E102" s="4" t="s">
        <v>859</v>
      </c>
      <c r="F102" s="4" t="s">
        <v>860</v>
      </c>
      <c r="G102" s="4" t="s">
        <v>861</v>
      </c>
      <c r="H102" s="4" t="s">
        <v>862</v>
      </c>
      <c r="I102" s="4" t="s">
        <v>35</v>
      </c>
      <c r="J102" s="4" t="s">
        <v>863</v>
      </c>
      <c r="K102" s="8" t="s">
        <v>864</v>
      </c>
      <c r="L102" s="4" t="s">
        <v>865</v>
      </c>
      <c r="M102" s="4">
        <v>77.42841859</v>
      </c>
      <c r="N102" s="5">
        <v>89.81823401</v>
      </c>
      <c r="O102" s="5" t="s">
        <v>866</v>
      </c>
      <c r="P102" s="1">
        <v>8312026.0</v>
      </c>
      <c r="Q102" s="7" t="str">
        <f>IF(OR(ISBLANK(M102), ISBLANK(N102)), "", IF(N102 &lt; Sheet3!$B$6, "Insufficient Reviews", IF(M102 &gt;= Sheet3!$B$2, "Highly Reliable", IF(M102 &gt;= Sheet3!$B$3, "Reliable", IF(M102 &gt;= Sheet3!$B$4, "Mixed Reviews", "Low Reliability")))))</f>
        <v>Reliable</v>
      </c>
    </row>
    <row r="103">
      <c r="A103" s="3">
        <f t="shared" si="1"/>
        <v>102</v>
      </c>
      <c r="B103" s="4" t="s">
        <v>867</v>
      </c>
      <c r="C103" s="5">
        <v>39.2793308</v>
      </c>
      <c r="D103" s="5">
        <v>-76.6565533</v>
      </c>
      <c r="E103" s="4" t="s">
        <v>868</v>
      </c>
      <c r="F103" s="4" t="s">
        <v>869</v>
      </c>
      <c r="G103" s="4" t="s">
        <v>870</v>
      </c>
      <c r="H103" s="4" t="s">
        <v>871</v>
      </c>
      <c r="I103" s="4" t="s">
        <v>71</v>
      </c>
      <c r="J103" s="4" t="s">
        <v>872</v>
      </c>
      <c r="K103" s="8" t="s">
        <v>873</v>
      </c>
      <c r="L103" s="4" t="s">
        <v>874</v>
      </c>
      <c r="M103" s="4">
        <v>79.01946889</v>
      </c>
      <c r="N103" s="5">
        <v>52.71914723</v>
      </c>
      <c r="O103" s="5" t="s">
        <v>875</v>
      </c>
      <c r="P103" s="1">
        <v>8312026.0</v>
      </c>
      <c r="Q103" s="7" t="str">
        <f>IF(OR(ISBLANK(M103), ISBLANK(N103)), "", IF(N103 &lt; Sheet3!$B$6, "Insufficient Reviews", IF(M103 &gt;= Sheet3!$B$2, "Highly Reliable", IF(M103 &gt;= Sheet3!$B$3, "Reliable", IF(M103 &gt;= Sheet3!$B$4, "Mixed Reviews", "Low Reliability")))))</f>
        <v>Reliable</v>
      </c>
    </row>
    <row r="104">
      <c r="A104" s="3">
        <f t="shared" si="1"/>
        <v>103</v>
      </c>
      <c r="B104" s="4" t="s">
        <v>876</v>
      </c>
      <c r="C104" s="5">
        <v>39.2802383</v>
      </c>
      <c r="D104" s="5">
        <v>-76.6627067</v>
      </c>
      <c r="E104" s="4" t="s">
        <v>877</v>
      </c>
      <c r="F104" s="4" t="s">
        <v>878</v>
      </c>
      <c r="G104" s="4"/>
      <c r="H104" s="4" t="s">
        <v>879</v>
      </c>
      <c r="I104" s="4" t="s">
        <v>35</v>
      </c>
      <c r="J104" s="4" t="s">
        <v>880</v>
      </c>
      <c r="K104" s="4"/>
      <c r="L104" s="4" t="s">
        <v>881</v>
      </c>
      <c r="M104" s="4">
        <v>71.34119952</v>
      </c>
      <c r="N104" s="5">
        <v>42.81307745</v>
      </c>
      <c r="O104" s="5" t="s">
        <v>882</v>
      </c>
      <c r="P104" s="1">
        <v>8312026.0</v>
      </c>
      <c r="Q104" s="7" t="str">
        <f>IF(OR(ISBLANK(M104), ISBLANK(N104)), "", IF(N104 &lt; Sheet3!$B$6, "Insufficient Reviews", IF(M104 &gt;= Sheet3!$B$2, "Highly Reliable", IF(M104 &gt;= Sheet3!$B$3, "Reliable", IF(M104 &gt;= Sheet3!$B$4, "Mixed Reviews", "Low Reliability")))))</f>
        <v>Reliable</v>
      </c>
    </row>
    <row r="105">
      <c r="A105" s="3">
        <f t="shared" si="1"/>
        <v>104</v>
      </c>
      <c r="B105" s="16" t="s">
        <v>876</v>
      </c>
      <c r="C105" s="16">
        <v>39.2802383</v>
      </c>
      <c r="D105" s="16">
        <v>-76.6627067</v>
      </c>
      <c r="E105" s="16" t="s">
        <v>877</v>
      </c>
      <c r="F105" s="16" t="s">
        <v>878</v>
      </c>
      <c r="G105" s="17"/>
      <c r="H105" s="16" t="s">
        <v>879</v>
      </c>
      <c r="I105" s="16" t="s">
        <v>27</v>
      </c>
      <c r="J105" s="16" t="s">
        <v>883</v>
      </c>
      <c r="K105" s="17"/>
      <c r="L105" s="16" t="s">
        <v>884</v>
      </c>
      <c r="M105" s="16">
        <v>71.33064881</v>
      </c>
      <c r="N105" s="16">
        <v>42.80604364</v>
      </c>
      <c r="O105" s="16" t="s">
        <v>885</v>
      </c>
      <c r="P105" s="1">
        <v>8312026.0</v>
      </c>
      <c r="Q105" s="7" t="str">
        <f>IF(OR(ISBLANK(M105), ISBLANK(N105)), "", IF(N105 &lt; Sheet3!$B$6, "Insufficient Reviews", IF(M105 &gt;= Sheet3!$B$2, "Highly Reliable", IF(M105 &gt;= Sheet3!$B$3, "Reliable", IF(M105 &gt;= Sheet3!$B$4, "Mixed Reviews", "Low Reliability")))))</f>
        <v>Reliable</v>
      </c>
    </row>
    <row r="106">
      <c r="A106" s="3">
        <f t="shared" si="1"/>
        <v>105</v>
      </c>
      <c r="B106" s="16" t="s">
        <v>886</v>
      </c>
      <c r="C106" s="16">
        <v>39.3230767</v>
      </c>
      <c r="D106" s="16">
        <v>-76.5414468</v>
      </c>
      <c r="E106" s="16" t="s">
        <v>887</v>
      </c>
      <c r="F106" s="16" t="s">
        <v>888</v>
      </c>
      <c r="G106" s="16" t="s">
        <v>889</v>
      </c>
      <c r="H106" s="16" t="s">
        <v>890</v>
      </c>
      <c r="I106" s="16" t="s">
        <v>71</v>
      </c>
      <c r="J106" s="16" t="s">
        <v>891</v>
      </c>
      <c r="K106" s="18" t="s">
        <v>892</v>
      </c>
      <c r="L106" s="16" t="s">
        <v>893</v>
      </c>
      <c r="M106" s="16">
        <v>52.39628575</v>
      </c>
      <c r="N106" s="16">
        <v>43.85854297</v>
      </c>
      <c r="O106" s="16" t="s">
        <v>894</v>
      </c>
      <c r="P106" s="1">
        <v>8312026.0</v>
      </c>
      <c r="Q106" s="7" t="str">
        <f>IF(OR(ISBLANK(M106), ISBLANK(N106)), "", IF(N106 &lt; Sheet3!$B$6, "Insufficient Reviews", IF(M106 &gt;= Sheet3!$B$2, "Highly Reliable", IF(M106 &gt;= Sheet3!$B$3, "Reliable", IF(M106 &gt;= Sheet3!$B$4, "Mixed Reviews", "Low Reliability")))))</f>
        <v>Low Reliability</v>
      </c>
    </row>
    <row r="107">
      <c r="A107" s="3">
        <f t="shared" si="1"/>
        <v>106</v>
      </c>
      <c r="B107" s="16" t="s">
        <v>895</v>
      </c>
      <c r="C107" s="16">
        <v>39.2903442</v>
      </c>
      <c r="D107" s="16">
        <v>-76.5699641</v>
      </c>
      <c r="E107" s="16" t="s">
        <v>896</v>
      </c>
      <c r="F107" s="16" t="s">
        <v>897</v>
      </c>
      <c r="G107" s="16" t="s">
        <v>898</v>
      </c>
      <c r="H107" s="16" t="s">
        <v>899</v>
      </c>
      <c r="I107" s="16" t="s">
        <v>27</v>
      </c>
      <c r="J107" s="16" t="s">
        <v>900</v>
      </c>
      <c r="K107" s="18" t="s">
        <v>901</v>
      </c>
      <c r="L107" s="16" t="s">
        <v>902</v>
      </c>
      <c r="M107" s="16">
        <v>76.00091386</v>
      </c>
      <c r="N107" s="16">
        <v>64.42736897</v>
      </c>
      <c r="O107" s="16" t="s">
        <v>903</v>
      </c>
      <c r="P107" s="1">
        <v>8312026.0</v>
      </c>
      <c r="Q107" s="7" t="str">
        <f>IF(OR(ISBLANK(M107), ISBLANK(N107)), "", IF(N107 &lt; Sheet3!$B$6, "Insufficient Reviews", IF(M107 &gt;= Sheet3!$B$2, "Highly Reliable", IF(M107 &gt;= Sheet3!$B$3, "Reliable", IF(M107 &gt;= Sheet3!$B$4, "Mixed Reviews", "Low Reliability")))))</f>
        <v>Reliable</v>
      </c>
    </row>
    <row r="108">
      <c r="A108" s="3">
        <f t="shared" si="1"/>
        <v>107</v>
      </c>
      <c r="B108" s="16" t="s">
        <v>904</v>
      </c>
      <c r="C108" s="16">
        <v>39.4022138</v>
      </c>
      <c r="D108" s="16">
        <v>-76.542527</v>
      </c>
      <c r="E108" s="16" t="s">
        <v>905</v>
      </c>
      <c r="F108" s="16" t="s">
        <v>906</v>
      </c>
      <c r="G108" s="16" t="s">
        <v>907</v>
      </c>
      <c r="H108" s="16" t="s">
        <v>908</v>
      </c>
      <c r="I108" s="16" t="s">
        <v>91</v>
      </c>
      <c r="J108" s="16" t="s">
        <v>909</v>
      </c>
      <c r="K108" s="18" t="s">
        <v>910</v>
      </c>
      <c r="L108" s="16" t="s">
        <v>911</v>
      </c>
      <c r="M108" s="16">
        <v>79.53602822</v>
      </c>
      <c r="N108" s="16">
        <v>72.65938482</v>
      </c>
      <c r="O108" s="16" t="s">
        <v>912</v>
      </c>
      <c r="P108" s="1">
        <v>8312026.0</v>
      </c>
      <c r="Q108" s="7" t="str">
        <f>IF(OR(ISBLANK(M108), ISBLANK(N108)), "", IF(N108 &lt; Sheet3!$B$6, "Insufficient Reviews", IF(M108 &gt;= Sheet3!$B$2, "Highly Reliable", IF(M108 &gt;= Sheet3!$B$3, "Reliable", IF(M108 &gt;= Sheet3!$B$4, "Mixed Reviews", "Low Reliability")))))</f>
        <v>Reliable</v>
      </c>
    </row>
    <row r="109">
      <c r="A109" s="3">
        <f t="shared" si="1"/>
        <v>108</v>
      </c>
      <c r="B109" s="16" t="s">
        <v>913</v>
      </c>
      <c r="C109" s="16">
        <v>39.3323976</v>
      </c>
      <c r="D109" s="16">
        <v>-76.5302316</v>
      </c>
      <c r="E109" s="16" t="s">
        <v>914</v>
      </c>
      <c r="F109" s="16" t="s">
        <v>915</v>
      </c>
      <c r="G109" s="16" t="s">
        <v>916</v>
      </c>
      <c r="H109" s="16" t="s">
        <v>126</v>
      </c>
      <c r="I109" s="16" t="s">
        <v>27</v>
      </c>
      <c r="J109" s="16" t="s">
        <v>917</v>
      </c>
      <c r="K109" s="18" t="s">
        <v>918</v>
      </c>
      <c r="L109" s="16" t="s">
        <v>919</v>
      </c>
      <c r="M109" s="16">
        <v>29.90629572</v>
      </c>
      <c r="N109" s="16">
        <v>48.30029277</v>
      </c>
      <c r="O109" s="16" t="s">
        <v>920</v>
      </c>
      <c r="P109" s="1">
        <v>8312026.0</v>
      </c>
      <c r="Q109" s="7" t="str">
        <f>IF(OR(ISBLANK(M109), ISBLANK(N109)), "", IF(N109 &lt; Sheet3!$B$6, "Insufficient Reviews", IF(M109 &gt;= Sheet3!$B$2, "Highly Reliable", IF(M109 &gt;= Sheet3!$B$3, "Reliable", IF(M109 &gt;= Sheet3!$B$4, "Mixed Reviews", "Low Reliability")))))</f>
        <v>Low Reliability</v>
      </c>
    </row>
    <row r="110">
      <c r="A110" s="3">
        <f t="shared" si="1"/>
        <v>109</v>
      </c>
      <c r="B110" s="16" t="s">
        <v>921</v>
      </c>
      <c r="C110" s="16">
        <v>39.386728</v>
      </c>
      <c r="D110" s="16">
        <v>-76.7337646</v>
      </c>
      <c r="E110" s="16" t="s">
        <v>922</v>
      </c>
      <c r="F110" s="16" t="s">
        <v>923</v>
      </c>
      <c r="G110" s="16" t="s">
        <v>924</v>
      </c>
      <c r="H110" s="16" t="s">
        <v>303</v>
      </c>
      <c r="I110" s="16" t="s">
        <v>44</v>
      </c>
      <c r="J110" s="16" t="s">
        <v>925</v>
      </c>
      <c r="K110" s="18" t="s">
        <v>926</v>
      </c>
      <c r="L110" s="16" t="s">
        <v>927</v>
      </c>
      <c r="M110" s="16">
        <v>68.00306691</v>
      </c>
      <c r="N110" s="16">
        <v>55.43547586</v>
      </c>
      <c r="O110" s="16" t="s">
        <v>928</v>
      </c>
      <c r="P110" s="1">
        <v>8312026.0</v>
      </c>
      <c r="Q110" s="7" t="str">
        <f>IF(OR(ISBLANK(M110), ISBLANK(N110)), "", IF(N110 &lt; Sheet3!$B$6, "Insufficient Reviews", IF(M110 &gt;= Sheet3!$B$2, "Highly Reliable", IF(M110 &gt;= Sheet3!$B$3, "Reliable", IF(M110 &gt;= Sheet3!$B$4, "Mixed Reviews", "Low Reliability")))))</f>
        <v>Mixed Reviews</v>
      </c>
    </row>
    <row r="111">
      <c r="A111" s="3">
        <f t="shared" si="1"/>
        <v>110</v>
      </c>
      <c r="B111" s="16" t="s">
        <v>929</v>
      </c>
      <c r="C111" s="16">
        <v>39.3355798</v>
      </c>
      <c r="D111" s="16">
        <v>-76.5964242</v>
      </c>
      <c r="E111" s="16" t="s">
        <v>538</v>
      </c>
      <c r="F111" s="16" t="s">
        <v>930</v>
      </c>
      <c r="G111" s="16" t="s">
        <v>931</v>
      </c>
      <c r="H111" s="16" t="s">
        <v>303</v>
      </c>
      <c r="I111" s="16" t="s">
        <v>91</v>
      </c>
      <c r="J111" s="16" t="s">
        <v>932</v>
      </c>
      <c r="K111" s="17"/>
      <c r="L111" s="16" t="s">
        <v>933</v>
      </c>
      <c r="M111" s="16">
        <v>70.54467285</v>
      </c>
      <c r="N111" s="16">
        <v>53.83280764</v>
      </c>
      <c r="O111" s="16" t="s">
        <v>934</v>
      </c>
      <c r="P111" s="1">
        <v>8312026.0</v>
      </c>
      <c r="Q111" s="7" t="str">
        <f>IF(OR(ISBLANK(M111), ISBLANK(N111)), "", IF(N111 &lt; Sheet3!$B$6, "Insufficient Reviews", IF(M111 &gt;= Sheet3!$B$2, "Highly Reliable", IF(M111 &gt;= Sheet3!$B$3, "Reliable", IF(M111 &gt;= Sheet3!$B$4, "Mixed Reviews", "Low Reliability")))))</f>
        <v>Reliable</v>
      </c>
    </row>
    <row r="112">
      <c r="A112" s="3">
        <f t="shared" si="1"/>
        <v>111</v>
      </c>
      <c r="B112" s="16" t="s">
        <v>935</v>
      </c>
      <c r="C112" s="16">
        <v>39.2872429</v>
      </c>
      <c r="D112" s="16">
        <v>-76.599133</v>
      </c>
      <c r="E112" s="16" t="s">
        <v>936</v>
      </c>
      <c r="F112" s="16" t="s">
        <v>937</v>
      </c>
      <c r="G112" s="16" t="s">
        <v>938</v>
      </c>
      <c r="H112" s="16" t="s">
        <v>43</v>
      </c>
      <c r="I112" s="16" t="s">
        <v>203</v>
      </c>
      <c r="J112" s="16" t="s">
        <v>939</v>
      </c>
      <c r="K112" s="18" t="s">
        <v>940</v>
      </c>
      <c r="L112" s="16" t="s">
        <v>941</v>
      </c>
      <c r="M112" s="16">
        <v>82.40662111</v>
      </c>
      <c r="N112" s="16">
        <v>66.21282047</v>
      </c>
      <c r="O112" s="16" t="s">
        <v>942</v>
      </c>
      <c r="P112" s="1">
        <v>8312026.0</v>
      </c>
      <c r="Q112" s="7" t="str">
        <f>IF(OR(ISBLANK(M112), ISBLANK(N112)), "", IF(N112 &lt; Sheet3!$B$6, "Insufficient Reviews", IF(M112 &gt;= Sheet3!$B$2, "Highly Reliable", IF(M112 &gt;= Sheet3!$B$3, "Reliable", IF(M112 &gt;= Sheet3!$B$4, "Mixed Reviews", "Low Reliability")))))</f>
        <v>Highly Reliable</v>
      </c>
    </row>
    <row r="113">
      <c r="A113" s="3">
        <f t="shared" si="1"/>
        <v>112</v>
      </c>
      <c r="B113" s="16" t="s">
        <v>943</v>
      </c>
      <c r="C113" s="16">
        <v>39.325553</v>
      </c>
      <c r="D113" s="16">
        <v>-76.6029791</v>
      </c>
      <c r="E113" s="16" t="s">
        <v>944</v>
      </c>
      <c r="F113" s="16" t="s">
        <v>945</v>
      </c>
      <c r="G113" s="16" t="s">
        <v>946</v>
      </c>
      <c r="H113" s="16" t="s">
        <v>947</v>
      </c>
      <c r="I113" s="16" t="s">
        <v>81</v>
      </c>
      <c r="J113" s="16" t="s">
        <v>948</v>
      </c>
      <c r="K113" s="18" t="s">
        <v>949</v>
      </c>
      <c r="L113" s="16" t="s">
        <v>950</v>
      </c>
      <c r="M113" s="16">
        <v>82.52793206</v>
      </c>
      <c r="N113" s="16">
        <v>93.7266062</v>
      </c>
      <c r="O113" s="16" t="s">
        <v>951</v>
      </c>
      <c r="P113" s="1">
        <v>8312026.0</v>
      </c>
      <c r="Q113" s="7" t="str">
        <f>IF(OR(ISBLANK(M113), ISBLANK(N113)), "", IF(N113 &lt; Sheet3!$B$6, "Insufficient Reviews", IF(M113 &gt;= Sheet3!$B$2, "Highly Reliable", IF(M113 &gt;= Sheet3!$B$3, "Reliable", IF(M113 &gt;= Sheet3!$B$4, "Mixed Reviews", "Low Reliability")))))</f>
        <v>Highly Reliable</v>
      </c>
    </row>
    <row r="114">
      <c r="A114" s="3">
        <f t="shared" si="1"/>
        <v>113</v>
      </c>
      <c r="B114" s="16" t="s">
        <v>952</v>
      </c>
      <c r="C114" s="16">
        <v>39.3234008</v>
      </c>
      <c r="D114" s="16">
        <v>-76.6604443</v>
      </c>
      <c r="E114" s="16" t="s">
        <v>953</v>
      </c>
      <c r="F114" s="16" t="s">
        <v>954</v>
      </c>
      <c r="G114" s="16" t="s">
        <v>955</v>
      </c>
      <c r="H114" s="16" t="s">
        <v>956</v>
      </c>
      <c r="I114" s="16" t="s">
        <v>71</v>
      </c>
      <c r="J114" s="16" t="s">
        <v>957</v>
      </c>
      <c r="K114" s="18" t="s">
        <v>958</v>
      </c>
      <c r="L114" s="16" t="s">
        <v>959</v>
      </c>
      <c r="M114" s="16">
        <v>72.27473372</v>
      </c>
      <c r="N114" s="16">
        <v>63.87026242</v>
      </c>
      <c r="O114" s="16" t="s">
        <v>960</v>
      </c>
      <c r="P114" s="1">
        <v>8312026.0</v>
      </c>
      <c r="Q114" s="7" t="str">
        <f>IF(OR(ISBLANK(M114), ISBLANK(N114)), "", IF(N114 &lt; Sheet3!$B$6, "Insufficient Reviews", IF(M114 &gt;= Sheet3!$B$2, "Highly Reliable", IF(M114 &gt;= Sheet3!$B$3, "Reliable", IF(M114 &gt;= Sheet3!$B$4, "Mixed Reviews", "Low Reliability")))))</f>
        <v>Reliable</v>
      </c>
    </row>
    <row r="115">
      <c r="A115" s="3">
        <f t="shared" si="1"/>
        <v>114</v>
      </c>
      <c r="B115" s="16" t="s">
        <v>961</v>
      </c>
      <c r="C115" s="16">
        <v>39.3349908</v>
      </c>
      <c r="D115" s="16">
        <v>-76.7052495</v>
      </c>
      <c r="E115" s="16" t="s">
        <v>962</v>
      </c>
      <c r="F115" s="16" t="s">
        <v>963</v>
      </c>
      <c r="G115" s="16" t="s">
        <v>964</v>
      </c>
      <c r="H115" s="16" t="s">
        <v>965</v>
      </c>
      <c r="I115" s="16" t="s">
        <v>27</v>
      </c>
      <c r="J115" s="16" t="s">
        <v>966</v>
      </c>
      <c r="K115" s="17"/>
      <c r="L115" s="16" t="s">
        <v>967</v>
      </c>
      <c r="M115" s="16">
        <v>70.81851761</v>
      </c>
      <c r="N115" s="16">
        <v>44.888389</v>
      </c>
      <c r="O115" s="16" t="s">
        <v>968</v>
      </c>
      <c r="P115" s="1">
        <v>8312026.0</v>
      </c>
      <c r="Q115" s="7" t="str">
        <f>IF(OR(ISBLANK(M115), ISBLANK(N115)), "", IF(N115 &lt; Sheet3!$B$6, "Insufficient Reviews", IF(M115 &gt;= Sheet3!$B$2, "Highly Reliable", IF(M115 &gt;= Sheet3!$B$3, "Reliable", IF(M115 &gt;= Sheet3!$B$4, "Mixed Reviews", "Low Reliability")))))</f>
        <v>Reliable</v>
      </c>
    </row>
    <row r="116">
      <c r="A116" s="3">
        <f t="shared" si="1"/>
        <v>115</v>
      </c>
      <c r="B116" s="16" t="s">
        <v>969</v>
      </c>
      <c r="C116" s="16">
        <v>39.281456</v>
      </c>
      <c r="D116" s="16">
        <v>-76.6997009</v>
      </c>
      <c r="E116" s="16" t="s">
        <v>970</v>
      </c>
      <c r="F116" s="16" t="s">
        <v>971</v>
      </c>
      <c r="G116" s="16" t="s">
        <v>972</v>
      </c>
      <c r="H116" s="16" t="s">
        <v>973</v>
      </c>
      <c r="I116" s="16" t="s">
        <v>71</v>
      </c>
      <c r="J116" s="16" t="s">
        <v>974</v>
      </c>
      <c r="K116" s="18" t="s">
        <v>975</v>
      </c>
      <c r="L116" s="16" t="s">
        <v>976</v>
      </c>
      <c r="M116" s="16">
        <v>71.73080628</v>
      </c>
      <c r="N116" s="16">
        <v>45.34996649</v>
      </c>
      <c r="O116" s="16" t="s">
        <v>977</v>
      </c>
      <c r="P116" s="1">
        <v>8312026.0</v>
      </c>
      <c r="Q116" s="7" t="str">
        <f>IF(OR(ISBLANK(M116), ISBLANK(N116)), "", IF(N116 &lt; Sheet3!$B$6, "Insufficient Reviews", IF(M116 &gt;= Sheet3!$B$2, "Highly Reliable", IF(M116 &gt;= Sheet3!$B$3, "Reliable", IF(M116 &gt;= Sheet3!$B$4, "Mixed Reviews", "Low Reliability")))))</f>
        <v>Reliable</v>
      </c>
    </row>
    <row r="117">
      <c r="A117" s="3">
        <f t="shared" si="1"/>
        <v>116</v>
      </c>
      <c r="B117" s="16" t="s">
        <v>978</v>
      </c>
      <c r="C117" s="16">
        <v>39.3141621</v>
      </c>
      <c r="D117" s="16">
        <v>-76.7423996</v>
      </c>
      <c r="E117" s="16" t="s">
        <v>979</v>
      </c>
      <c r="F117" s="16" t="s">
        <v>980</v>
      </c>
      <c r="G117" s="16" t="s">
        <v>981</v>
      </c>
      <c r="H117" s="16" t="s">
        <v>982</v>
      </c>
      <c r="I117" s="16" t="s">
        <v>71</v>
      </c>
      <c r="J117" s="16" t="s">
        <v>983</v>
      </c>
      <c r="K117" s="18" t="s">
        <v>984</v>
      </c>
      <c r="L117" s="16" t="s">
        <v>985</v>
      </c>
      <c r="M117" s="16">
        <v>87.89229815</v>
      </c>
      <c r="N117" s="16">
        <v>70.32322467</v>
      </c>
      <c r="O117" s="16" t="s">
        <v>986</v>
      </c>
      <c r="P117" s="1">
        <v>8312026.0</v>
      </c>
      <c r="Q117" s="7" t="str">
        <f>IF(OR(ISBLANK(M117), ISBLANK(N117)), "", IF(N117 &lt; Sheet3!$B$6, "Insufficient Reviews", IF(M117 &gt;= Sheet3!$B$2, "Highly Reliable", IF(M117 &gt;= Sheet3!$B$3, "Reliable", IF(M117 &gt;= Sheet3!$B$4, "Mixed Reviews", "Low Reliability")))))</f>
        <v>Highly Reliable</v>
      </c>
    </row>
    <row r="118">
      <c r="A118" s="3">
        <f t="shared" si="1"/>
        <v>117</v>
      </c>
      <c r="B118" s="16" t="s">
        <v>987</v>
      </c>
      <c r="C118" s="16">
        <v>39.3291282</v>
      </c>
      <c r="D118" s="16">
        <v>-76.7513456</v>
      </c>
      <c r="E118" s="16" t="s">
        <v>988</v>
      </c>
      <c r="F118" s="16" t="s">
        <v>989</v>
      </c>
      <c r="G118" s="17"/>
      <c r="H118" s="16" t="s">
        <v>990</v>
      </c>
      <c r="I118" s="16" t="s">
        <v>27</v>
      </c>
      <c r="J118" s="16" t="s">
        <v>991</v>
      </c>
      <c r="K118" s="18" t="s">
        <v>992</v>
      </c>
      <c r="L118" s="16" t="s">
        <v>993</v>
      </c>
      <c r="M118" s="16">
        <v>81.29653505</v>
      </c>
      <c r="N118" s="16">
        <v>67.18788611</v>
      </c>
      <c r="O118" s="16" t="s">
        <v>994</v>
      </c>
      <c r="P118" s="1">
        <v>8312026.0</v>
      </c>
      <c r="Q118" s="7" t="str">
        <f>IF(OR(ISBLANK(M118), ISBLANK(N118)), "", IF(N118 &lt; Sheet3!$B$6, "Insufficient Reviews", IF(M118 &gt;= Sheet3!$B$2, "Highly Reliable", IF(M118 &gt;= Sheet3!$B$3, "Reliable", IF(M118 &gt;= Sheet3!$B$4, "Mixed Reviews", "Low Reliability")))))</f>
        <v>Reliable</v>
      </c>
    </row>
    <row r="119">
      <c r="A119" s="3">
        <f t="shared" si="1"/>
        <v>118</v>
      </c>
      <c r="B119" s="16" t="s">
        <v>995</v>
      </c>
      <c r="C119" s="16">
        <v>39.4496455</v>
      </c>
      <c r="D119" s="16">
        <v>-76.6082529</v>
      </c>
      <c r="E119" s="16" t="s">
        <v>996</v>
      </c>
      <c r="F119" s="16" t="s">
        <v>997</v>
      </c>
      <c r="G119" s="16" t="s">
        <v>998</v>
      </c>
      <c r="H119" s="16" t="s">
        <v>999</v>
      </c>
      <c r="I119" s="16" t="s">
        <v>71</v>
      </c>
      <c r="J119" s="16" t="s">
        <v>1000</v>
      </c>
      <c r="K119" s="18" t="s">
        <v>1001</v>
      </c>
      <c r="L119" s="16" t="s">
        <v>1002</v>
      </c>
      <c r="M119" s="16">
        <v>81.73860249</v>
      </c>
      <c r="N119" s="16">
        <v>69.12017024</v>
      </c>
      <c r="O119" s="16" t="s">
        <v>1003</v>
      </c>
      <c r="P119" s="1">
        <v>8312026.0</v>
      </c>
      <c r="Q119" s="7" t="str">
        <f>IF(OR(ISBLANK(M119), ISBLANK(N119)), "", IF(N119 &lt; Sheet3!$B$6, "Insufficient Reviews", IF(M119 &gt;= Sheet3!$B$2, "Highly Reliable", IF(M119 &gt;= Sheet3!$B$3, "Reliable", IF(M119 &gt;= Sheet3!$B$4, "Mixed Reviews", "Low Reliability")))))</f>
        <v>Reliable</v>
      </c>
    </row>
    <row r="120">
      <c r="A120" s="3">
        <f t="shared" si="1"/>
        <v>119</v>
      </c>
      <c r="B120" s="16" t="s">
        <v>1004</v>
      </c>
      <c r="C120" s="16">
        <v>39.2635128</v>
      </c>
      <c r="D120" s="16">
        <v>-76.6876492</v>
      </c>
      <c r="E120" s="16" t="s">
        <v>1005</v>
      </c>
      <c r="F120" s="16" t="s">
        <v>1006</v>
      </c>
      <c r="G120" s="16" t="s">
        <v>1007</v>
      </c>
      <c r="H120" s="16" t="s">
        <v>1008</v>
      </c>
      <c r="I120" s="16" t="s">
        <v>71</v>
      </c>
      <c r="J120" s="16" t="s">
        <v>1009</v>
      </c>
      <c r="K120" s="18" t="s">
        <v>1010</v>
      </c>
      <c r="L120" s="16" t="s">
        <v>1011</v>
      </c>
      <c r="M120" s="16">
        <v>79.18929611</v>
      </c>
      <c r="N120" s="16">
        <v>55.11785611</v>
      </c>
      <c r="O120" s="16" t="s">
        <v>1012</v>
      </c>
      <c r="P120" s="1">
        <v>8312026.0</v>
      </c>
      <c r="Q120" s="7" t="str">
        <f>IF(OR(ISBLANK(M120), ISBLANK(N120)), "", IF(N120 &lt; Sheet3!$B$6, "Insufficient Reviews", IF(M120 &gt;= Sheet3!$B$2, "Highly Reliable", IF(M120 &gt;= Sheet3!$B$3, "Reliable", IF(M120 &gt;= Sheet3!$B$4, "Mixed Reviews", "Low Reliability")))))</f>
        <v>Reliable</v>
      </c>
    </row>
    <row r="121">
      <c r="A121" s="3">
        <f t="shared" si="1"/>
        <v>120</v>
      </c>
      <c r="B121" s="16" t="s">
        <v>1013</v>
      </c>
      <c r="C121" s="16">
        <v>39.2671467</v>
      </c>
      <c r="D121" s="16">
        <v>-76.6967237</v>
      </c>
      <c r="E121" s="16" t="s">
        <v>1014</v>
      </c>
      <c r="F121" s="16" t="s">
        <v>1015</v>
      </c>
      <c r="G121" s="16" t="s">
        <v>1016</v>
      </c>
      <c r="H121" s="16" t="s">
        <v>1017</v>
      </c>
      <c r="I121" s="16" t="s">
        <v>71</v>
      </c>
      <c r="J121" s="16" t="s">
        <v>1018</v>
      </c>
      <c r="K121" s="18" t="s">
        <v>1019</v>
      </c>
      <c r="L121" s="16" t="s">
        <v>1020</v>
      </c>
      <c r="M121" s="16">
        <v>81.81250072</v>
      </c>
      <c r="N121" s="16">
        <v>57.73332585</v>
      </c>
      <c r="O121" s="16" t="s">
        <v>1021</v>
      </c>
      <c r="P121" s="1">
        <v>8312026.0</v>
      </c>
      <c r="Q121" s="7" t="str">
        <f>IF(OR(ISBLANK(M121), ISBLANK(N121)), "", IF(N121 &lt; Sheet3!$B$6, "Insufficient Reviews", IF(M121 &gt;= Sheet3!$B$2, "Highly Reliable", IF(M121 &gt;= Sheet3!$B$3, "Reliable", IF(M121 &gt;= Sheet3!$B$4, "Mixed Reviews", "Low Reliability")))))</f>
        <v>Reliable</v>
      </c>
    </row>
    <row r="122">
      <c r="A122" s="3">
        <f t="shared" si="1"/>
        <v>121</v>
      </c>
      <c r="B122" s="16" t="s">
        <v>1022</v>
      </c>
      <c r="C122" s="16">
        <v>39.3561317</v>
      </c>
      <c r="D122" s="16">
        <v>-76.7661543</v>
      </c>
      <c r="E122" s="16" t="s">
        <v>1023</v>
      </c>
      <c r="F122" s="16" t="s">
        <v>1024</v>
      </c>
      <c r="G122" s="16" t="s">
        <v>1025</v>
      </c>
      <c r="H122" s="16" t="s">
        <v>1026</v>
      </c>
      <c r="I122" s="16" t="s">
        <v>71</v>
      </c>
      <c r="J122" s="16" t="s">
        <v>1027</v>
      </c>
      <c r="K122" s="18" t="s">
        <v>1028</v>
      </c>
      <c r="L122" s="16" t="s">
        <v>1029</v>
      </c>
      <c r="M122" s="16">
        <v>80.04760284</v>
      </c>
      <c r="N122" s="16">
        <v>62.55630437</v>
      </c>
      <c r="O122" s="16" t="s">
        <v>1030</v>
      </c>
      <c r="P122" s="1">
        <v>8312026.0</v>
      </c>
      <c r="Q122" s="7" t="str">
        <f>IF(OR(ISBLANK(M122), ISBLANK(N122)), "", IF(N122 &lt; Sheet3!$B$6, "Insufficient Reviews", IF(M122 &gt;= Sheet3!$B$2, "Highly Reliable", IF(M122 &gt;= Sheet3!$B$3, "Reliable", IF(M122 &gt;= Sheet3!$B$4, "Mixed Reviews", "Low Reliability")))))</f>
        <v>Reliable</v>
      </c>
    </row>
    <row r="123">
      <c r="A123" s="3">
        <f t="shared" si="1"/>
        <v>122</v>
      </c>
      <c r="B123" s="16" t="s">
        <v>1031</v>
      </c>
      <c r="C123" s="16">
        <v>39.3476553</v>
      </c>
      <c r="D123" s="16">
        <v>-76.7675649</v>
      </c>
      <c r="E123" s="16" t="s">
        <v>1032</v>
      </c>
      <c r="F123" s="16" t="s">
        <v>1033</v>
      </c>
      <c r="G123" s="16" t="s">
        <v>1034</v>
      </c>
      <c r="H123" s="16" t="s">
        <v>1035</v>
      </c>
      <c r="I123" s="16" t="s">
        <v>71</v>
      </c>
      <c r="J123" s="16" t="s">
        <v>1036</v>
      </c>
      <c r="K123" s="17"/>
      <c r="L123" s="16" t="s">
        <v>1037</v>
      </c>
      <c r="M123" s="16">
        <v>75.44717411</v>
      </c>
      <c r="N123" s="16">
        <v>44.96534899</v>
      </c>
      <c r="O123" s="16" t="s">
        <v>1038</v>
      </c>
      <c r="P123" s="1">
        <v>8312026.0</v>
      </c>
      <c r="Q123" s="7" t="str">
        <f>IF(OR(ISBLANK(M123), ISBLANK(N123)), "", IF(N123 &lt; Sheet3!$B$6, "Insufficient Reviews", IF(M123 &gt;= Sheet3!$B$2, "Highly Reliable", IF(M123 &gt;= Sheet3!$B$3, "Reliable", IF(M123 &gt;= Sheet3!$B$4, "Mixed Reviews", "Low Reliability")))))</f>
        <v>Reliable</v>
      </c>
    </row>
    <row r="124">
      <c r="A124" s="3">
        <f t="shared" si="1"/>
        <v>123</v>
      </c>
      <c r="B124" s="16" t="s">
        <v>1039</v>
      </c>
      <c r="C124" s="16">
        <v>39.3130139</v>
      </c>
      <c r="D124" s="16">
        <v>-76.7590965</v>
      </c>
      <c r="E124" s="16" t="s">
        <v>1040</v>
      </c>
      <c r="F124" s="16" t="s">
        <v>1041</v>
      </c>
      <c r="G124" s="16" t="s">
        <v>1042</v>
      </c>
      <c r="H124" s="16" t="s">
        <v>1043</v>
      </c>
      <c r="I124" s="16" t="s">
        <v>71</v>
      </c>
      <c r="J124" s="16" t="s">
        <v>1044</v>
      </c>
      <c r="K124" s="17"/>
      <c r="L124" s="16" t="s">
        <v>1045</v>
      </c>
      <c r="M124" s="16">
        <v>73.09132509</v>
      </c>
      <c r="N124" s="16">
        <v>48.43225573</v>
      </c>
      <c r="O124" s="16" t="s">
        <v>1046</v>
      </c>
      <c r="P124" s="1">
        <v>8312026.0</v>
      </c>
      <c r="Q124" s="7" t="str">
        <f>IF(OR(ISBLANK(M124), ISBLANK(N124)), "", IF(N124 &lt; Sheet3!$B$6, "Insufficient Reviews", IF(M124 &gt;= Sheet3!$B$2, "Highly Reliable", IF(M124 &gt;= Sheet3!$B$3, "Reliable", IF(M124 &gt;= Sheet3!$B$4, "Mixed Reviews", "Low Reliability")))))</f>
        <v>Reliable</v>
      </c>
    </row>
    <row r="125">
      <c r="A125" s="3">
        <f t="shared" si="1"/>
        <v>124</v>
      </c>
      <c r="B125" s="16" t="s">
        <v>1047</v>
      </c>
      <c r="C125" s="16">
        <v>39.3457371</v>
      </c>
      <c r="D125" s="16">
        <v>-76.7719287</v>
      </c>
      <c r="E125" s="16" t="s">
        <v>1048</v>
      </c>
      <c r="F125" s="16" t="s">
        <v>1049</v>
      </c>
      <c r="G125" s="17"/>
      <c r="H125" s="16" t="s">
        <v>1050</v>
      </c>
      <c r="I125" s="16" t="s">
        <v>71</v>
      </c>
      <c r="J125" s="16" t="s">
        <v>1051</v>
      </c>
      <c r="K125" s="18" t="s">
        <v>1052</v>
      </c>
      <c r="L125" s="16" t="s">
        <v>1053</v>
      </c>
      <c r="M125" s="16">
        <v>79.00529106</v>
      </c>
      <c r="N125" s="16">
        <v>51.90636202</v>
      </c>
      <c r="O125" s="16" t="s">
        <v>1054</v>
      </c>
      <c r="P125" s="1">
        <v>8312026.0</v>
      </c>
      <c r="Q125" s="7" t="str">
        <f>IF(OR(ISBLANK(M125), ISBLANK(N125)), "", IF(N125 &lt; Sheet3!$B$6, "Insufficient Reviews", IF(M125 &gt;= Sheet3!$B$2, "Highly Reliable", IF(M125 &gt;= Sheet3!$B$3, "Reliable", IF(M125 &gt;= Sheet3!$B$4, "Mixed Reviews", "Low Reliability")))))</f>
        <v>Reliable</v>
      </c>
    </row>
    <row r="126">
      <c r="A126" s="3">
        <f t="shared" si="1"/>
        <v>125</v>
      </c>
      <c r="B126" s="16" t="s">
        <v>1055</v>
      </c>
      <c r="C126" s="16">
        <v>39.3633835</v>
      </c>
      <c r="D126" s="16">
        <v>-76.7764424</v>
      </c>
      <c r="E126" s="16" t="s">
        <v>1056</v>
      </c>
      <c r="F126" s="16" t="s">
        <v>1057</v>
      </c>
      <c r="G126" s="16" t="s">
        <v>1058</v>
      </c>
      <c r="H126" s="16" t="s">
        <v>1059</v>
      </c>
      <c r="I126" s="16" t="s">
        <v>71</v>
      </c>
      <c r="J126" s="16" t="s">
        <v>1060</v>
      </c>
      <c r="K126" s="18" t="s">
        <v>1061</v>
      </c>
      <c r="L126" s="16" t="s">
        <v>1062</v>
      </c>
      <c r="M126" s="16">
        <v>78.62628785</v>
      </c>
      <c r="N126" s="16">
        <v>63.41898775</v>
      </c>
      <c r="O126" s="16" t="s">
        <v>1063</v>
      </c>
      <c r="P126" s="1">
        <v>8312026.0</v>
      </c>
      <c r="Q126" s="7" t="str">
        <f>IF(OR(ISBLANK(M126), ISBLANK(N126)), "", IF(N126 &lt; Sheet3!$B$6, "Insufficient Reviews", IF(M126 &gt;= Sheet3!$B$2, "Highly Reliable", IF(M126 &gt;= Sheet3!$B$3, "Reliable", IF(M126 &gt;= Sheet3!$B$4, "Mixed Reviews", "Low Reliability")))))</f>
        <v>Reliable</v>
      </c>
    </row>
    <row r="127">
      <c r="A127" s="3">
        <f t="shared" si="1"/>
        <v>126</v>
      </c>
      <c r="B127" s="16" t="s">
        <v>1064</v>
      </c>
      <c r="C127" s="16">
        <v>39.2990608</v>
      </c>
      <c r="D127" s="16">
        <v>-76.5158843</v>
      </c>
      <c r="E127" s="16" t="s">
        <v>1065</v>
      </c>
      <c r="F127" s="16" t="s">
        <v>1066</v>
      </c>
      <c r="G127" s="16" t="s">
        <v>1067</v>
      </c>
      <c r="H127" s="16" t="s">
        <v>26</v>
      </c>
      <c r="I127" s="16" t="s">
        <v>71</v>
      </c>
      <c r="J127" s="16" t="s">
        <v>1068</v>
      </c>
      <c r="K127" s="18" t="s">
        <v>1069</v>
      </c>
      <c r="L127" s="16" t="s">
        <v>1070</v>
      </c>
      <c r="M127" s="16">
        <v>79.31188142</v>
      </c>
      <c r="N127" s="16">
        <v>74.61847592</v>
      </c>
      <c r="O127" s="16" t="s">
        <v>1071</v>
      </c>
      <c r="P127" s="1">
        <v>8312026.0</v>
      </c>
      <c r="Q127" s="7" t="str">
        <f>IF(OR(ISBLANK(M127), ISBLANK(N127)), "", IF(N127 &lt; Sheet3!$B$6, "Insufficient Reviews", IF(M127 &gt;= Sheet3!$B$2, "Highly Reliable", IF(M127 &gt;= Sheet3!$B$3, "Reliable", IF(M127 &gt;= Sheet3!$B$4, "Mixed Reviews", "Low Reliability")))))</f>
        <v>Reliable</v>
      </c>
    </row>
    <row r="128">
      <c r="A128" s="3">
        <f t="shared" si="1"/>
        <v>127</v>
      </c>
      <c r="B128" s="16" t="s">
        <v>1072</v>
      </c>
      <c r="C128" s="16">
        <v>39.245497</v>
      </c>
      <c r="D128" s="16">
        <v>-76.6263342</v>
      </c>
      <c r="E128" s="16" t="s">
        <v>1073</v>
      </c>
      <c r="F128" s="16" t="s">
        <v>1074</v>
      </c>
      <c r="G128" s="17"/>
      <c r="H128" s="16" t="s">
        <v>1075</v>
      </c>
      <c r="I128" s="16" t="s">
        <v>71</v>
      </c>
      <c r="J128" s="16" t="s">
        <v>1076</v>
      </c>
      <c r="K128" s="17"/>
      <c r="L128" s="16" t="s">
        <v>1077</v>
      </c>
      <c r="M128" s="16">
        <v>21.49435385</v>
      </c>
      <c r="N128" s="16">
        <v>31.51573721</v>
      </c>
      <c r="O128" s="16" t="s">
        <v>1078</v>
      </c>
      <c r="P128" s="1">
        <v>8312026.0</v>
      </c>
      <c r="Q128" s="7" t="str">
        <f>IF(OR(ISBLANK(M128), ISBLANK(N128)), "", IF(N128 &lt; Sheet3!$B$6, "Insufficient Reviews", IF(M128 &gt;= Sheet3!$B$2, "Highly Reliable", IF(M128 &gt;= Sheet3!$B$3, "Reliable", IF(M128 &gt;= Sheet3!$B$4, "Mixed Reviews", "Low Reliability")))))</f>
        <v>Insufficient Reviews</v>
      </c>
    </row>
    <row r="129">
      <c r="A129" s="3">
        <f t="shared" si="1"/>
        <v>128</v>
      </c>
      <c r="B129" s="16" t="s">
        <v>1079</v>
      </c>
      <c r="C129" s="16">
        <v>39.2710457</v>
      </c>
      <c r="D129" s="16">
        <v>-76.7309406</v>
      </c>
      <c r="E129" s="16" t="s">
        <v>1080</v>
      </c>
      <c r="F129" s="16" t="s">
        <v>1081</v>
      </c>
      <c r="G129" s="16" t="s">
        <v>1082</v>
      </c>
      <c r="H129" s="16" t="s">
        <v>1083</v>
      </c>
      <c r="I129" s="16" t="s">
        <v>71</v>
      </c>
      <c r="J129" s="16" t="s">
        <v>1084</v>
      </c>
      <c r="K129" s="18" t="s">
        <v>1085</v>
      </c>
      <c r="L129" s="16" t="s">
        <v>1086</v>
      </c>
      <c r="M129" s="16">
        <v>76.4376439</v>
      </c>
      <c r="N129" s="16">
        <v>70.17199876</v>
      </c>
      <c r="O129" s="16" t="s">
        <v>1087</v>
      </c>
      <c r="P129" s="1">
        <v>8312026.0</v>
      </c>
      <c r="Q129" s="7" t="str">
        <f>IF(OR(ISBLANK(M129), ISBLANK(N129)), "", IF(N129 &lt; Sheet3!$B$6, "Insufficient Reviews", IF(M129 &gt;= Sheet3!$B$2, "Highly Reliable", IF(M129 &gt;= Sheet3!$B$3, "Reliable", IF(M129 &gt;= Sheet3!$B$4, "Mixed Reviews", "Low Reliability")))))</f>
        <v>Reliable</v>
      </c>
    </row>
    <row r="130">
      <c r="A130" s="3">
        <f t="shared" si="1"/>
        <v>129</v>
      </c>
      <c r="B130" s="16" t="s">
        <v>1088</v>
      </c>
      <c r="C130" s="16">
        <v>39.2548577</v>
      </c>
      <c r="D130" s="16">
        <v>-76.6991097</v>
      </c>
      <c r="E130" s="16" t="s">
        <v>1089</v>
      </c>
      <c r="F130" s="16" t="s">
        <v>1090</v>
      </c>
      <c r="G130" s="16" t="s">
        <v>1091</v>
      </c>
      <c r="H130" s="16" t="s">
        <v>1092</v>
      </c>
      <c r="I130" s="16" t="s">
        <v>71</v>
      </c>
      <c r="J130" s="16" t="s">
        <v>1093</v>
      </c>
      <c r="K130" s="18" t="s">
        <v>1094</v>
      </c>
      <c r="L130" s="16" t="s">
        <v>1095</v>
      </c>
      <c r="M130" s="16">
        <v>74.27197139</v>
      </c>
      <c r="N130" s="16">
        <v>55.11436885</v>
      </c>
      <c r="O130" s="16" t="s">
        <v>1096</v>
      </c>
      <c r="P130" s="1">
        <v>8312026.0</v>
      </c>
      <c r="Q130" s="7" t="str">
        <f>IF(OR(ISBLANK(M130), ISBLANK(N130)), "", IF(N130 &lt; Sheet3!$B$6, "Insufficient Reviews", IF(M130 &gt;= Sheet3!$B$2, "Highly Reliable", IF(M130 &gt;= Sheet3!$B$3, "Reliable", IF(M130 &gt;= Sheet3!$B$4, "Mixed Reviews", "Low Reliability")))))</f>
        <v>Reliable</v>
      </c>
    </row>
    <row r="131">
      <c r="A131" s="3">
        <f t="shared" si="1"/>
        <v>130</v>
      </c>
      <c r="B131" s="16" t="s">
        <v>1097</v>
      </c>
      <c r="C131" s="16">
        <v>39.243514</v>
      </c>
      <c r="D131" s="16">
        <v>-76.6611348</v>
      </c>
      <c r="E131" s="16" t="s">
        <v>1098</v>
      </c>
      <c r="F131" s="16" t="s">
        <v>1099</v>
      </c>
      <c r="G131" s="16" t="s">
        <v>1100</v>
      </c>
      <c r="H131" s="16" t="s">
        <v>695</v>
      </c>
      <c r="I131" s="16" t="s">
        <v>71</v>
      </c>
      <c r="J131" s="16" t="s">
        <v>1101</v>
      </c>
      <c r="K131" s="17"/>
      <c r="L131" s="16" t="s">
        <v>1102</v>
      </c>
      <c r="M131" s="16">
        <v>83.75192765</v>
      </c>
      <c r="N131" s="16">
        <v>48.23957199</v>
      </c>
      <c r="O131" s="16" t="s">
        <v>1103</v>
      </c>
      <c r="P131" s="1">
        <v>8312026.0</v>
      </c>
      <c r="Q131" s="7" t="str">
        <f>IF(OR(ISBLANK(M131), ISBLANK(N131)), "", IF(N131 &lt; Sheet3!$B$6, "Insufficient Reviews", IF(M131 &gt;= Sheet3!$B$2, "Highly Reliable", IF(M131 &gt;= Sheet3!$B$3, "Reliable", IF(M131 &gt;= Sheet3!$B$4, "Mixed Reviews", "Low Reliability")))))</f>
        <v>Highly Reliable</v>
      </c>
    </row>
    <row r="132">
      <c r="A132" s="3">
        <f t="shared" si="1"/>
        <v>131</v>
      </c>
      <c r="B132" s="16" t="s">
        <v>1104</v>
      </c>
      <c r="C132" s="16">
        <v>39.2749893</v>
      </c>
      <c r="D132" s="16">
        <v>-76.7385449</v>
      </c>
      <c r="E132" s="16" t="s">
        <v>1105</v>
      </c>
      <c r="F132" s="16" t="s">
        <v>1106</v>
      </c>
      <c r="G132" s="17"/>
      <c r="H132" s="16" t="s">
        <v>1107</v>
      </c>
      <c r="I132" s="16" t="s">
        <v>71</v>
      </c>
      <c r="J132" s="16" t="s">
        <v>1108</v>
      </c>
      <c r="K132" s="17"/>
      <c r="L132" s="16" t="s">
        <v>1109</v>
      </c>
      <c r="M132" s="16">
        <v>73.50445711</v>
      </c>
      <c r="N132" s="16">
        <v>41.91637022</v>
      </c>
      <c r="O132" s="16" t="s">
        <v>1110</v>
      </c>
      <c r="P132" s="1">
        <v>8312026.0</v>
      </c>
      <c r="Q132" s="7" t="str">
        <f>IF(OR(ISBLANK(M132), ISBLANK(N132)), "", IF(N132 &lt; Sheet3!$B$6, "Insufficient Reviews", IF(M132 &gt;= Sheet3!$B$2, "Highly Reliable", IF(M132 &gt;= Sheet3!$B$3, "Reliable", IF(M132 &gt;= Sheet3!$B$4, "Mixed Reviews", "Low Reliability")))))</f>
        <v>Reliable</v>
      </c>
    </row>
    <row r="133">
      <c r="A133" s="3">
        <f t="shared" si="1"/>
        <v>132</v>
      </c>
      <c r="B133" s="16" t="s">
        <v>1111</v>
      </c>
      <c r="C133" s="16">
        <v>39.3490416</v>
      </c>
      <c r="D133" s="16">
        <v>-76.4866116</v>
      </c>
      <c r="E133" s="16" t="s">
        <v>1112</v>
      </c>
      <c r="F133" s="16" t="s">
        <v>1113</v>
      </c>
      <c r="G133" s="16" t="s">
        <v>1114</v>
      </c>
      <c r="H133" s="16" t="s">
        <v>1115</v>
      </c>
      <c r="I133" s="16" t="s">
        <v>35</v>
      </c>
      <c r="J133" s="16" t="s">
        <v>1116</v>
      </c>
      <c r="K133" s="18" t="s">
        <v>1117</v>
      </c>
      <c r="L133" s="16" t="s">
        <v>1118</v>
      </c>
      <c r="M133" s="16">
        <v>80.55748038</v>
      </c>
      <c r="N133" s="16">
        <v>71.24622583</v>
      </c>
      <c r="O133" s="16" t="s">
        <v>1119</v>
      </c>
      <c r="P133" s="1">
        <v>8312026.0</v>
      </c>
      <c r="Q133" s="7" t="str">
        <f>IF(OR(ISBLANK(M133), ISBLANK(N133)), "", IF(N133 &lt; Sheet3!$B$6, "Insufficient Reviews", IF(M133 &gt;= Sheet3!$B$2, "Highly Reliable", IF(M133 &gt;= Sheet3!$B$3, "Reliable", IF(M133 &gt;= Sheet3!$B$4, "Mixed Reviews", "Low Reliability")))))</f>
        <v>Reliable</v>
      </c>
    </row>
    <row r="134">
      <c r="A134" s="3">
        <f t="shared" si="1"/>
        <v>133</v>
      </c>
      <c r="B134" s="16" t="s">
        <v>1120</v>
      </c>
      <c r="C134" s="16">
        <v>39.3802671</v>
      </c>
      <c r="D134" s="16">
        <v>-76.781714</v>
      </c>
      <c r="E134" s="16" t="s">
        <v>1121</v>
      </c>
      <c r="F134" s="16" t="s">
        <v>1122</v>
      </c>
      <c r="G134" s="16" t="s">
        <v>1123</v>
      </c>
      <c r="H134" s="16" t="s">
        <v>1124</v>
      </c>
      <c r="I134" s="16" t="s">
        <v>27</v>
      </c>
      <c r="J134" s="16" t="s">
        <v>1125</v>
      </c>
      <c r="K134" s="18" t="s">
        <v>1126</v>
      </c>
      <c r="L134" s="16" t="s">
        <v>1127</v>
      </c>
      <c r="M134" s="16">
        <v>79.68925442</v>
      </c>
      <c r="N134" s="16">
        <v>93.65002468</v>
      </c>
      <c r="O134" s="16" t="s">
        <v>1128</v>
      </c>
      <c r="P134" s="1">
        <v>8312026.0</v>
      </c>
      <c r="Q134" s="7" t="str">
        <f>IF(OR(ISBLANK(M134), ISBLANK(N134)), "", IF(N134 &lt; Sheet3!$B$6, "Insufficient Reviews", IF(M134 &gt;= Sheet3!$B$2, "Highly Reliable", IF(M134 &gt;= Sheet3!$B$3, "Reliable", IF(M134 &gt;= Sheet3!$B$4, "Mixed Reviews", "Low Reliability")))))</f>
        <v>Reliable</v>
      </c>
    </row>
    <row r="135">
      <c r="A135" s="3">
        <f t="shared" si="1"/>
        <v>134</v>
      </c>
      <c r="B135" s="16" t="s">
        <v>1129</v>
      </c>
      <c r="C135" s="16">
        <v>39.2378817</v>
      </c>
      <c r="D135" s="16">
        <v>-76.599134</v>
      </c>
      <c r="E135" s="16" t="s">
        <v>1130</v>
      </c>
      <c r="F135" s="16" t="s">
        <v>1131</v>
      </c>
      <c r="G135" s="16" t="s">
        <v>1132</v>
      </c>
      <c r="H135" s="16" t="s">
        <v>1133</v>
      </c>
      <c r="I135" s="16" t="s">
        <v>35</v>
      </c>
      <c r="J135" s="16" t="s">
        <v>1134</v>
      </c>
      <c r="K135" s="18" t="s">
        <v>1135</v>
      </c>
      <c r="L135" s="16" t="s">
        <v>1136</v>
      </c>
      <c r="M135" s="16">
        <v>85.31409679</v>
      </c>
      <c r="N135" s="16">
        <v>74.00741994</v>
      </c>
      <c r="O135" s="16" t="s">
        <v>1137</v>
      </c>
      <c r="P135" s="1">
        <v>8312026.0</v>
      </c>
      <c r="Q135" s="7" t="str">
        <f>IF(OR(ISBLANK(M135), ISBLANK(N135)), "", IF(N135 &lt; Sheet3!$B$6, "Insufficient Reviews", IF(M135 &gt;= Sheet3!$B$2, "Highly Reliable", IF(M135 &gt;= Sheet3!$B$3, "Reliable", IF(M135 &gt;= Sheet3!$B$4, "Mixed Reviews", "Low Reliability")))))</f>
        <v>Highly Reliable</v>
      </c>
    </row>
    <row r="136">
      <c r="A136" s="3">
        <f t="shared" si="1"/>
        <v>135</v>
      </c>
      <c r="B136" s="16" t="s">
        <v>1138</v>
      </c>
      <c r="C136" s="16">
        <v>39.2359868</v>
      </c>
      <c r="D136" s="16">
        <v>-76.6021524</v>
      </c>
      <c r="E136" s="16" t="s">
        <v>1139</v>
      </c>
      <c r="F136" s="16" t="s">
        <v>1140</v>
      </c>
      <c r="G136" s="17"/>
      <c r="H136" s="16" t="s">
        <v>1141</v>
      </c>
      <c r="I136" s="16" t="s">
        <v>71</v>
      </c>
      <c r="J136" s="16" t="s">
        <v>1142</v>
      </c>
      <c r="K136" s="17"/>
      <c r="L136" s="16" t="s">
        <v>1143</v>
      </c>
      <c r="M136" s="16">
        <v>7.5</v>
      </c>
      <c r="N136" s="16">
        <v>15.91666667</v>
      </c>
      <c r="O136" s="16" t="s">
        <v>741</v>
      </c>
      <c r="P136" s="1">
        <v>8312026.0</v>
      </c>
      <c r="Q136" s="7" t="str">
        <f>IF(OR(ISBLANK(M136), ISBLANK(N136)), "", IF(N136 &lt; Sheet3!$B$6, "Insufficient Reviews", IF(M136 &gt;= Sheet3!$B$2, "Highly Reliable", IF(M136 &gt;= Sheet3!$B$3, "Reliable", IF(M136 &gt;= Sheet3!$B$4, "Mixed Reviews", "Low Reliability")))))</f>
        <v>Insufficient Reviews</v>
      </c>
    </row>
    <row r="137">
      <c r="A137" s="3">
        <f t="shared" si="1"/>
        <v>136</v>
      </c>
      <c r="B137" s="16" t="s">
        <v>1144</v>
      </c>
      <c r="C137" s="16">
        <v>39.2359056</v>
      </c>
      <c r="D137" s="16">
        <v>-76.6059526</v>
      </c>
      <c r="E137" s="16" t="s">
        <v>1145</v>
      </c>
      <c r="F137" s="16" t="s">
        <v>1146</v>
      </c>
      <c r="G137" s="16" t="s">
        <v>1147</v>
      </c>
      <c r="H137" s="16" t="s">
        <v>1148</v>
      </c>
      <c r="I137" s="16" t="s">
        <v>71</v>
      </c>
      <c r="J137" s="16" t="s">
        <v>1149</v>
      </c>
      <c r="K137" s="18" t="s">
        <v>1150</v>
      </c>
      <c r="L137" s="16" t="s">
        <v>1151</v>
      </c>
      <c r="M137" s="16">
        <v>82.06831993</v>
      </c>
      <c r="N137" s="16">
        <v>72.91849053</v>
      </c>
      <c r="O137" s="16" t="s">
        <v>1152</v>
      </c>
      <c r="P137" s="1">
        <v>8312026.0</v>
      </c>
      <c r="Q137" s="7" t="str">
        <f>IF(OR(ISBLANK(M137), ISBLANK(N137)), "", IF(N137 &lt; Sheet3!$B$6, "Insufficient Reviews", IF(M137 &gt;= Sheet3!$B$2, "Highly Reliable", IF(M137 &gt;= Sheet3!$B$3, "Reliable", IF(M137 &gt;= Sheet3!$B$4, "Mixed Reviews", "Low Reliability")))))</f>
        <v>Highly Reliable</v>
      </c>
    </row>
    <row r="138">
      <c r="A138" s="3">
        <f t="shared" si="1"/>
        <v>137</v>
      </c>
      <c r="B138" s="16" t="s">
        <v>1153</v>
      </c>
      <c r="C138" s="16">
        <v>39.3503425</v>
      </c>
      <c r="D138" s="16">
        <v>-76.4697743</v>
      </c>
      <c r="E138" s="16" t="s">
        <v>1154</v>
      </c>
      <c r="F138" s="16" t="s">
        <v>1155</v>
      </c>
      <c r="G138" s="16" t="s">
        <v>1156</v>
      </c>
      <c r="H138" s="16" t="s">
        <v>1157</v>
      </c>
      <c r="I138" s="16" t="s">
        <v>71</v>
      </c>
      <c r="J138" s="16" t="s">
        <v>1158</v>
      </c>
      <c r="K138" s="18" t="s">
        <v>1159</v>
      </c>
      <c r="L138" s="16" t="s">
        <v>1160</v>
      </c>
      <c r="M138" s="16">
        <v>81.13114379</v>
      </c>
      <c r="N138" s="16">
        <v>72.4980243</v>
      </c>
      <c r="O138" s="16" t="s">
        <v>1161</v>
      </c>
      <c r="P138" s="1">
        <v>8312026.0</v>
      </c>
      <c r="Q138" s="7" t="str">
        <f>IF(OR(ISBLANK(M138), ISBLANK(N138)), "", IF(N138 &lt; Sheet3!$B$6, "Insufficient Reviews", IF(M138 &gt;= Sheet3!$B$2, "Highly Reliable", IF(M138 &gt;= Sheet3!$B$3, "Reliable", IF(M138 &gt;= Sheet3!$B$4, "Mixed Reviews", "Low Reliability")))))</f>
        <v>Reliable</v>
      </c>
    </row>
    <row r="139">
      <c r="A139" s="3">
        <f t="shared" si="1"/>
        <v>138</v>
      </c>
      <c r="B139" s="16" t="s">
        <v>1162</v>
      </c>
      <c r="C139" s="16">
        <v>39.3107896</v>
      </c>
      <c r="D139" s="16">
        <v>-76.4762796</v>
      </c>
      <c r="E139" s="16" t="s">
        <v>1163</v>
      </c>
      <c r="F139" s="16" t="s">
        <v>1164</v>
      </c>
      <c r="G139" s="16" t="s">
        <v>1165</v>
      </c>
      <c r="H139" s="16" t="s">
        <v>1166</v>
      </c>
      <c r="I139" s="16" t="s">
        <v>71</v>
      </c>
      <c r="J139" s="16" t="s">
        <v>1167</v>
      </c>
      <c r="K139" s="18" t="s">
        <v>1168</v>
      </c>
      <c r="L139" s="16" t="s">
        <v>1169</v>
      </c>
      <c r="M139" s="16">
        <v>82.7265825</v>
      </c>
      <c r="N139" s="16">
        <v>68.93311874</v>
      </c>
      <c r="O139" s="16" t="s">
        <v>1170</v>
      </c>
      <c r="P139" s="1">
        <v>8312026.0</v>
      </c>
      <c r="Q139" s="7" t="str">
        <f>IF(OR(ISBLANK(M139), ISBLANK(N139)), "", IF(N139 &lt; Sheet3!$B$6, "Insufficient Reviews", IF(M139 &gt;= Sheet3!$B$2, "Highly Reliable", IF(M139 &gt;= Sheet3!$B$3, "Reliable", IF(M139 &gt;= Sheet3!$B$4, "Mixed Reviews", "Low Reliability")))))</f>
        <v>Highly Reliable</v>
      </c>
    </row>
    <row r="140">
      <c r="A140" s="3">
        <f t="shared" si="1"/>
        <v>139</v>
      </c>
      <c r="B140" s="16" t="s">
        <v>1171</v>
      </c>
      <c r="C140" s="16">
        <v>39.3085102</v>
      </c>
      <c r="D140" s="16">
        <v>-76.4736795</v>
      </c>
      <c r="E140" s="16" t="s">
        <v>1172</v>
      </c>
      <c r="F140" s="16" t="s">
        <v>1173</v>
      </c>
      <c r="G140" s="16" t="s">
        <v>1174</v>
      </c>
      <c r="H140" s="16" t="s">
        <v>1175</v>
      </c>
      <c r="I140" s="16" t="s">
        <v>71</v>
      </c>
      <c r="J140" s="16" t="s">
        <v>1176</v>
      </c>
      <c r="K140" s="17"/>
      <c r="L140" s="16" t="s">
        <v>1177</v>
      </c>
      <c r="M140" s="16">
        <v>76.54563956</v>
      </c>
      <c r="N140" s="16">
        <v>56.94073045</v>
      </c>
      <c r="O140" s="16" t="s">
        <v>1178</v>
      </c>
      <c r="P140" s="1">
        <v>8312026.0</v>
      </c>
      <c r="Q140" s="7" t="str">
        <f>IF(OR(ISBLANK(M140), ISBLANK(N140)), "", IF(N140 &lt; Sheet3!$B$6, "Insufficient Reviews", IF(M140 &gt;= Sheet3!$B$2, "Highly Reliable", IF(M140 &gt;= Sheet3!$B$3, "Reliable", IF(M140 &gt;= Sheet3!$B$4, "Mixed Reviews", "Low Reliability")))))</f>
        <v>Reliable</v>
      </c>
    </row>
    <row r="141">
      <c r="A141" s="3">
        <f t="shared" si="1"/>
        <v>140</v>
      </c>
      <c r="B141" s="16" t="s">
        <v>1179</v>
      </c>
      <c r="C141" s="16">
        <v>39.3369846</v>
      </c>
      <c r="D141" s="16">
        <v>-76.453561</v>
      </c>
      <c r="E141" s="16" t="s">
        <v>1180</v>
      </c>
      <c r="F141" s="16" t="s">
        <v>1181</v>
      </c>
      <c r="G141" s="17"/>
      <c r="H141" s="16" t="s">
        <v>1182</v>
      </c>
      <c r="I141" s="16" t="s">
        <v>71</v>
      </c>
      <c r="J141" s="16" t="s">
        <v>1183</v>
      </c>
      <c r="K141" s="18" t="s">
        <v>1184</v>
      </c>
      <c r="L141" s="16" t="s">
        <v>1185</v>
      </c>
      <c r="M141" s="16">
        <v>78.44273116</v>
      </c>
      <c r="N141" s="16">
        <v>67.44755147</v>
      </c>
      <c r="O141" s="16" t="s">
        <v>1186</v>
      </c>
      <c r="P141" s="1">
        <v>8312026.0</v>
      </c>
      <c r="Q141" s="7" t="str">
        <f>IF(OR(ISBLANK(M141), ISBLANK(N141)), "", IF(N141 &lt; Sheet3!$B$6, "Insufficient Reviews", IF(M141 &gt;= Sheet3!$B$2, "Highly Reliable", IF(M141 &gt;= Sheet3!$B$3, "Reliable", IF(M141 &gt;= Sheet3!$B$4, "Mixed Reviews", "Low Reliability")))))</f>
        <v>Reliable</v>
      </c>
    </row>
    <row r="142">
      <c r="A142" s="3">
        <f t="shared" si="1"/>
        <v>141</v>
      </c>
      <c r="B142" s="16" t="s">
        <v>1187</v>
      </c>
      <c r="C142" s="16">
        <v>39.3256234</v>
      </c>
      <c r="D142" s="16">
        <v>-76.4508264</v>
      </c>
      <c r="E142" s="16" t="s">
        <v>1188</v>
      </c>
      <c r="F142" s="16" t="s">
        <v>1189</v>
      </c>
      <c r="G142" s="16" t="s">
        <v>1190</v>
      </c>
      <c r="H142" s="16" t="s">
        <v>1191</v>
      </c>
      <c r="I142" s="16" t="s">
        <v>71</v>
      </c>
      <c r="J142" s="16" t="s">
        <v>1192</v>
      </c>
      <c r="K142" s="18" t="s">
        <v>1193</v>
      </c>
      <c r="L142" s="16" t="s">
        <v>1194</v>
      </c>
      <c r="M142" s="16">
        <v>70.70419298</v>
      </c>
      <c r="N142" s="16">
        <v>70.31668264</v>
      </c>
      <c r="O142" s="16" t="s">
        <v>1195</v>
      </c>
      <c r="P142" s="1">
        <v>8312026.0</v>
      </c>
      <c r="Q142" s="7" t="str">
        <f>IF(OR(ISBLANK(M142), ISBLANK(N142)), "", IF(N142 &lt; Sheet3!$B$6, "Insufficient Reviews", IF(M142 &gt;= Sheet3!$B$2, "Highly Reliable", IF(M142 &gt;= Sheet3!$B$3, "Reliable", IF(M142 &gt;= Sheet3!$B$4, "Mixed Reviews", "Low Reliability")))))</f>
        <v>Reliable</v>
      </c>
    </row>
    <row r="143">
      <c r="A143" s="3">
        <f t="shared" si="1"/>
        <v>142</v>
      </c>
      <c r="B143" s="16" t="s">
        <v>1196</v>
      </c>
      <c r="C143" s="16">
        <v>39.230527</v>
      </c>
      <c r="D143" s="16">
        <v>-76.824635</v>
      </c>
      <c r="E143" s="16" t="s">
        <v>1197</v>
      </c>
      <c r="F143" s="16" t="s">
        <v>1198</v>
      </c>
      <c r="G143" s="17"/>
      <c r="H143" s="16" t="s">
        <v>1199</v>
      </c>
      <c r="I143" s="16" t="s">
        <v>27</v>
      </c>
      <c r="J143" s="16" t="s">
        <v>1200</v>
      </c>
      <c r="K143" s="18" t="s">
        <v>1201</v>
      </c>
      <c r="L143" s="16" t="s">
        <v>1202</v>
      </c>
      <c r="M143" s="16">
        <v>87.32173526</v>
      </c>
      <c r="N143" s="16">
        <v>95.28048955</v>
      </c>
      <c r="O143" s="16" t="s">
        <v>1203</v>
      </c>
      <c r="P143" s="1">
        <v>8312026.0</v>
      </c>
      <c r="Q143" s="7" t="str">
        <f>IF(OR(ISBLANK(M143), ISBLANK(N143)), "", IF(N143 &lt; Sheet3!$B$6, "Insufficient Reviews", IF(M143 &gt;= Sheet3!$B$2, "Highly Reliable", IF(M143 &gt;= Sheet3!$B$3, "Reliable", IF(M143 &gt;= Sheet3!$B$4, "Mixed Reviews", "Low Reliability")))))</f>
        <v>Highly Reliable</v>
      </c>
    </row>
    <row r="144">
      <c r="A144" s="3">
        <f t="shared" si="1"/>
        <v>143</v>
      </c>
      <c r="B144" s="16" t="s">
        <v>1204</v>
      </c>
      <c r="C144" s="16">
        <v>39.2581992</v>
      </c>
      <c r="D144" s="16">
        <v>-76.4627419</v>
      </c>
      <c r="E144" s="16" t="s">
        <v>1205</v>
      </c>
      <c r="F144" s="16" t="s">
        <v>1206</v>
      </c>
      <c r="G144" s="17"/>
      <c r="H144" s="16" t="s">
        <v>1207</v>
      </c>
      <c r="I144" s="16" t="s">
        <v>71</v>
      </c>
      <c r="J144" s="16" t="s">
        <v>1208</v>
      </c>
      <c r="K144" s="17"/>
      <c r="L144" s="16" t="s">
        <v>1209</v>
      </c>
      <c r="M144" s="16">
        <v>47.35681372</v>
      </c>
      <c r="N144" s="16">
        <v>36.94637871</v>
      </c>
      <c r="O144" s="16" t="s">
        <v>1210</v>
      </c>
      <c r="P144" s="1">
        <v>8312026.0</v>
      </c>
      <c r="Q144" s="7" t="str">
        <f>IF(OR(ISBLANK(M144), ISBLANK(N144)), "", IF(N144 &lt; Sheet3!$B$6, "Insufficient Reviews", IF(M144 &gt;= Sheet3!$B$2, "Highly Reliable", IF(M144 &gt;= Sheet3!$B$3, "Reliable", IF(M144 &gt;= Sheet3!$B$4, "Mixed Reviews", "Low Reliability")))))</f>
        <v>Insufficient Reviews</v>
      </c>
    </row>
    <row r="145">
      <c r="A145" s="3">
        <f t="shared" si="1"/>
        <v>144</v>
      </c>
      <c r="B145" s="16" t="s">
        <v>1211</v>
      </c>
      <c r="C145" s="16">
        <v>39.4521292</v>
      </c>
      <c r="D145" s="16">
        <v>-76.8198555</v>
      </c>
      <c r="E145" s="16" t="s">
        <v>1212</v>
      </c>
      <c r="F145" s="16" t="s">
        <v>1213</v>
      </c>
      <c r="G145" s="16" t="s">
        <v>1214</v>
      </c>
      <c r="H145" s="16" t="s">
        <v>1215</v>
      </c>
      <c r="I145" s="16" t="s">
        <v>71</v>
      </c>
      <c r="J145" s="16" t="s">
        <v>1216</v>
      </c>
      <c r="K145" s="18" t="s">
        <v>1217</v>
      </c>
      <c r="L145" s="16" t="s">
        <v>1218</v>
      </c>
      <c r="M145" s="16">
        <v>76.92735616</v>
      </c>
      <c r="N145" s="16">
        <v>70.74574901</v>
      </c>
      <c r="O145" s="16" t="s">
        <v>1219</v>
      </c>
      <c r="P145" s="1">
        <v>8312026.0</v>
      </c>
      <c r="Q145" s="7" t="str">
        <f>IF(OR(ISBLANK(M145), ISBLANK(N145)), "", IF(N145 &lt; Sheet3!$B$6, "Insufficient Reviews", IF(M145 &gt;= Sheet3!$B$2, "Highly Reliable", IF(M145 &gt;= Sheet3!$B$3, "Reliable", IF(M145 &gt;= Sheet3!$B$4, "Mixed Reviews", "Low Reliability")))))</f>
        <v>Reliable</v>
      </c>
    </row>
    <row r="146">
      <c r="A146" s="3">
        <f t="shared" si="1"/>
        <v>145</v>
      </c>
      <c r="B146" s="16" t="s">
        <v>1220</v>
      </c>
      <c r="C146" s="16">
        <v>39.4618956</v>
      </c>
      <c r="D146" s="16">
        <v>-76.8284377</v>
      </c>
      <c r="E146" s="16" t="s">
        <v>1221</v>
      </c>
      <c r="F146" s="16" t="s">
        <v>1222</v>
      </c>
      <c r="G146" s="16" t="s">
        <v>1223</v>
      </c>
      <c r="H146" s="16" t="s">
        <v>1224</v>
      </c>
      <c r="I146" s="16" t="s">
        <v>71</v>
      </c>
      <c r="J146" s="16" t="s">
        <v>1225</v>
      </c>
      <c r="K146" s="18" t="s">
        <v>1226</v>
      </c>
      <c r="L146" s="16" t="s">
        <v>1227</v>
      </c>
      <c r="M146" s="16">
        <v>64.67099896</v>
      </c>
      <c r="N146" s="16">
        <v>48.08257676</v>
      </c>
      <c r="O146" s="16" t="s">
        <v>1228</v>
      </c>
      <c r="P146" s="1">
        <v>8312026.0</v>
      </c>
      <c r="Q146" s="7" t="str">
        <f>IF(OR(ISBLANK(M146), ISBLANK(N146)), "", IF(N146 &lt; Sheet3!$B$6, "Insufficient Reviews", IF(M146 &gt;= Sheet3!$B$2, "Highly Reliable", IF(M146 &gt;= Sheet3!$B$3, "Reliable", IF(M146 &gt;= Sheet3!$B$4, "Mixed Reviews", "Low Reliability")))))</f>
        <v>Mixed Reviews</v>
      </c>
    </row>
    <row r="147">
      <c r="A147" s="3">
        <f t="shared" si="1"/>
        <v>146</v>
      </c>
      <c r="B147" s="16" t="s">
        <v>1229</v>
      </c>
      <c r="C147" s="16">
        <v>39.347879</v>
      </c>
      <c r="D147" s="16">
        <v>-76.3881873</v>
      </c>
      <c r="E147" s="16" t="s">
        <v>1230</v>
      </c>
      <c r="F147" s="16" t="s">
        <v>1231</v>
      </c>
      <c r="G147" s="17"/>
      <c r="H147" s="16" t="s">
        <v>1232</v>
      </c>
      <c r="I147" s="16" t="s">
        <v>27</v>
      </c>
      <c r="J147" s="16" t="s">
        <v>1233</v>
      </c>
      <c r="K147" s="17"/>
      <c r="L147" s="16" t="s">
        <v>1234</v>
      </c>
      <c r="M147" s="16">
        <v>10.5</v>
      </c>
      <c r="N147" s="16">
        <v>16.54666667</v>
      </c>
      <c r="O147" s="16" t="s">
        <v>1235</v>
      </c>
      <c r="P147" s="1">
        <v>8312026.0</v>
      </c>
      <c r="Q147" s="7" t="str">
        <f>IF(OR(ISBLANK(M147), ISBLANK(N147)), "", IF(N147 &lt; Sheet3!$B$6, "Insufficient Reviews", IF(M147 &gt;= Sheet3!$B$2, "Highly Reliable", IF(M147 &gt;= Sheet3!$B$3, "Reliable", IF(M147 &gt;= Sheet3!$B$4, "Mixed Reviews", "Low Reliability")))))</f>
        <v>Insufficient Reviews</v>
      </c>
    </row>
    <row r="148">
      <c r="A148" s="3">
        <f t="shared" si="1"/>
        <v>147</v>
      </c>
      <c r="B148" s="16" t="s">
        <v>1196</v>
      </c>
      <c r="C148" s="16">
        <v>39.2307408</v>
      </c>
      <c r="D148" s="16">
        <v>-76.8247234</v>
      </c>
      <c r="E148" s="16" t="s">
        <v>1197</v>
      </c>
      <c r="F148" s="16" t="s">
        <v>1236</v>
      </c>
      <c r="G148" s="16" t="s">
        <v>1237</v>
      </c>
      <c r="H148" s="16" t="s">
        <v>1238</v>
      </c>
      <c r="I148" s="16" t="s">
        <v>71</v>
      </c>
      <c r="J148" s="16" t="s">
        <v>1239</v>
      </c>
      <c r="K148" s="18" t="s">
        <v>1240</v>
      </c>
      <c r="L148" s="16" t="s">
        <v>1241</v>
      </c>
      <c r="M148" s="16">
        <v>72.53535565</v>
      </c>
      <c r="N148" s="16">
        <v>52.7769451</v>
      </c>
      <c r="O148" s="16" t="s">
        <v>1242</v>
      </c>
      <c r="P148" s="1">
        <v>8312026.0</v>
      </c>
      <c r="Q148" s="7" t="str">
        <f>IF(OR(ISBLANK(M148), ISBLANK(N148)), "", IF(N148 &lt; Sheet3!$B$6, "Insufficient Reviews", IF(M148 &gt;= Sheet3!$B$2, "Highly Reliable", IF(M148 &gt;= Sheet3!$B$3, "Reliable", IF(M148 &gt;= Sheet3!$B$4, "Mixed Reviews", "Low Reliability")))))</f>
        <v>Reliable</v>
      </c>
    </row>
    <row r="149">
      <c r="A149" s="3">
        <f t="shared" si="1"/>
        <v>148</v>
      </c>
      <c r="B149" s="16" t="s">
        <v>1243</v>
      </c>
      <c r="C149" s="16">
        <v>39.2815469</v>
      </c>
      <c r="D149" s="16">
        <v>-76.8669876</v>
      </c>
      <c r="E149" s="16" t="s">
        <v>1244</v>
      </c>
      <c r="F149" s="16" t="s">
        <v>1245</v>
      </c>
      <c r="G149" s="16" t="s">
        <v>1246</v>
      </c>
      <c r="H149" s="16" t="s">
        <v>1247</v>
      </c>
      <c r="I149" s="16" t="s">
        <v>91</v>
      </c>
      <c r="J149" s="16" t="s">
        <v>1248</v>
      </c>
      <c r="K149" s="18" t="s">
        <v>1249</v>
      </c>
      <c r="L149" s="16" t="s">
        <v>1250</v>
      </c>
      <c r="M149" s="16">
        <v>81.30617442</v>
      </c>
      <c r="N149" s="16">
        <v>78.37645223</v>
      </c>
      <c r="O149" s="16" t="s">
        <v>1251</v>
      </c>
      <c r="P149" s="1">
        <v>8312026.0</v>
      </c>
      <c r="Q149" s="7" t="str">
        <f>IF(OR(ISBLANK(M149), ISBLANK(N149)), "", IF(N149 &lt; Sheet3!$B$6, "Insufficient Reviews", IF(M149 &gt;= Sheet3!$B$2, "Highly Reliable", IF(M149 &gt;= Sheet3!$B$3, "Reliable", IF(M149 &gt;= Sheet3!$B$4, "Mixed Reviews", "Low Reliability")))))</f>
        <v>Reliable</v>
      </c>
    </row>
    <row r="150">
      <c r="A150" s="3">
        <f t="shared" si="1"/>
        <v>149</v>
      </c>
      <c r="B150" s="16" t="s">
        <v>1252</v>
      </c>
      <c r="C150" s="16">
        <v>39.2210511</v>
      </c>
      <c r="D150" s="16">
        <v>-76.450719</v>
      </c>
      <c r="E150" s="16" t="s">
        <v>1253</v>
      </c>
      <c r="F150" s="16" t="s">
        <v>1254</v>
      </c>
      <c r="G150" s="16" t="s">
        <v>1255</v>
      </c>
      <c r="H150" s="16" t="s">
        <v>1256</v>
      </c>
      <c r="I150" s="16" t="s">
        <v>35</v>
      </c>
      <c r="J150" s="16" t="s">
        <v>1257</v>
      </c>
      <c r="K150" s="18" t="s">
        <v>1258</v>
      </c>
      <c r="L150" s="16" t="s">
        <v>1259</v>
      </c>
      <c r="M150" s="16">
        <v>79.97334069</v>
      </c>
      <c r="N150" s="16">
        <v>72.96271107</v>
      </c>
      <c r="O150" s="16" t="s">
        <v>1260</v>
      </c>
      <c r="P150" s="1">
        <v>8312026.0</v>
      </c>
      <c r="Q150" s="7" t="str">
        <f>IF(OR(ISBLANK(M150), ISBLANK(N150)), "", IF(N150 &lt; Sheet3!$B$6, "Insufficient Reviews", IF(M150 &gt;= Sheet3!$B$2, "Highly Reliable", IF(M150 &gt;= Sheet3!$B$3, "Reliable", IF(M150 &gt;= Sheet3!$B$4, "Mixed Reviews", "Low Reliability")))))</f>
        <v>Reliable</v>
      </c>
    </row>
    <row r="151">
      <c r="A151" s="3">
        <f t="shared" si="1"/>
        <v>150</v>
      </c>
      <c r="B151" s="16" t="s">
        <v>1261</v>
      </c>
      <c r="C151" s="16">
        <v>39.1536323</v>
      </c>
      <c r="D151" s="16">
        <v>-76.5856731</v>
      </c>
      <c r="E151" s="16" t="s">
        <v>1262</v>
      </c>
      <c r="F151" s="16" t="s">
        <v>1263</v>
      </c>
      <c r="G151" s="17"/>
      <c r="H151" s="16" t="s">
        <v>1264</v>
      </c>
      <c r="I151" s="16" t="s">
        <v>71</v>
      </c>
      <c r="J151" s="16" t="s">
        <v>1265</v>
      </c>
      <c r="K151" s="17"/>
      <c r="L151" s="16" t="s">
        <v>1266</v>
      </c>
      <c r="M151" s="16">
        <v>75.67680844</v>
      </c>
      <c r="N151" s="16">
        <v>37.22673022</v>
      </c>
      <c r="O151" s="16" t="s">
        <v>1267</v>
      </c>
      <c r="P151" s="1">
        <v>8312026.0</v>
      </c>
      <c r="Q151" s="7" t="str">
        <f>IF(OR(ISBLANK(M151), ISBLANK(N151)), "", IF(N151 &lt; Sheet3!$B$6, "Insufficient Reviews", IF(M151 &gt;= Sheet3!$B$2, "Highly Reliable", IF(M151 &gt;= Sheet3!$B$3, "Reliable", IF(M151 &gt;= Sheet3!$B$4, "Mixed Reviews", "Low Reliability")))))</f>
        <v>Insufficient Reviews</v>
      </c>
    </row>
    <row r="152">
      <c r="A152" s="3">
        <f t="shared" si="1"/>
        <v>151</v>
      </c>
      <c r="B152" s="16" t="s">
        <v>1268</v>
      </c>
      <c r="C152" s="16">
        <v>39.2097321</v>
      </c>
      <c r="D152" s="16">
        <v>-76.8231906</v>
      </c>
      <c r="E152" s="16" t="s">
        <v>1269</v>
      </c>
      <c r="F152" s="16" t="s">
        <v>1270</v>
      </c>
      <c r="G152" s="16" t="s">
        <v>1271</v>
      </c>
      <c r="H152" s="16" t="s">
        <v>1272</v>
      </c>
      <c r="I152" s="16" t="s">
        <v>71</v>
      </c>
      <c r="J152" s="16" t="s">
        <v>1273</v>
      </c>
      <c r="K152" s="17"/>
      <c r="L152" s="16" t="s">
        <v>1274</v>
      </c>
      <c r="M152" s="16">
        <v>74.47117023</v>
      </c>
      <c r="N152" s="16">
        <v>43.46304376</v>
      </c>
      <c r="O152" s="16" t="s">
        <v>1275</v>
      </c>
      <c r="P152" s="1">
        <v>8312026.0</v>
      </c>
      <c r="Q152" s="7" t="str">
        <f>IF(OR(ISBLANK(M152), ISBLANK(N152)), "", IF(N152 &lt; Sheet3!$B$6, "Insufficient Reviews", IF(M152 &gt;= Sheet3!$B$2, "Highly Reliable", IF(M152 &gt;= Sheet3!$B$3, "Reliable", IF(M152 &gt;= Sheet3!$B$4, "Mixed Reviews", "Low Reliability")))))</f>
        <v>Reliable</v>
      </c>
    </row>
    <row r="153">
      <c r="A153" s="3">
        <f t="shared" si="1"/>
        <v>152</v>
      </c>
      <c r="B153" s="16" t="s">
        <v>1276</v>
      </c>
      <c r="C153" s="16">
        <v>39.3620479</v>
      </c>
      <c r="D153" s="16">
        <v>-76.3659217</v>
      </c>
      <c r="E153" s="16" t="s">
        <v>1277</v>
      </c>
      <c r="F153" s="16" t="s">
        <v>1278</v>
      </c>
      <c r="G153" s="16" t="s">
        <v>1279</v>
      </c>
      <c r="H153" s="16" t="s">
        <v>1280</v>
      </c>
      <c r="I153" s="16" t="s">
        <v>71</v>
      </c>
      <c r="J153" s="16" t="s">
        <v>1281</v>
      </c>
      <c r="K153" s="17"/>
      <c r="L153" s="16" t="s">
        <v>1282</v>
      </c>
      <c r="M153" s="16">
        <v>74.21136554</v>
      </c>
      <c r="N153" s="16">
        <v>38.64976829</v>
      </c>
      <c r="O153" s="16" t="s">
        <v>1283</v>
      </c>
      <c r="P153" s="1">
        <v>8312026.0</v>
      </c>
      <c r="Q153" s="7" t="str">
        <f>IF(OR(ISBLANK(M153), ISBLANK(N153)), "", IF(N153 &lt; Sheet3!$B$6, "Insufficient Reviews", IF(M153 &gt;= Sheet3!$B$2, "Highly Reliable", IF(M153 &gt;= Sheet3!$B$3, "Reliable", IF(M153 &gt;= Sheet3!$B$4, "Mixed Reviews", "Low Reliability")))))</f>
        <v>Insufficient Reviews</v>
      </c>
    </row>
    <row r="154">
      <c r="A154" s="3">
        <f t="shared" si="1"/>
        <v>153</v>
      </c>
      <c r="B154" s="16" t="s">
        <v>1284</v>
      </c>
      <c r="C154" s="16">
        <v>39.1231761</v>
      </c>
      <c r="D154" s="16">
        <v>-76.6705683</v>
      </c>
      <c r="E154" s="16" t="s">
        <v>1285</v>
      </c>
      <c r="F154" s="16" t="s">
        <v>1286</v>
      </c>
      <c r="G154" s="17"/>
      <c r="H154" s="16" t="s">
        <v>1287</v>
      </c>
      <c r="I154" s="16" t="s">
        <v>35</v>
      </c>
      <c r="J154" s="16" t="s">
        <v>1288</v>
      </c>
      <c r="K154" s="18" t="s">
        <v>1289</v>
      </c>
      <c r="L154" s="16" t="s">
        <v>1290</v>
      </c>
      <c r="M154" s="16">
        <v>76.45043417</v>
      </c>
      <c r="N154" s="16">
        <v>69.73608438</v>
      </c>
      <c r="O154" s="16" t="s">
        <v>1291</v>
      </c>
      <c r="P154" s="1">
        <v>8312026.0</v>
      </c>
      <c r="Q154" s="7" t="str">
        <f>IF(OR(ISBLANK(M154), ISBLANK(N154)), "", IF(N154 &lt; Sheet3!$B$6, "Insufficient Reviews", IF(M154 &gt;= Sheet3!$B$2, "Highly Reliable", IF(M154 &gt;= Sheet3!$B$3, "Reliable", IF(M154 &gt;= Sheet3!$B$4, "Mixed Reviews", "Low Reliability")))))</f>
        <v>Reliable</v>
      </c>
    </row>
    <row r="155">
      <c r="A155" s="3">
        <f t="shared" si="1"/>
        <v>154</v>
      </c>
      <c r="B155" s="16" t="s">
        <v>1292</v>
      </c>
      <c r="C155" s="16">
        <v>39.503914</v>
      </c>
      <c r="D155" s="16">
        <v>-76.3854668</v>
      </c>
      <c r="E155" s="16" t="s">
        <v>1293</v>
      </c>
      <c r="F155" s="16" t="s">
        <v>1294</v>
      </c>
      <c r="G155" s="16" t="s">
        <v>1295</v>
      </c>
      <c r="H155" s="16" t="s">
        <v>1296</v>
      </c>
      <c r="I155" s="16" t="s">
        <v>71</v>
      </c>
      <c r="J155" s="16" t="s">
        <v>1297</v>
      </c>
      <c r="K155" s="18" t="s">
        <v>1298</v>
      </c>
      <c r="L155" s="16" t="s">
        <v>1299</v>
      </c>
      <c r="M155" s="16">
        <v>77.07658497</v>
      </c>
      <c r="N155" s="16">
        <v>71.43516111</v>
      </c>
      <c r="O155" s="16" t="s">
        <v>1300</v>
      </c>
      <c r="P155" s="1">
        <v>8312026.0</v>
      </c>
      <c r="Q155" s="7" t="str">
        <f>IF(OR(ISBLANK(M155), ISBLANK(N155)), "", IF(N155 &lt; Sheet3!$B$6, "Insufficient Reviews", IF(M155 &gt;= Sheet3!$B$2, "Highly Reliable", IF(M155 &gt;= Sheet3!$B$3, "Reliable", IF(M155 &gt;= Sheet3!$B$4, "Mixed Reviews", "Low Reliability")))))</f>
        <v>Reliable</v>
      </c>
    </row>
    <row r="156">
      <c r="A156" s="3">
        <f t="shared" si="1"/>
        <v>155</v>
      </c>
      <c r="B156" s="16" t="s">
        <v>1301</v>
      </c>
      <c r="C156" s="16">
        <v>39.4405306</v>
      </c>
      <c r="D156" s="16">
        <v>-76.3401304</v>
      </c>
      <c r="E156" s="16" t="s">
        <v>1302</v>
      </c>
      <c r="F156" s="16" t="s">
        <v>1303</v>
      </c>
      <c r="G156" s="16" t="s">
        <v>1304</v>
      </c>
      <c r="H156" s="16" t="s">
        <v>1305</v>
      </c>
      <c r="I156" s="16" t="s">
        <v>71</v>
      </c>
      <c r="J156" s="16" t="s">
        <v>1306</v>
      </c>
      <c r="K156" s="18" t="s">
        <v>1307</v>
      </c>
      <c r="L156" s="16" t="s">
        <v>1308</v>
      </c>
      <c r="M156" s="16">
        <v>75.30880998</v>
      </c>
      <c r="N156" s="16">
        <v>62.57603494</v>
      </c>
      <c r="O156" s="16" t="s">
        <v>1309</v>
      </c>
      <c r="P156" s="1">
        <v>8312026.0</v>
      </c>
      <c r="Q156" s="7" t="str">
        <f>IF(OR(ISBLANK(M156), ISBLANK(N156)), "", IF(N156 &lt; Sheet3!$B$6, "Insufficient Reviews", IF(M156 &gt;= Sheet3!$B$2, "Highly Reliable", IF(M156 &gt;= Sheet3!$B$3, "Reliable", IF(M156 &gt;= Sheet3!$B$4, "Mixed Reviews", "Low Reliability")))))</f>
        <v>Reliable</v>
      </c>
    </row>
    <row r="157">
      <c r="A157" s="3">
        <f t="shared" si="1"/>
        <v>156</v>
      </c>
      <c r="B157" s="16" t="s">
        <v>1310</v>
      </c>
      <c r="C157" s="16">
        <v>39.169389</v>
      </c>
      <c r="D157" s="16">
        <v>-76.8386308</v>
      </c>
      <c r="E157" s="16" t="s">
        <v>1311</v>
      </c>
      <c r="F157" s="16" t="s">
        <v>1312</v>
      </c>
      <c r="G157" s="16" t="s">
        <v>1313</v>
      </c>
      <c r="H157" s="16" t="s">
        <v>1314</v>
      </c>
      <c r="I157" s="16" t="s">
        <v>71</v>
      </c>
      <c r="J157" s="16" t="s">
        <v>1315</v>
      </c>
      <c r="K157" s="18" t="s">
        <v>1316</v>
      </c>
      <c r="L157" s="16" t="s">
        <v>1317</v>
      </c>
      <c r="M157" s="16">
        <v>81.33972368</v>
      </c>
      <c r="N157" s="16">
        <v>72.40185961</v>
      </c>
      <c r="O157" s="16" t="s">
        <v>1318</v>
      </c>
      <c r="P157" s="1">
        <v>8312026.0</v>
      </c>
      <c r="Q157" s="7" t="str">
        <f>IF(OR(ISBLANK(M157), ISBLANK(N157)), "", IF(N157 &lt; Sheet3!$B$6, "Insufficient Reviews", IF(M157 &gt;= Sheet3!$B$2, "Highly Reliable", IF(M157 &gt;= Sheet3!$B$3, "Reliable", IF(M157 &gt;= Sheet3!$B$4, "Mixed Reviews", "Low Reliability")))))</f>
        <v>Reliable</v>
      </c>
    </row>
    <row r="158">
      <c r="A158" s="3">
        <f t="shared" si="1"/>
        <v>157</v>
      </c>
      <c r="B158" s="16" t="s">
        <v>1319</v>
      </c>
      <c r="C158" s="16">
        <v>39.4311561</v>
      </c>
      <c r="D158" s="16">
        <v>-76.3294448</v>
      </c>
      <c r="E158" s="16" t="s">
        <v>1320</v>
      </c>
      <c r="F158" s="16" t="s">
        <v>1321</v>
      </c>
      <c r="G158" s="16" t="s">
        <v>1322</v>
      </c>
      <c r="H158" s="16" t="s">
        <v>1323</v>
      </c>
      <c r="I158" s="16" t="s">
        <v>71</v>
      </c>
      <c r="J158" s="16" t="s">
        <v>1324</v>
      </c>
      <c r="K158" s="18" t="s">
        <v>1325</v>
      </c>
      <c r="L158" s="16" t="s">
        <v>1326</v>
      </c>
      <c r="M158" s="16">
        <v>73.62427947</v>
      </c>
      <c r="N158" s="16">
        <v>69.31550219</v>
      </c>
      <c r="O158" s="16" t="s">
        <v>1327</v>
      </c>
      <c r="P158" s="1">
        <v>8312026.0</v>
      </c>
      <c r="Q158" s="7" t="str">
        <f>IF(OR(ISBLANK(M158), ISBLANK(N158)), "", IF(N158 &lt; Sheet3!$B$6, "Insufficient Reviews", IF(M158 &gt;= Sheet3!$B$2, "Highly Reliable", IF(M158 &gt;= Sheet3!$B$3, "Reliable", IF(M158 &gt;= Sheet3!$B$4, "Mixed Reviews", "Low Reliability")))))</f>
        <v>Reliable</v>
      </c>
    </row>
    <row r="159">
      <c r="A159" s="3">
        <f t="shared" si="1"/>
        <v>158</v>
      </c>
      <c r="B159" s="16" t="s">
        <v>1328</v>
      </c>
      <c r="C159" s="16">
        <v>39.1205558</v>
      </c>
      <c r="D159" s="16">
        <v>-76.5186767</v>
      </c>
      <c r="E159" s="16" t="s">
        <v>1329</v>
      </c>
      <c r="F159" s="16" t="s">
        <v>1330</v>
      </c>
      <c r="G159" s="16" t="s">
        <v>1331</v>
      </c>
      <c r="H159" s="16" t="s">
        <v>908</v>
      </c>
      <c r="I159" s="16" t="s">
        <v>91</v>
      </c>
      <c r="J159" s="16" t="s">
        <v>1332</v>
      </c>
      <c r="K159" s="18" t="s">
        <v>1333</v>
      </c>
      <c r="L159" s="16" t="s">
        <v>1334</v>
      </c>
      <c r="M159" s="16">
        <v>78.64891395</v>
      </c>
      <c r="N159" s="16">
        <v>71.74327617</v>
      </c>
      <c r="O159" s="16" t="s">
        <v>1335</v>
      </c>
      <c r="P159" s="1">
        <v>8312026.0</v>
      </c>
      <c r="Q159" s="7" t="str">
        <f>IF(OR(ISBLANK(M159), ISBLANK(N159)), "", IF(N159 &lt; Sheet3!$B$6, "Insufficient Reviews", IF(M159 &gt;= Sheet3!$B$2, "Highly Reliable", IF(M159 &gt;= Sheet3!$B$3, "Reliable", IF(M159 &gt;= Sheet3!$B$4, "Mixed Reviews", "Low Reliability")))))</f>
        <v>Reliable</v>
      </c>
    </row>
    <row r="160">
      <c r="A160" s="3">
        <f t="shared" si="1"/>
        <v>159</v>
      </c>
      <c r="B160" s="16" t="s">
        <v>1336</v>
      </c>
      <c r="C160" s="16">
        <v>39.4049479</v>
      </c>
      <c r="D160" s="16">
        <v>-76.9606154</v>
      </c>
      <c r="E160" s="16" t="s">
        <v>1337</v>
      </c>
      <c r="F160" s="16" t="s">
        <v>1338</v>
      </c>
      <c r="G160" s="17"/>
      <c r="H160" s="16" t="s">
        <v>1339</v>
      </c>
      <c r="I160" s="16" t="s">
        <v>71</v>
      </c>
      <c r="J160" s="16" t="s">
        <v>1340</v>
      </c>
      <c r="K160" s="18" t="s">
        <v>1341</v>
      </c>
      <c r="L160" s="16" t="s">
        <v>1342</v>
      </c>
      <c r="M160" s="16">
        <v>76.77201152</v>
      </c>
      <c r="N160" s="16">
        <v>57.17299971</v>
      </c>
      <c r="O160" s="16" t="s">
        <v>1343</v>
      </c>
      <c r="P160" s="1">
        <v>8312026.0</v>
      </c>
      <c r="Q160" s="7" t="str">
        <f>IF(OR(ISBLANK(M160), ISBLANK(N160)), "", IF(N160 &lt; Sheet3!$B$6, "Insufficient Reviews", IF(M160 &gt;= Sheet3!$B$2, "Highly Reliable", IF(M160 &gt;= Sheet3!$B$3, "Reliable", IF(M160 &gt;= Sheet3!$B$4, "Mixed Reviews", "Low Reliability")))))</f>
        <v>Reliable</v>
      </c>
    </row>
    <row r="161">
      <c r="A161" s="3">
        <f t="shared" si="1"/>
        <v>160</v>
      </c>
      <c r="B161" s="16" t="s">
        <v>1344</v>
      </c>
      <c r="C161" s="16">
        <v>39.1701223</v>
      </c>
      <c r="D161" s="16">
        <v>-77.1189273</v>
      </c>
      <c r="E161" s="16" t="s">
        <v>1345</v>
      </c>
      <c r="F161" s="16" t="s">
        <v>1346</v>
      </c>
      <c r="G161" s="17"/>
      <c r="H161" s="16" t="s">
        <v>1347</v>
      </c>
      <c r="I161" s="16" t="s">
        <v>71</v>
      </c>
      <c r="J161" s="16" t="s">
        <v>1348</v>
      </c>
      <c r="K161" s="18" t="s">
        <v>1349</v>
      </c>
      <c r="L161" s="16" t="s">
        <v>1350</v>
      </c>
      <c r="M161" s="16">
        <v>72.0</v>
      </c>
      <c r="N161" s="16">
        <v>37.90283464</v>
      </c>
      <c r="O161" s="16" t="s">
        <v>1351</v>
      </c>
      <c r="P161" s="1">
        <v>8312026.0</v>
      </c>
      <c r="Q161" s="7" t="str">
        <f>IF(OR(ISBLANK(M161), ISBLANK(N161)), "", IF(N161 &lt; Sheet3!$B$6, "Insufficient Reviews", IF(M161 &gt;= Sheet3!$B$2, "Highly Reliable", IF(M161 &gt;= Sheet3!$B$3, "Reliable", IF(M161 &gt;= Sheet3!$B$4, "Mixed Reviews", "Low Reliability")))))</f>
        <v>Insufficient Reviews</v>
      </c>
    </row>
    <row r="162">
      <c r="A162" s="3">
        <f t="shared" si="1"/>
        <v>161</v>
      </c>
      <c r="B162" s="16" t="s">
        <v>1352</v>
      </c>
      <c r="C162" s="16">
        <v>39.4364903</v>
      </c>
      <c r="D162" s="16">
        <v>-76.3154058</v>
      </c>
      <c r="E162" s="16" t="s">
        <v>1353</v>
      </c>
      <c r="F162" s="16" t="s">
        <v>1354</v>
      </c>
      <c r="G162" s="16" t="s">
        <v>1355</v>
      </c>
      <c r="H162" s="16" t="s">
        <v>1356</v>
      </c>
      <c r="I162" s="16" t="s">
        <v>35</v>
      </c>
      <c r="J162" s="16" t="s">
        <v>1357</v>
      </c>
      <c r="K162" s="18" t="s">
        <v>1358</v>
      </c>
      <c r="L162" s="16" t="s">
        <v>1359</v>
      </c>
      <c r="M162" s="16">
        <v>84.95382365</v>
      </c>
      <c r="N162" s="16">
        <v>73.81803763</v>
      </c>
      <c r="O162" s="16" t="s">
        <v>1360</v>
      </c>
      <c r="P162" s="1">
        <v>8312026.0</v>
      </c>
      <c r="Q162" s="7" t="str">
        <f>IF(OR(ISBLANK(M162), ISBLANK(N162)), "", IF(N162 &lt; Sheet3!$B$6, "Insufficient Reviews", IF(M162 &gt;= Sheet3!$B$2, "Highly Reliable", IF(M162 &gt;= Sheet3!$B$3, "Reliable", IF(M162 &gt;= Sheet3!$B$4, "Mixed Reviews", "Low Reliability")))))</f>
        <v>Highly Reliable</v>
      </c>
    </row>
    <row r="163">
      <c r="A163" s="3">
        <f t="shared" si="1"/>
        <v>162</v>
      </c>
      <c r="B163" s="16" t="s">
        <v>1361</v>
      </c>
      <c r="C163" s="16">
        <v>39.4069757</v>
      </c>
      <c r="D163" s="16">
        <v>-76.9645939</v>
      </c>
      <c r="E163" s="16" t="s">
        <v>1362</v>
      </c>
      <c r="F163" s="16" t="s">
        <v>1363</v>
      </c>
      <c r="G163" s="16" t="s">
        <v>1364</v>
      </c>
      <c r="H163" s="16" t="s">
        <v>1365</v>
      </c>
      <c r="I163" s="16" t="s">
        <v>71</v>
      </c>
      <c r="J163" s="16" t="s">
        <v>1366</v>
      </c>
      <c r="K163" s="18" t="s">
        <v>1367</v>
      </c>
      <c r="L163" s="16" t="s">
        <v>1368</v>
      </c>
      <c r="M163" s="16">
        <v>78.0434211</v>
      </c>
      <c r="N163" s="16">
        <v>71.65801223</v>
      </c>
      <c r="O163" s="16" t="s">
        <v>1369</v>
      </c>
      <c r="P163" s="1">
        <v>8312026.0</v>
      </c>
      <c r="Q163" s="7" t="str">
        <f>IF(OR(ISBLANK(M163), ISBLANK(N163)), "", IF(N163 &lt; Sheet3!$B$6, "Insufficient Reviews", IF(M163 &gt;= Sheet3!$B$2, "Highly Reliable", IF(M163 &gt;= Sheet3!$B$3, "Reliable", IF(M163 &gt;= Sheet3!$B$4, "Mixed Reviews", "Low Reliability")))))</f>
        <v>Reliable</v>
      </c>
    </row>
    <row r="164">
      <c r="A164" s="3">
        <f t="shared" si="1"/>
        <v>163</v>
      </c>
      <c r="B164" s="16" t="s">
        <v>1370</v>
      </c>
      <c r="C164" s="16">
        <v>39.0985742</v>
      </c>
      <c r="D164" s="16">
        <v>-76.6888415</v>
      </c>
      <c r="E164" s="16" t="s">
        <v>1371</v>
      </c>
      <c r="F164" s="16" t="s">
        <v>1372</v>
      </c>
      <c r="G164" s="16" t="s">
        <v>1373</v>
      </c>
      <c r="H164" s="16" t="s">
        <v>1374</v>
      </c>
      <c r="I164" s="16" t="s">
        <v>71</v>
      </c>
      <c r="J164" s="16" t="s">
        <v>1375</v>
      </c>
      <c r="K164" s="18" t="s">
        <v>1376</v>
      </c>
      <c r="L164" s="16" t="s">
        <v>1377</v>
      </c>
      <c r="M164" s="16">
        <v>76.21960755</v>
      </c>
      <c r="N164" s="16">
        <v>65.96307898</v>
      </c>
      <c r="O164" s="16" t="s">
        <v>1378</v>
      </c>
      <c r="P164" s="1">
        <v>8312026.0</v>
      </c>
      <c r="Q164" s="7" t="str">
        <f>IF(OR(ISBLANK(M164), ISBLANK(N164)), "", IF(N164 &lt; Sheet3!$B$6, "Insufficient Reviews", IF(M164 &gt;= Sheet3!$B$2, "Highly Reliable", IF(M164 &gt;= Sheet3!$B$3, "Reliable", IF(M164 &gt;= Sheet3!$B$4, "Mixed Reviews", "Low Reliability")))))</f>
        <v>Reliable</v>
      </c>
    </row>
    <row r="165">
      <c r="A165" s="3">
        <f t="shared" si="1"/>
        <v>164</v>
      </c>
      <c r="B165" s="16" t="s">
        <v>1379</v>
      </c>
      <c r="C165" s="16">
        <v>39.4181254</v>
      </c>
      <c r="D165" s="16">
        <v>-76.3070182</v>
      </c>
      <c r="E165" s="16" t="s">
        <v>1380</v>
      </c>
      <c r="F165" s="16" t="s">
        <v>1381</v>
      </c>
      <c r="G165" s="16" t="s">
        <v>1382</v>
      </c>
      <c r="H165" s="16" t="s">
        <v>1383</v>
      </c>
      <c r="I165" s="16" t="s">
        <v>71</v>
      </c>
      <c r="J165" s="16" t="s">
        <v>1384</v>
      </c>
      <c r="K165" s="18" t="s">
        <v>1385</v>
      </c>
      <c r="L165" s="16" t="s">
        <v>1386</v>
      </c>
      <c r="M165" s="16">
        <v>69.12775327</v>
      </c>
      <c r="N165" s="16">
        <v>55.31824715</v>
      </c>
      <c r="O165" s="16" t="s">
        <v>1387</v>
      </c>
      <c r="P165" s="1">
        <v>8312026.0</v>
      </c>
      <c r="Q165" s="7" t="str">
        <f>IF(OR(ISBLANK(M165), ISBLANK(N165)), "", IF(N165 &lt; Sheet3!$B$6, "Insufficient Reviews", IF(M165 &gt;= Sheet3!$B$2, "Highly Reliable", IF(M165 &gt;= Sheet3!$B$3, "Reliable", IF(M165 &gt;= Sheet3!$B$4, "Mixed Reviews", "Low Reliability")))))</f>
        <v>Mixed Reviews</v>
      </c>
    </row>
    <row r="166">
      <c r="A166" s="3">
        <f t="shared" si="1"/>
        <v>165</v>
      </c>
      <c r="B166" s="16" t="s">
        <v>1388</v>
      </c>
      <c r="C166" s="16">
        <v>39.5310745</v>
      </c>
      <c r="D166" s="16">
        <v>-76.3422241</v>
      </c>
      <c r="E166" s="16" t="s">
        <v>1389</v>
      </c>
      <c r="F166" s="16" t="s">
        <v>1390</v>
      </c>
      <c r="G166" s="16" t="s">
        <v>1391</v>
      </c>
      <c r="H166" s="16" t="s">
        <v>1392</v>
      </c>
      <c r="I166" s="16" t="s">
        <v>71</v>
      </c>
      <c r="J166" s="16" t="s">
        <v>1393</v>
      </c>
      <c r="K166" s="18" t="s">
        <v>1394</v>
      </c>
      <c r="L166" s="16" t="s">
        <v>1395</v>
      </c>
      <c r="M166" s="16">
        <v>83.19235123</v>
      </c>
      <c r="N166" s="16">
        <v>49.32432978</v>
      </c>
      <c r="O166" s="16" t="s">
        <v>1396</v>
      </c>
      <c r="P166" s="1">
        <v>8312026.0</v>
      </c>
      <c r="Q166" s="7" t="str">
        <f>IF(OR(ISBLANK(M166), ISBLANK(N166)), "", IF(N166 &lt; Sheet3!$B$6, "Insufficient Reviews", IF(M166 &gt;= Sheet3!$B$2, "Highly Reliable", IF(M166 &gt;= Sheet3!$B$3, "Reliable", IF(M166 &gt;= Sheet3!$B$4, "Mixed Reviews", "Low Reliability")))))</f>
        <v>Highly Reliable</v>
      </c>
    </row>
    <row r="167">
      <c r="A167" s="3">
        <f t="shared" si="1"/>
        <v>166</v>
      </c>
      <c r="B167" s="16" t="s">
        <v>1397</v>
      </c>
      <c r="C167" s="16">
        <v>39.275675</v>
      </c>
      <c r="D167" s="16">
        <v>-76.99596</v>
      </c>
      <c r="E167" s="16" t="s">
        <v>1398</v>
      </c>
      <c r="F167" s="16" t="s">
        <v>1399</v>
      </c>
      <c r="G167" s="17"/>
      <c r="H167" s="16" t="s">
        <v>1400</v>
      </c>
      <c r="I167" s="16" t="s">
        <v>71</v>
      </c>
      <c r="J167" s="16" t="s">
        <v>1401</v>
      </c>
      <c r="K167" s="18" t="s">
        <v>1402</v>
      </c>
      <c r="L167" s="16" t="s">
        <v>1403</v>
      </c>
      <c r="M167" s="16">
        <v>73.76046435</v>
      </c>
      <c r="N167" s="16">
        <v>50.5083788</v>
      </c>
      <c r="O167" s="16" t="s">
        <v>1404</v>
      </c>
      <c r="P167" s="1">
        <v>8312026.0</v>
      </c>
      <c r="Q167" s="7" t="str">
        <f>IF(OR(ISBLANK(M167), ISBLANK(N167)), "", IF(N167 &lt; Sheet3!$B$6, "Insufficient Reviews", IF(M167 &gt;= Sheet3!$B$2, "Highly Reliable", IF(M167 &gt;= Sheet3!$B$3, "Reliable", IF(M167 &gt;= Sheet3!$B$4, "Mixed Reviews", "Low Reliability")))))</f>
        <v>Reliable</v>
      </c>
    </row>
    <row r="168">
      <c r="A168" s="3">
        <f t="shared" si="1"/>
        <v>167</v>
      </c>
      <c r="B168" s="16" t="s">
        <v>1405</v>
      </c>
      <c r="C168" s="16">
        <v>39.1675914</v>
      </c>
      <c r="D168" s="16">
        <v>-76.9442761</v>
      </c>
      <c r="E168" s="16" t="s">
        <v>1406</v>
      </c>
      <c r="F168" s="16" t="s">
        <v>1407</v>
      </c>
      <c r="G168" s="16" t="s">
        <v>1408</v>
      </c>
      <c r="H168" s="16" t="s">
        <v>1409</v>
      </c>
      <c r="I168" s="16" t="s">
        <v>71</v>
      </c>
      <c r="J168" s="16" t="s">
        <v>1410</v>
      </c>
      <c r="K168" s="17"/>
      <c r="L168" s="16" t="s">
        <v>1411</v>
      </c>
      <c r="M168" s="16">
        <v>68.9885981</v>
      </c>
      <c r="N168" s="16">
        <v>34.51827382</v>
      </c>
      <c r="O168" s="16" t="s">
        <v>1412</v>
      </c>
      <c r="P168" s="1">
        <v>8312026.0</v>
      </c>
      <c r="Q168" s="7" t="str">
        <f>IF(OR(ISBLANK(M168), ISBLANK(N168)), "", IF(N168 &lt; Sheet3!$B$6, "Insufficient Reviews", IF(M168 &gt;= Sheet3!$B$2, "Highly Reliable", IF(M168 &gt;= Sheet3!$B$3, "Reliable", IF(M168 &gt;= Sheet3!$B$4, "Mixed Reviews", "Low Reliability")))))</f>
        <v>Insufficient Reviews</v>
      </c>
    </row>
    <row r="169">
      <c r="A169" s="3">
        <f t="shared" si="1"/>
        <v>168</v>
      </c>
      <c r="B169" s="16" t="s">
        <v>1413</v>
      </c>
      <c r="C169" s="16">
        <v>39.387222</v>
      </c>
      <c r="D169" s="16">
        <v>-77.055667</v>
      </c>
      <c r="E169" s="16" t="s">
        <v>1414</v>
      </c>
      <c r="F169" s="16" t="s">
        <v>1415</v>
      </c>
      <c r="G169" s="16" t="s">
        <v>1416</v>
      </c>
      <c r="H169" s="16" t="s">
        <v>1417</v>
      </c>
      <c r="I169" s="16" t="s">
        <v>71</v>
      </c>
      <c r="J169" s="16" t="s">
        <v>1418</v>
      </c>
      <c r="K169" s="18" t="s">
        <v>1419</v>
      </c>
      <c r="L169" s="16" t="s">
        <v>1420</v>
      </c>
      <c r="M169" s="16">
        <v>82.86693877</v>
      </c>
      <c r="N169" s="16">
        <v>73.08333299</v>
      </c>
      <c r="O169" s="16" t="s">
        <v>1421</v>
      </c>
      <c r="P169" s="1">
        <v>8312026.0</v>
      </c>
      <c r="Q169" s="7" t="str">
        <f>IF(OR(ISBLANK(M169), ISBLANK(N169)), "", IF(N169 &lt; Sheet3!$B$6, "Insufficient Reviews", IF(M169 &gt;= Sheet3!$B$2, "Highly Reliable", IF(M169 &gt;= Sheet3!$B$3, "Reliable", IF(M169 &gt;= Sheet3!$B$4, "Mixed Reviews", "Low Reliability")))))</f>
        <v>Highly Reliable</v>
      </c>
    </row>
    <row r="170">
      <c r="A170" s="3">
        <f t="shared" si="1"/>
        <v>169</v>
      </c>
      <c r="B170" s="16" t="s">
        <v>1422</v>
      </c>
      <c r="C170" s="16">
        <v>39.4398063</v>
      </c>
      <c r="D170" s="16">
        <v>-77.0545944</v>
      </c>
      <c r="E170" s="16" t="s">
        <v>1337</v>
      </c>
      <c r="F170" s="16" t="s">
        <v>1423</v>
      </c>
      <c r="G170" s="16" t="s">
        <v>1424</v>
      </c>
      <c r="H170" s="16" t="s">
        <v>1425</v>
      </c>
      <c r="I170" s="16" t="s">
        <v>71</v>
      </c>
      <c r="J170" s="16" t="s">
        <v>1426</v>
      </c>
      <c r="K170" s="18" t="s">
        <v>1427</v>
      </c>
      <c r="L170" s="16" t="s">
        <v>1428</v>
      </c>
      <c r="M170" s="16">
        <v>74.91132908</v>
      </c>
      <c r="N170" s="16">
        <v>52.95920516</v>
      </c>
      <c r="O170" s="16" t="s">
        <v>1429</v>
      </c>
      <c r="P170" s="1">
        <v>8312026.0</v>
      </c>
      <c r="Q170" s="7" t="str">
        <f>IF(OR(ISBLANK(M170), ISBLANK(N170)), "", IF(N170 &lt; Sheet3!$B$6, "Insufficient Reviews", IF(M170 &gt;= Sheet3!$B$2, "Highly Reliable", IF(M170 &gt;= Sheet3!$B$3, "Reliable", IF(M170 &gt;= Sheet3!$B$4, "Mixed Reviews", "Low Reliability")))))</f>
        <v>Reliable</v>
      </c>
    </row>
    <row r="171">
      <c r="A171" s="3">
        <f t="shared" si="1"/>
        <v>170</v>
      </c>
      <c r="B171" s="16" t="s">
        <v>1430</v>
      </c>
      <c r="C171" s="16">
        <v>39.5921079</v>
      </c>
      <c r="D171" s="16">
        <v>-76.9692971</v>
      </c>
      <c r="E171" s="16" t="s">
        <v>1431</v>
      </c>
      <c r="F171" s="16" t="s">
        <v>1432</v>
      </c>
      <c r="G171" s="16" t="s">
        <v>1433</v>
      </c>
      <c r="H171" s="16" t="s">
        <v>1434</v>
      </c>
      <c r="I171" s="16" t="s">
        <v>71</v>
      </c>
      <c r="J171" s="16" t="s">
        <v>1435</v>
      </c>
      <c r="K171" s="18" t="s">
        <v>1436</v>
      </c>
      <c r="L171" s="16" t="s">
        <v>1437</v>
      </c>
      <c r="M171" s="16">
        <v>79.77234026</v>
      </c>
      <c r="N171" s="16">
        <v>90.86579774</v>
      </c>
      <c r="O171" s="16" t="s">
        <v>1438</v>
      </c>
      <c r="P171" s="1">
        <v>8312026.0</v>
      </c>
      <c r="Q171" s="7" t="str">
        <f>IF(OR(ISBLANK(M171), ISBLANK(N171)), "", IF(N171 &lt; Sheet3!$B$6, "Insufficient Reviews", IF(M171 &gt;= Sheet3!$B$2, "Highly Reliable", IF(M171 &gt;= Sheet3!$B$3, "Reliable", IF(M171 &gt;= Sheet3!$B$4, "Mixed Reviews", "Low Reliability")))))</f>
        <v>Reliable</v>
      </c>
    </row>
    <row r="172">
      <c r="A172" s="3">
        <f t="shared" si="1"/>
        <v>171</v>
      </c>
      <c r="B172" s="16" t="s">
        <v>1439</v>
      </c>
      <c r="C172" s="16">
        <v>39.5926304</v>
      </c>
      <c r="D172" s="16">
        <v>-76.973887</v>
      </c>
      <c r="E172" s="16" t="s">
        <v>1440</v>
      </c>
      <c r="F172" s="16" t="s">
        <v>1441</v>
      </c>
      <c r="G172" s="16" t="s">
        <v>1442</v>
      </c>
      <c r="H172" s="16" t="s">
        <v>62</v>
      </c>
      <c r="I172" s="16" t="s">
        <v>44</v>
      </c>
      <c r="J172" s="16" t="s">
        <v>1443</v>
      </c>
      <c r="K172" s="18" t="s">
        <v>1444</v>
      </c>
      <c r="L172" s="16" t="s">
        <v>1445</v>
      </c>
      <c r="M172" s="16">
        <v>66.84111639</v>
      </c>
      <c r="N172" s="16">
        <v>52.23843895</v>
      </c>
      <c r="O172" s="16" t="s">
        <v>1446</v>
      </c>
      <c r="P172" s="1">
        <v>8312026.0</v>
      </c>
      <c r="Q172" s="7" t="str">
        <f>IF(OR(ISBLANK(M172), ISBLANK(N172)), "", IF(N172 &lt; Sheet3!$B$6, "Insufficient Reviews", IF(M172 &gt;= Sheet3!$B$2, "Highly Reliable", IF(M172 &gt;= Sheet3!$B$3, "Reliable", IF(M172 &gt;= Sheet3!$B$4, "Mixed Reviews", "Low Reliability")))))</f>
        <v>Mixed Reviews</v>
      </c>
    </row>
    <row r="173">
      <c r="A173" s="3">
        <f t="shared" si="1"/>
        <v>172</v>
      </c>
      <c r="B173" s="16" t="s">
        <v>1447</v>
      </c>
      <c r="C173" s="16">
        <v>39.5759642</v>
      </c>
      <c r="D173" s="16">
        <v>-76.9940772</v>
      </c>
      <c r="E173" s="16" t="s">
        <v>1448</v>
      </c>
      <c r="F173" s="16" t="s">
        <v>1449</v>
      </c>
      <c r="G173" s="16" t="s">
        <v>1450</v>
      </c>
      <c r="H173" s="16" t="s">
        <v>1451</v>
      </c>
      <c r="I173" s="16" t="s">
        <v>71</v>
      </c>
      <c r="J173" s="16" t="s">
        <v>1452</v>
      </c>
      <c r="K173" s="18" t="s">
        <v>1453</v>
      </c>
      <c r="L173" s="16" t="s">
        <v>1454</v>
      </c>
      <c r="M173" s="16">
        <v>80.77120363</v>
      </c>
      <c r="N173" s="16">
        <v>72.47388589</v>
      </c>
      <c r="O173" s="16" t="s">
        <v>1455</v>
      </c>
      <c r="P173" s="1">
        <v>8312026.0</v>
      </c>
      <c r="Q173" s="7" t="str">
        <f>IF(OR(ISBLANK(M173), ISBLANK(N173)), "", IF(N173 &lt; Sheet3!$B$6, "Insufficient Reviews", IF(M173 &gt;= Sheet3!$B$2, "Highly Reliable", IF(M173 &gt;= Sheet3!$B$3, "Reliable", IF(M173 &gt;= Sheet3!$B$4, "Mixed Reviews", "Low Reliability")))))</f>
        <v>Reliable</v>
      </c>
    </row>
    <row r="174">
      <c r="A174" s="3">
        <f t="shared" si="1"/>
        <v>173</v>
      </c>
      <c r="B174" s="16" t="s">
        <v>1456</v>
      </c>
      <c r="C174" s="16">
        <v>39.6684076</v>
      </c>
      <c r="D174" s="16">
        <v>-76.3775102</v>
      </c>
      <c r="E174" s="16" t="s">
        <v>1457</v>
      </c>
      <c r="F174" s="16" t="s">
        <v>1458</v>
      </c>
      <c r="G174" s="16" t="s">
        <v>1459</v>
      </c>
      <c r="H174" s="16" t="s">
        <v>1460</v>
      </c>
      <c r="I174" s="16" t="s">
        <v>71</v>
      </c>
      <c r="J174" s="16" t="s">
        <v>1461</v>
      </c>
      <c r="K174" s="18" t="s">
        <v>1462</v>
      </c>
      <c r="L174" s="16" t="s">
        <v>1463</v>
      </c>
      <c r="M174" s="16">
        <v>83.48128388</v>
      </c>
      <c r="N174" s="16">
        <v>67.10705149</v>
      </c>
      <c r="O174" s="16" t="s">
        <v>1464</v>
      </c>
      <c r="P174" s="1">
        <v>8312026.0</v>
      </c>
      <c r="Q174" s="7" t="str">
        <f>IF(OR(ISBLANK(M174), ISBLANK(N174)), "", IF(N174 &lt; Sheet3!$B$6, "Insufficient Reviews", IF(M174 &gt;= Sheet3!$B$2, "Highly Reliable", IF(M174 &gt;= Sheet3!$B$3, "Reliable", IF(M174 &gt;= Sheet3!$B$4, "Mixed Reviews", "Low Reliability")))))</f>
        <v>Highly Reliable</v>
      </c>
    </row>
    <row r="175">
      <c r="A175" s="3">
        <f t="shared" si="1"/>
        <v>174</v>
      </c>
      <c r="B175" s="16" t="s">
        <v>1465</v>
      </c>
      <c r="C175" s="16">
        <v>38.984102</v>
      </c>
      <c r="D175" s="16">
        <v>-76.5338299</v>
      </c>
      <c r="E175" s="16" t="s">
        <v>1466</v>
      </c>
      <c r="F175" s="16" t="s">
        <v>1467</v>
      </c>
      <c r="G175" s="17"/>
      <c r="H175" s="16" t="s">
        <v>135</v>
      </c>
      <c r="I175" s="16" t="s">
        <v>81</v>
      </c>
      <c r="J175" s="16" t="s">
        <v>1468</v>
      </c>
      <c r="K175" s="18" t="s">
        <v>1469</v>
      </c>
      <c r="L175" s="16" t="s">
        <v>1470</v>
      </c>
      <c r="M175" s="16">
        <v>77.46948049</v>
      </c>
      <c r="N175" s="16">
        <v>70.39563278</v>
      </c>
      <c r="O175" s="16" t="s">
        <v>1471</v>
      </c>
      <c r="P175" s="1">
        <v>8312026.0</v>
      </c>
      <c r="Q175" s="7" t="str">
        <f>IF(OR(ISBLANK(M175), ISBLANK(N175)), "", IF(N175 &lt; Sheet3!$B$6, "Insufficient Reviews", IF(M175 &gt;= Sheet3!$B$2, "Highly Reliable", IF(M175 &gt;= Sheet3!$B$3, "Reliable", IF(M175 &gt;= Sheet3!$B$4, "Mixed Reviews", "Low Reliability")))))</f>
        <v>Reliable</v>
      </c>
    </row>
    <row r="176">
      <c r="A176" s="3">
        <f t="shared" si="1"/>
        <v>175</v>
      </c>
      <c r="B176" s="16" t="s">
        <v>1472</v>
      </c>
      <c r="C176" s="16">
        <v>39.2340497</v>
      </c>
      <c r="D176" s="16">
        <v>-76.6062104</v>
      </c>
      <c r="E176" s="16" t="s">
        <v>1473</v>
      </c>
      <c r="F176" s="16" t="s">
        <v>1474</v>
      </c>
      <c r="G176" s="16" t="s">
        <v>1475</v>
      </c>
      <c r="H176" s="16" t="s">
        <v>1476</v>
      </c>
      <c r="I176" s="16" t="s">
        <v>35</v>
      </c>
      <c r="J176" s="16" t="s">
        <v>1477</v>
      </c>
      <c r="K176" s="18" t="s">
        <v>1478</v>
      </c>
      <c r="L176" s="16" t="s">
        <v>1479</v>
      </c>
      <c r="M176" s="16">
        <v>16.5</v>
      </c>
      <c r="N176" s="16">
        <v>31.83333333</v>
      </c>
      <c r="O176" s="16" t="s">
        <v>290</v>
      </c>
      <c r="P176" s="1">
        <v>8312026.0</v>
      </c>
      <c r="Q176" s="7" t="str">
        <f>IF(OR(ISBLANK(M176), ISBLANK(N176)), "", IF(N176 &lt; Sheet3!$B$6, "Insufficient Reviews", IF(M176 &gt;= Sheet3!$B$2, "Highly Reliable", IF(M176 &gt;= Sheet3!$B$3, "Reliable", IF(M176 &gt;= Sheet3!$B$4, "Mixed Reviews", "Low Reliability")))))</f>
        <v>Insufficient Reviews</v>
      </c>
    </row>
    <row r="177">
      <c r="A177" s="3">
        <f t="shared" si="1"/>
        <v>176</v>
      </c>
      <c r="B177" s="16" t="s">
        <v>1480</v>
      </c>
      <c r="C177" s="16">
        <v>39.135983</v>
      </c>
      <c r="D177" s="16">
        <v>-76.2323454</v>
      </c>
      <c r="E177" s="16" t="s">
        <v>1481</v>
      </c>
      <c r="F177" s="16" t="s">
        <v>1482</v>
      </c>
      <c r="G177" s="17"/>
      <c r="H177" s="16" t="s">
        <v>1483</v>
      </c>
      <c r="I177" s="16" t="s">
        <v>27</v>
      </c>
      <c r="J177" s="16" t="s">
        <v>1484</v>
      </c>
      <c r="K177" s="18" t="s">
        <v>1485</v>
      </c>
      <c r="L177" s="16" t="s">
        <v>1486</v>
      </c>
      <c r="M177" s="16">
        <v>80.92201963</v>
      </c>
      <c r="N177" s="16">
        <v>60.10243408</v>
      </c>
      <c r="O177" s="16" t="s">
        <v>1487</v>
      </c>
      <c r="P177" s="1">
        <v>8312026.0</v>
      </c>
      <c r="Q177" s="7" t="str">
        <f>IF(OR(ISBLANK(M177), ISBLANK(N177)), "", IF(N177 &lt; Sheet3!$B$6, "Insufficient Reviews", IF(M177 &gt;= Sheet3!$B$2, "Highly Reliable", IF(M177 &gt;= Sheet3!$B$3, "Reliable", IF(M177 &gt;= Sheet3!$B$4, "Mixed Reviews", "Low Reliability")))))</f>
        <v>Reliable</v>
      </c>
    </row>
    <row r="178">
      <c r="A178" s="3">
        <f t="shared" si="1"/>
        <v>177</v>
      </c>
      <c r="B178" s="16" t="s">
        <v>1488</v>
      </c>
      <c r="C178" s="16">
        <v>39.5097603</v>
      </c>
      <c r="D178" s="16">
        <v>-76.1658297</v>
      </c>
      <c r="E178" s="16" t="s">
        <v>1489</v>
      </c>
      <c r="F178" s="16" t="s">
        <v>1490</v>
      </c>
      <c r="G178" s="16" t="s">
        <v>1491</v>
      </c>
      <c r="H178" s="16" t="s">
        <v>1492</v>
      </c>
      <c r="I178" s="16" t="s">
        <v>71</v>
      </c>
      <c r="J178" s="16" t="s">
        <v>1493</v>
      </c>
      <c r="K178" s="18" t="s">
        <v>1494</v>
      </c>
      <c r="L178" s="16" t="s">
        <v>1495</v>
      </c>
      <c r="M178" s="16">
        <v>81.2637798</v>
      </c>
      <c r="N178" s="16">
        <v>69.49490082</v>
      </c>
      <c r="O178" s="16" t="s">
        <v>1496</v>
      </c>
      <c r="P178" s="1">
        <v>8312026.0</v>
      </c>
      <c r="Q178" s="7" t="str">
        <f>IF(OR(ISBLANK(M178), ISBLANK(N178)), "", IF(N178 &lt; Sheet3!$B$6, "Insufficient Reviews", IF(M178 &gt;= Sheet3!$B$2, "Highly Reliable", IF(M178 &gt;= Sheet3!$B$3, "Reliable", IF(M178 &gt;= Sheet3!$B$4, "Mixed Reviews", "Low Reliability")))))</f>
        <v>Reliable</v>
      </c>
    </row>
    <row r="179">
      <c r="A179" s="3">
        <f t="shared" si="1"/>
        <v>178</v>
      </c>
      <c r="B179" s="16" t="s">
        <v>1497</v>
      </c>
      <c r="C179" s="16">
        <v>39.5215595</v>
      </c>
      <c r="D179" s="16">
        <v>-76.1894272</v>
      </c>
      <c r="E179" s="16" t="s">
        <v>1498</v>
      </c>
      <c r="F179" s="16" t="s">
        <v>1499</v>
      </c>
      <c r="G179" s="16" t="s">
        <v>1500</v>
      </c>
      <c r="H179" s="16" t="s">
        <v>1501</v>
      </c>
      <c r="I179" s="16" t="s">
        <v>71</v>
      </c>
      <c r="J179" s="16" t="s">
        <v>1502</v>
      </c>
      <c r="K179" s="18" t="s">
        <v>1358</v>
      </c>
      <c r="L179" s="16" t="s">
        <v>1503</v>
      </c>
      <c r="M179" s="16">
        <v>54.47299277</v>
      </c>
      <c r="N179" s="16">
        <v>68.91185729</v>
      </c>
      <c r="O179" s="16" t="s">
        <v>1504</v>
      </c>
      <c r="P179" s="1">
        <v>8312026.0</v>
      </c>
      <c r="Q179" s="7" t="str">
        <f>IF(OR(ISBLANK(M179), ISBLANK(N179)), "", IF(N179 &lt; Sheet3!$B$6, "Insufficient Reviews", IF(M179 &gt;= Sheet3!$B$2, "Highly Reliable", IF(M179 &gt;= Sheet3!$B$3, "Reliable", IF(M179 &gt;= Sheet3!$B$4, "Mixed Reviews", "Low Reliability")))))</f>
        <v>Low Reliability</v>
      </c>
    </row>
    <row r="180">
      <c r="A180" s="3">
        <f t="shared" si="1"/>
        <v>179</v>
      </c>
      <c r="B180" s="16" t="s">
        <v>1505</v>
      </c>
      <c r="C180" s="16">
        <v>39.5030878</v>
      </c>
      <c r="D180" s="16">
        <v>-76.1649839</v>
      </c>
      <c r="E180" s="16" t="s">
        <v>1506</v>
      </c>
      <c r="F180" s="16" t="s">
        <v>1507</v>
      </c>
      <c r="G180" s="16" t="s">
        <v>1508</v>
      </c>
      <c r="H180" s="16" t="s">
        <v>1509</v>
      </c>
      <c r="I180" s="16" t="s">
        <v>35</v>
      </c>
      <c r="J180" s="16" t="s">
        <v>1510</v>
      </c>
      <c r="K180" s="18" t="s">
        <v>1511</v>
      </c>
      <c r="L180" s="16" t="s">
        <v>1512</v>
      </c>
      <c r="M180" s="16">
        <v>15.0</v>
      </c>
      <c r="N180" s="16">
        <v>30.33333333</v>
      </c>
      <c r="O180" s="16" t="s">
        <v>1513</v>
      </c>
      <c r="P180" s="1">
        <v>8312026.0</v>
      </c>
      <c r="Q180" s="7" t="str">
        <f>IF(OR(ISBLANK(M180), ISBLANK(N180)), "", IF(N180 &lt; Sheet3!$B$6, "Insufficient Reviews", IF(M180 &gt;= Sheet3!$B$2, "Highly Reliable", IF(M180 &gt;= Sheet3!$B$3, "Reliable", IF(M180 &gt;= Sheet3!$B$4, "Mixed Reviews", "Low Reliability")))))</f>
        <v>Insufficient Reviews</v>
      </c>
    </row>
    <row r="181">
      <c r="A181" s="3">
        <f t="shared" si="1"/>
        <v>180</v>
      </c>
      <c r="B181" s="16" t="s">
        <v>1514</v>
      </c>
      <c r="C181" s="16">
        <v>38.9259243</v>
      </c>
      <c r="D181" s="16">
        <v>-76.6062236</v>
      </c>
      <c r="E181" s="16" t="s">
        <v>1515</v>
      </c>
      <c r="F181" s="16" t="s">
        <v>1516</v>
      </c>
      <c r="G181" s="16" t="s">
        <v>1517</v>
      </c>
      <c r="H181" s="16" t="s">
        <v>1518</v>
      </c>
      <c r="I181" s="16" t="s">
        <v>71</v>
      </c>
      <c r="J181" s="16" t="s">
        <v>1519</v>
      </c>
      <c r="K181" s="18" t="s">
        <v>1520</v>
      </c>
      <c r="L181" s="16" t="s">
        <v>1521</v>
      </c>
      <c r="M181" s="16">
        <v>74.04420211</v>
      </c>
      <c r="N181" s="16">
        <v>45.2255637</v>
      </c>
      <c r="O181" s="16" t="s">
        <v>1522</v>
      </c>
      <c r="P181" s="1">
        <v>8312026.0</v>
      </c>
      <c r="Q181" s="7" t="str">
        <f>IF(OR(ISBLANK(M181), ISBLANK(N181)), "", IF(N181 &lt; Sheet3!$B$6, "Insufficient Reviews", IF(M181 &gt;= Sheet3!$B$2, "Highly Reliable", IF(M181 &gt;= Sheet3!$B$3, "Reliable", IF(M181 &gt;= Sheet3!$B$4, "Mixed Reviews", "Low Reliability")))))</f>
        <v>Reliable</v>
      </c>
    </row>
    <row r="182">
      <c r="A182" s="3">
        <f t="shared" si="1"/>
        <v>181</v>
      </c>
      <c r="B182" s="16" t="s">
        <v>1523</v>
      </c>
      <c r="C182" s="16">
        <v>39.5360113</v>
      </c>
      <c r="D182" s="16">
        <v>-76.1011561</v>
      </c>
      <c r="E182" s="16" t="s">
        <v>1524</v>
      </c>
      <c r="F182" s="16" t="s">
        <v>1525</v>
      </c>
      <c r="G182" s="17"/>
      <c r="H182" s="16" t="s">
        <v>1526</v>
      </c>
      <c r="I182" s="16" t="s">
        <v>71</v>
      </c>
      <c r="J182" s="16" t="s">
        <v>1527</v>
      </c>
      <c r="K182" s="18" t="s">
        <v>1528</v>
      </c>
      <c r="L182" s="16" t="s">
        <v>1529</v>
      </c>
      <c r="M182" s="16">
        <v>68.74570563</v>
      </c>
      <c r="N182" s="16">
        <v>63.49247193</v>
      </c>
      <c r="O182" s="16" t="s">
        <v>1530</v>
      </c>
      <c r="P182" s="1">
        <v>8312026.0</v>
      </c>
      <c r="Q182" s="7" t="str">
        <f>IF(OR(ISBLANK(M182), ISBLANK(N182)), "", IF(N182 &lt; Sheet3!$B$6, "Insufficient Reviews", IF(M182 &gt;= Sheet3!$B$2, "Highly Reliable", IF(M182 &gt;= Sheet3!$B$3, "Reliable", IF(M182 &gt;= Sheet3!$B$4, "Mixed Reviews", "Low Reliability")))))</f>
        <v>Mixed Reviews</v>
      </c>
    </row>
    <row r="183">
      <c r="A183" s="3">
        <f t="shared" si="1"/>
        <v>182</v>
      </c>
      <c r="B183" s="16" t="s">
        <v>1531</v>
      </c>
      <c r="C183" s="16">
        <v>39.2104692</v>
      </c>
      <c r="D183" s="16">
        <v>-76.0680857</v>
      </c>
      <c r="E183" s="16" t="s">
        <v>1532</v>
      </c>
      <c r="F183" s="16" t="s">
        <v>1533</v>
      </c>
      <c r="G183" s="17"/>
      <c r="H183" s="16" t="s">
        <v>1534</v>
      </c>
      <c r="I183" s="16" t="s">
        <v>71</v>
      </c>
      <c r="J183" s="16" t="s">
        <v>1535</v>
      </c>
      <c r="K183" s="18" t="s">
        <v>1536</v>
      </c>
      <c r="L183" s="16" t="s">
        <v>1537</v>
      </c>
      <c r="M183" s="16">
        <v>71.82705486</v>
      </c>
      <c r="N183" s="16">
        <v>64.99057121</v>
      </c>
      <c r="O183" s="16" t="s">
        <v>1538</v>
      </c>
      <c r="P183" s="1">
        <v>8312026.0</v>
      </c>
      <c r="Q183" s="7" t="str">
        <f>IF(OR(ISBLANK(M183), ISBLANK(N183)), "", IF(N183 &lt; Sheet3!$B$6, "Insufficient Reviews", IF(M183 &gt;= Sheet3!$B$2, "Highly Reliable", IF(M183 &gt;= Sheet3!$B$3, "Reliable", IF(M183 &gt;= Sheet3!$B$4, "Mixed Reviews", "Low Reliability")))))</f>
        <v>Reliable</v>
      </c>
    </row>
    <row r="184">
      <c r="A184" s="3">
        <f t="shared" si="1"/>
        <v>183</v>
      </c>
      <c r="B184" s="16" t="s">
        <v>1539</v>
      </c>
      <c r="C184" s="16">
        <v>39.5605974</v>
      </c>
      <c r="D184" s="16">
        <v>-76.0711233</v>
      </c>
      <c r="E184" s="16" t="s">
        <v>1540</v>
      </c>
      <c r="F184" s="16" t="s">
        <v>1541</v>
      </c>
      <c r="G184" s="16" t="s">
        <v>1542</v>
      </c>
      <c r="H184" s="16" t="s">
        <v>1543</v>
      </c>
      <c r="I184" s="16" t="s">
        <v>71</v>
      </c>
      <c r="J184" s="16" t="s">
        <v>1544</v>
      </c>
      <c r="K184" s="17"/>
      <c r="L184" s="16" t="s">
        <v>1545</v>
      </c>
      <c r="M184" s="16">
        <v>74.35385824</v>
      </c>
      <c r="N184" s="16">
        <v>31.51533446</v>
      </c>
      <c r="O184" s="16" t="s">
        <v>1546</v>
      </c>
      <c r="P184" s="1">
        <v>8312026.0</v>
      </c>
      <c r="Q184" s="7" t="str">
        <f>IF(OR(ISBLANK(M184), ISBLANK(N184)), "", IF(N184 &lt; Sheet3!$B$6, "Insufficient Reviews", IF(M184 &gt;= Sheet3!$B$2, "Highly Reliable", IF(M184 &gt;= Sheet3!$B$3, "Reliable", IF(M184 &gt;= Sheet3!$B$4, "Mixed Reviews", "Low Reliability")))))</f>
        <v>Insufficient Reviews</v>
      </c>
    </row>
    <row r="185">
      <c r="A185" s="3">
        <f t="shared" si="1"/>
        <v>184</v>
      </c>
      <c r="B185" s="16" t="s">
        <v>1547</v>
      </c>
      <c r="C185" s="16">
        <v>39.6301383</v>
      </c>
      <c r="D185" s="16">
        <v>-76.0766677</v>
      </c>
      <c r="E185" s="16" t="s">
        <v>1548</v>
      </c>
      <c r="F185" s="16" t="s">
        <v>1549</v>
      </c>
      <c r="G185" s="16" t="s">
        <v>1550</v>
      </c>
      <c r="H185" s="16" t="s">
        <v>1551</v>
      </c>
      <c r="I185" s="16" t="s">
        <v>71</v>
      </c>
      <c r="J185" s="16" t="s">
        <v>1552</v>
      </c>
      <c r="K185" s="18" t="s">
        <v>1553</v>
      </c>
      <c r="L185" s="16" t="s">
        <v>1554</v>
      </c>
      <c r="M185" s="16">
        <v>81.52526117</v>
      </c>
      <c r="N185" s="16">
        <v>73.4882518</v>
      </c>
      <c r="O185" s="16" t="s">
        <v>1555</v>
      </c>
      <c r="P185" s="1">
        <v>8312026.0</v>
      </c>
      <c r="Q185" s="7" t="str">
        <f>IF(OR(ISBLANK(M185), ISBLANK(N185)), "", IF(N185 &lt; Sheet3!$B$6, "Insufficient Reviews", IF(M185 &gt;= Sheet3!$B$2, "Highly Reliable", IF(M185 &gt;= Sheet3!$B$3, "Reliable", IF(M185 &gt;= Sheet3!$B$4, "Mixed Reviews", "Low Reliability")))))</f>
        <v>Reliable</v>
      </c>
    </row>
    <row r="186">
      <c r="A186" s="3">
        <f t="shared" si="1"/>
        <v>185</v>
      </c>
      <c r="B186" s="16" t="s">
        <v>1556</v>
      </c>
      <c r="C186" s="16">
        <v>39.657358</v>
      </c>
      <c r="D186" s="16">
        <v>-77.180919</v>
      </c>
      <c r="E186" s="16" t="s">
        <v>1557</v>
      </c>
      <c r="F186" s="16" t="s">
        <v>1558</v>
      </c>
      <c r="G186" s="17"/>
      <c r="H186" s="16" t="s">
        <v>1559</v>
      </c>
      <c r="I186" s="16" t="s">
        <v>27</v>
      </c>
      <c r="J186" s="16" t="s">
        <v>1560</v>
      </c>
      <c r="K186" s="17"/>
      <c r="L186" s="16" t="s">
        <v>1561</v>
      </c>
      <c r="M186" s="16">
        <v>72.94474347</v>
      </c>
      <c r="N186" s="16">
        <v>43.44542592</v>
      </c>
      <c r="O186" s="16" t="s">
        <v>1562</v>
      </c>
      <c r="P186" s="1">
        <v>8312026.0</v>
      </c>
      <c r="Q186" s="7" t="str">
        <f>IF(OR(ISBLANK(M186), ISBLANK(N186)), "", IF(N186 &lt; Sheet3!$B$6, "Insufficient Reviews", IF(M186 &gt;= Sheet3!$B$2, "Highly Reliable", IF(M186 &gt;= Sheet3!$B$3, "Reliable", IF(M186 &gt;= Sheet3!$B$4, "Mixed Reviews", "Low Reliability")))))</f>
        <v>Reliable</v>
      </c>
    </row>
    <row r="187">
      <c r="A187" s="3">
        <f t="shared" si="1"/>
        <v>186</v>
      </c>
      <c r="B187" s="16" t="s">
        <v>1563</v>
      </c>
      <c r="C187" s="16">
        <v>38.9897122</v>
      </c>
      <c r="D187" s="16">
        <v>-76.1570662</v>
      </c>
      <c r="E187" s="16" t="s">
        <v>1564</v>
      </c>
      <c r="F187" s="16" t="s">
        <v>1565</v>
      </c>
      <c r="G187" s="16" t="s">
        <v>1566</v>
      </c>
      <c r="H187" s="16" t="s">
        <v>1567</v>
      </c>
      <c r="I187" s="16" t="s">
        <v>71</v>
      </c>
      <c r="J187" s="16" t="s">
        <v>1568</v>
      </c>
      <c r="K187" s="18" t="s">
        <v>1569</v>
      </c>
      <c r="L187" s="16" t="s">
        <v>1570</v>
      </c>
      <c r="M187" s="16">
        <v>84.57979432</v>
      </c>
      <c r="N187" s="16">
        <v>74.16687775</v>
      </c>
      <c r="O187" s="16" t="s">
        <v>1571</v>
      </c>
      <c r="P187" s="1">
        <v>8312026.0</v>
      </c>
      <c r="Q187" s="7" t="str">
        <f>IF(OR(ISBLANK(M187), ISBLANK(N187)), "", IF(N187 &lt; Sheet3!$B$6, "Insufficient Reviews", IF(M187 &gt;= Sheet3!$B$2, "Highly Reliable", IF(M187 &gt;= Sheet3!$B$3, "Reliable", IF(M187 &gt;= Sheet3!$B$4, "Mixed Reviews", "Low Reliability")))))</f>
        <v>Highly Reliable</v>
      </c>
    </row>
    <row r="188">
      <c r="A188" s="3">
        <f t="shared" si="1"/>
        <v>187</v>
      </c>
      <c r="B188" s="16" t="s">
        <v>1572</v>
      </c>
      <c r="C188" s="16">
        <v>39.0474862</v>
      </c>
      <c r="D188" s="16">
        <v>-76.0694914</v>
      </c>
      <c r="E188" s="16" t="s">
        <v>1573</v>
      </c>
      <c r="F188" s="16" t="s">
        <v>1574</v>
      </c>
      <c r="G188" s="17"/>
      <c r="H188" s="16" t="s">
        <v>1575</v>
      </c>
      <c r="I188" s="16" t="s">
        <v>71</v>
      </c>
      <c r="J188" s="16" t="s">
        <v>1576</v>
      </c>
      <c r="K188" s="18" t="s">
        <v>1577</v>
      </c>
      <c r="L188" s="16" t="s">
        <v>1578</v>
      </c>
      <c r="M188" s="16">
        <v>12.0</v>
      </c>
      <c r="N188" s="16">
        <v>31.83333333</v>
      </c>
      <c r="O188" s="16" t="s">
        <v>290</v>
      </c>
      <c r="P188" s="1">
        <v>8312026.0</v>
      </c>
      <c r="Q188" s="7" t="str">
        <f>IF(OR(ISBLANK(M188), ISBLANK(N188)), "", IF(N188 &lt; Sheet3!$B$6, "Insufficient Reviews", IF(M188 &gt;= Sheet3!$B$2, "Highly Reliable", IF(M188 &gt;= Sheet3!$B$3, "Reliable", IF(M188 &gt;= Sheet3!$B$4, "Mixed Reviews", "Low Reliability")))))</f>
        <v>Insufficient Reviews</v>
      </c>
    </row>
    <row r="189">
      <c r="A189" s="3">
        <f t="shared" si="1"/>
        <v>188</v>
      </c>
      <c r="B189" s="16" t="s">
        <v>1579</v>
      </c>
      <c r="C189" s="16">
        <v>39.4817892</v>
      </c>
      <c r="D189" s="16">
        <v>-77.3507751</v>
      </c>
      <c r="E189" s="16" t="s">
        <v>1580</v>
      </c>
      <c r="F189" s="16" t="s">
        <v>1581</v>
      </c>
      <c r="G189" s="16" t="s">
        <v>1582</v>
      </c>
      <c r="H189" s="16" t="s">
        <v>1583</v>
      </c>
      <c r="I189" s="16" t="s">
        <v>71</v>
      </c>
      <c r="J189" s="16" t="s">
        <v>1584</v>
      </c>
      <c r="K189" s="18" t="s">
        <v>1585</v>
      </c>
      <c r="L189" s="16" t="s">
        <v>1586</v>
      </c>
      <c r="M189" s="16">
        <v>80.58859881</v>
      </c>
      <c r="N189" s="16">
        <v>66.85334961</v>
      </c>
      <c r="O189" s="16" t="s">
        <v>1587</v>
      </c>
      <c r="P189" s="1">
        <v>8312026.0</v>
      </c>
      <c r="Q189" s="7" t="str">
        <f>IF(OR(ISBLANK(M189), ISBLANK(N189)), "", IF(N189 &lt; Sheet3!$B$6, "Insufficient Reviews", IF(M189 &gt;= Sheet3!$B$2, "Highly Reliable", IF(M189 &gt;= Sheet3!$B$3, "Reliable", IF(M189 &gt;= Sheet3!$B$4, "Mixed Reviews", "Low Reliability")))))</f>
        <v>Reliable</v>
      </c>
    </row>
    <row r="190">
      <c r="A190" s="3">
        <f t="shared" si="1"/>
        <v>189</v>
      </c>
      <c r="B190" s="16" t="s">
        <v>1588</v>
      </c>
      <c r="C190" s="16">
        <v>39.4187522</v>
      </c>
      <c r="D190" s="16">
        <v>-77.4102158</v>
      </c>
      <c r="E190" s="16" t="s">
        <v>1589</v>
      </c>
      <c r="F190" s="16" t="s">
        <v>1590</v>
      </c>
      <c r="G190" s="16" t="s">
        <v>1591</v>
      </c>
      <c r="H190" s="16" t="s">
        <v>126</v>
      </c>
      <c r="I190" s="16" t="s">
        <v>44</v>
      </c>
      <c r="J190" s="16" t="s">
        <v>1592</v>
      </c>
      <c r="K190" s="18" t="s">
        <v>1593</v>
      </c>
      <c r="L190" s="16" t="s">
        <v>1594</v>
      </c>
      <c r="M190" s="16">
        <v>61.18074549</v>
      </c>
      <c r="N190" s="16">
        <v>54.20709218</v>
      </c>
      <c r="O190" s="16" t="s">
        <v>1595</v>
      </c>
      <c r="P190" s="1">
        <v>8312026.0</v>
      </c>
      <c r="Q190" s="7" t="str">
        <f>IF(OR(ISBLANK(M190), ISBLANK(N190)), "", IF(N190 &lt; Sheet3!$B$6, "Insufficient Reviews", IF(M190 &gt;= Sheet3!$B$2, "Highly Reliable", IF(M190 &gt;= Sheet3!$B$3, "Reliable", IF(M190 &gt;= Sheet3!$B$4, "Mixed Reviews", "Low Reliability")))))</f>
        <v>Mixed Reviews</v>
      </c>
    </row>
    <row r="191">
      <c r="A191" s="3">
        <f t="shared" si="1"/>
        <v>190</v>
      </c>
      <c r="B191" s="16" t="s">
        <v>1596</v>
      </c>
      <c r="C191" s="16">
        <v>39.4114595</v>
      </c>
      <c r="D191" s="16">
        <v>-77.4187145</v>
      </c>
      <c r="E191" s="16" t="s">
        <v>1597</v>
      </c>
      <c r="F191" s="16" t="s">
        <v>1598</v>
      </c>
      <c r="G191" s="16" t="s">
        <v>1599</v>
      </c>
      <c r="H191" s="16" t="s">
        <v>1600</v>
      </c>
      <c r="I191" s="16" t="s">
        <v>71</v>
      </c>
      <c r="J191" s="16" t="s">
        <v>1601</v>
      </c>
      <c r="K191" s="18" t="s">
        <v>1602</v>
      </c>
      <c r="L191" s="16" t="s">
        <v>1603</v>
      </c>
      <c r="M191" s="16">
        <v>75.14735996</v>
      </c>
      <c r="N191" s="16">
        <v>70.66649334</v>
      </c>
      <c r="O191" s="16" t="s">
        <v>1604</v>
      </c>
      <c r="P191" s="1">
        <v>8312026.0</v>
      </c>
      <c r="Q191" s="7" t="str">
        <f>IF(OR(ISBLANK(M191), ISBLANK(N191)), "", IF(N191 &lt; Sheet3!$B$6, "Insufficient Reviews", IF(M191 &gt;= Sheet3!$B$2, "Highly Reliable", IF(M191 &gt;= Sheet3!$B$3, "Reliable", IF(M191 &gt;= Sheet3!$B$4, "Mixed Reviews", "Low Reliability")))))</f>
        <v>Reliable</v>
      </c>
    </row>
    <row r="192">
      <c r="A192" s="3">
        <f t="shared" si="1"/>
        <v>191</v>
      </c>
      <c r="B192" s="16" t="s">
        <v>1605</v>
      </c>
      <c r="C192" s="16">
        <v>39.2588256</v>
      </c>
      <c r="D192" s="16">
        <v>-75.8377349</v>
      </c>
      <c r="E192" s="16" t="s">
        <v>1606</v>
      </c>
      <c r="F192" s="16" t="s">
        <v>1607</v>
      </c>
      <c r="G192" s="16" t="s">
        <v>1608</v>
      </c>
      <c r="H192" s="16" t="s">
        <v>1609</v>
      </c>
      <c r="I192" s="16" t="s">
        <v>71</v>
      </c>
      <c r="J192" s="16" t="s">
        <v>1610</v>
      </c>
      <c r="K192" s="17"/>
      <c r="L192" s="16" t="s">
        <v>1611</v>
      </c>
      <c r="M192" s="16">
        <v>72.91521003</v>
      </c>
      <c r="N192" s="16">
        <v>33.796308</v>
      </c>
      <c r="O192" s="16" t="s">
        <v>1612</v>
      </c>
      <c r="P192" s="1">
        <v>8312026.0</v>
      </c>
      <c r="Q192" s="7" t="str">
        <f>IF(OR(ISBLANK(M192), ISBLANK(N192)), "", IF(N192 &lt; Sheet3!$B$6, "Insufficient Reviews", IF(M192 &gt;= Sheet3!$B$2, "Highly Reliable", IF(M192 &gt;= Sheet3!$B$3, "Reliable", IF(M192 &gt;= Sheet3!$B$4, "Mixed Reviews", "Low Reliability")))))</f>
        <v>Insufficient Reviews</v>
      </c>
    </row>
    <row r="193">
      <c r="A193" s="3">
        <f t="shared" si="1"/>
        <v>192</v>
      </c>
      <c r="B193" s="16" t="s">
        <v>1613</v>
      </c>
      <c r="C193" s="16">
        <v>39.7036426</v>
      </c>
      <c r="D193" s="16">
        <v>-77.3279326</v>
      </c>
      <c r="E193" s="16" t="s">
        <v>1614</v>
      </c>
      <c r="F193" s="16" t="s">
        <v>1615</v>
      </c>
      <c r="G193" s="16" t="s">
        <v>1616</v>
      </c>
      <c r="H193" s="16" t="s">
        <v>1617</v>
      </c>
      <c r="I193" s="16" t="s">
        <v>71</v>
      </c>
      <c r="J193" s="16" t="s">
        <v>1618</v>
      </c>
      <c r="K193" s="18" t="s">
        <v>1619</v>
      </c>
      <c r="L193" s="16" t="s">
        <v>1620</v>
      </c>
      <c r="M193" s="16">
        <v>77.73861414</v>
      </c>
      <c r="N193" s="16">
        <v>46.68850506</v>
      </c>
      <c r="O193" s="16" t="s">
        <v>1621</v>
      </c>
      <c r="P193" s="1">
        <v>8312026.0</v>
      </c>
      <c r="Q193" s="7" t="str">
        <f>IF(OR(ISBLANK(M193), ISBLANK(N193)), "", IF(N193 &lt; Sheet3!$B$6, "Insufficient Reviews", IF(M193 &gt;= Sheet3!$B$2, "Highly Reliable", IF(M193 &gt;= Sheet3!$B$3, "Reliable", IF(M193 &gt;= Sheet3!$B$4, "Mixed Reviews", "Low Reliability")))))</f>
        <v>Reliable</v>
      </c>
    </row>
    <row r="194">
      <c r="A194" s="3">
        <f t="shared" si="1"/>
        <v>193</v>
      </c>
      <c r="B194" s="16" t="s">
        <v>1622</v>
      </c>
      <c r="C194" s="16">
        <v>39.5188331</v>
      </c>
      <c r="D194" s="16">
        <v>-75.8227005</v>
      </c>
      <c r="E194" s="16" t="s">
        <v>1623</v>
      </c>
      <c r="F194" s="16" t="s">
        <v>1624</v>
      </c>
      <c r="G194" s="16" t="s">
        <v>1625</v>
      </c>
      <c r="H194" s="16" t="s">
        <v>1626</v>
      </c>
      <c r="I194" s="16" t="s">
        <v>71</v>
      </c>
      <c r="J194" s="16" t="s">
        <v>1627</v>
      </c>
      <c r="K194" s="18" t="s">
        <v>1628</v>
      </c>
      <c r="L194" s="16" t="s">
        <v>1629</v>
      </c>
      <c r="M194" s="16">
        <v>82.17055792</v>
      </c>
      <c r="N194" s="16">
        <v>61.46588465</v>
      </c>
      <c r="O194" s="16" t="s">
        <v>1630</v>
      </c>
      <c r="P194" s="1">
        <v>8312026.0</v>
      </c>
      <c r="Q194" s="7" t="str">
        <f>IF(OR(ISBLANK(M194), ISBLANK(N194)), "", IF(N194 &lt; Sheet3!$B$6, "Insufficient Reviews", IF(M194 &gt;= Sheet3!$B$2, "Highly Reliable", IF(M194 &gt;= Sheet3!$B$3, "Reliable", IF(M194 &gt;= Sheet3!$B$4, "Mixed Reviews", "Low Reliability")))))</f>
        <v>Highly Reliable</v>
      </c>
    </row>
    <row r="195">
      <c r="A195" s="3">
        <f t="shared" si="1"/>
        <v>194</v>
      </c>
      <c r="B195" s="16" t="s">
        <v>1631</v>
      </c>
      <c r="C195" s="16">
        <v>39.3443489</v>
      </c>
      <c r="D195" s="16">
        <v>-77.4750379</v>
      </c>
      <c r="E195" s="16" t="s">
        <v>1632</v>
      </c>
      <c r="F195" s="16" t="s">
        <v>1633</v>
      </c>
      <c r="G195" s="16" t="s">
        <v>1634</v>
      </c>
      <c r="H195" s="16" t="s">
        <v>1635</v>
      </c>
      <c r="I195" s="16" t="s">
        <v>71</v>
      </c>
      <c r="J195" s="16" t="s">
        <v>1636</v>
      </c>
      <c r="K195" s="18" t="s">
        <v>1637</v>
      </c>
      <c r="L195" s="16" t="s">
        <v>1638</v>
      </c>
      <c r="M195" s="16">
        <v>73.28365857</v>
      </c>
      <c r="N195" s="16">
        <v>50.19050828</v>
      </c>
      <c r="O195" s="16" t="s">
        <v>1639</v>
      </c>
      <c r="P195" s="1">
        <v>8312026.0</v>
      </c>
      <c r="Q195" s="7" t="str">
        <f>IF(OR(ISBLANK(M195), ISBLANK(N195)), "", IF(N195 &lt; Sheet3!$B$6, "Insufficient Reviews", IF(M195 &gt;= Sheet3!$B$2, "Highly Reliable", IF(M195 &gt;= Sheet3!$B$3, "Reliable", IF(M195 &gt;= Sheet3!$B$4, "Mixed Reviews", "Low Reliability")))))</f>
        <v>Reliable</v>
      </c>
    </row>
    <row r="196">
      <c r="A196" s="3">
        <f t="shared" si="1"/>
        <v>195</v>
      </c>
      <c r="B196" s="16" t="s">
        <v>1640</v>
      </c>
      <c r="C196" s="16">
        <v>38.7867721</v>
      </c>
      <c r="D196" s="16">
        <v>-76.2252152</v>
      </c>
      <c r="E196" s="16" t="s">
        <v>1641</v>
      </c>
      <c r="F196" s="16" t="s">
        <v>1642</v>
      </c>
      <c r="G196" s="16" t="s">
        <v>1643</v>
      </c>
      <c r="H196" s="16" t="s">
        <v>126</v>
      </c>
      <c r="I196" s="16" t="s">
        <v>71</v>
      </c>
      <c r="J196" s="16" t="s">
        <v>1644</v>
      </c>
      <c r="K196" s="18" t="s">
        <v>1645</v>
      </c>
      <c r="L196" s="16" t="s">
        <v>1646</v>
      </c>
      <c r="M196" s="16">
        <v>78.06597922</v>
      </c>
      <c r="N196" s="16">
        <v>57.67689683</v>
      </c>
      <c r="O196" s="16" t="s">
        <v>1647</v>
      </c>
      <c r="P196" s="1">
        <v>8312026.0</v>
      </c>
      <c r="Q196" s="7" t="str">
        <f>IF(OR(ISBLANK(M196), ISBLANK(N196)), "", IF(N196 &lt; Sheet3!$B$6, "Insufficient Reviews", IF(M196 &gt;= Sheet3!$B$2, "Highly Reliable", IF(M196 &gt;= Sheet3!$B$3, "Reliable", IF(M196 &gt;= Sheet3!$B$4, "Mixed Reviews", "Low Reliability")))))</f>
        <v>Reliable</v>
      </c>
    </row>
    <row r="197">
      <c r="A197" s="3">
        <f t="shared" si="1"/>
        <v>196</v>
      </c>
      <c r="B197" s="16" t="s">
        <v>1648</v>
      </c>
      <c r="C197" s="16">
        <v>39.6210547</v>
      </c>
      <c r="D197" s="16">
        <v>-77.4122365</v>
      </c>
      <c r="E197" s="16" t="s">
        <v>1649</v>
      </c>
      <c r="F197" s="16" t="s">
        <v>1650</v>
      </c>
      <c r="G197" s="16" t="s">
        <v>1651</v>
      </c>
      <c r="H197" s="16" t="s">
        <v>1652</v>
      </c>
      <c r="I197" s="16" t="s">
        <v>71</v>
      </c>
      <c r="J197" s="16" t="s">
        <v>1653</v>
      </c>
      <c r="K197" s="18" t="s">
        <v>1654</v>
      </c>
      <c r="L197" s="16" t="s">
        <v>1655</v>
      </c>
      <c r="M197" s="16">
        <v>83.16232265</v>
      </c>
      <c r="N197" s="16">
        <v>64.50702603</v>
      </c>
      <c r="O197" s="16" t="s">
        <v>1656</v>
      </c>
      <c r="P197" s="1">
        <v>8312026.0</v>
      </c>
      <c r="Q197" s="7" t="str">
        <f>IF(OR(ISBLANK(M197), ISBLANK(N197)), "", IF(N197 &lt; Sheet3!$B$6, "Insufficient Reviews", IF(M197 &gt;= Sheet3!$B$2, "Highly Reliable", IF(M197 &gt;= Sheet3!$B$3, "Reliable", IF(M197 &gt;= Sheet3!$B$4, "Mixed Reviews", "Low Reliability")))))</f>
        <v>Highly Reliable</v>
      </c>
    </row>
    <row r="198">
      <c r="A198" s="3">
        <f t="shared" si="1"/>
        <v>197</v>
      </c>
      <c r="B198" s="16" t="s">
        <v>1657</v>
      </c>
      <c r="C198" s="16">
        <v>39.6105998</v>
      </c>
      <c r="D198" s="16">
        <v>-75.8288397</v>
      </c>
      <c r="E198" s="16" t="s">
        <v>1658</v>
      </c>
      <c r="F198" s="16" t="s">
        <v>1659</v>
      </c>
      <c r="G198" s="17"/>
      <c r="H198" s="16" t="s">
        <v>1660</v>
      </c>
      <c r="I198" s="16" t="s">
        <v>71</v>
      </c>
      <c r="J198" s="16" t="s">
        <v>1661</v>
      </c>
      <c r="K198" s="17"/>
      <c r="L198" s="16" t="s">
        <v>1662</v>
      </c>
      <c r="M198" s="16">
        <v>77.39981437</v>
      </c>
      <c r="N198" s="16">
        <v>59.8017589</v>
      </c>
      <c r="O198" s="16" t="s">
        <v>1663</v>
      </c>
      <c r="P198" s="1">
        <v>8312026.0</v>
      </c>
      <c r="Q198" s="7" t="str">
        <f>IF(OR(ISBLANK(M198), ISBLANK(N198)), "", IF(N198 &lt; Sheet3!$B$6, "Insufficient Reviews", IF(M198 &gt;= Sheet3!$B$2, "Highly Reliable", IF(M198 &gt;= Sheet3!$B$3, "Reliable", IF(M198 &gt;= Sheet3!$B$4, "Mixed Reviews", "Low Reliability")))))</f>
        <v>Reliable</v>
      </c>
    </row>
    <row r="199">
      <c r="A199" s="3">
        <f t="shared" si="1"/>
        <v>198</v>
      </c>
      <c r="B199" s="16" t="s">
        <v>1664</v>
      </c>
      <c r="C199" s="16">
        <v>38.995247</v>
      </c>
      <c r="D199" s="16">
        <v>-75.876857</v>
      </c>
      <c r="E199" s="16" t="s">
        <v>1665</v>
      </c>
      <c r="F199" s="16" t="s">
        <v>1666</v>
      </c>
      <c r="G199" s="16" t="s">
        <v>1667</v>
      </c>
      <c r="H199" s="16" t="s">
        <v>135</v>
      </c>
      <c r="I199" s="16" t="s">
        <v>81</v>
      </c>
      <c r="J199" s="16" t="s">
        <v>1668</v>
      </c>
      <c r="K199" s="18" t="s">
        <v>1669</v>
      </c>
      <c r="L199" s="16" t="s">
        <v>1670</v>
      </c>
      <c r="M199" s="16">
        <v>76.98149263</v>
      </c>
      <c r="N199" s="16">
        <v>65.18587134</v>
      </c>
      <c r="O199" s="16" t="s">
        <v>1671</v>
      </c>
      <c r="P199" s="1">
        <v>8312026.0</v>
      </c>
      <c r="Q199" s="7" t="str">
        <f>IF(OR(ISBLANK(M199), ISBLANK(N199)), "", IF(N199 &lt; Sheet3!$B$6, "Insufficient Reviews", IF(M199 &gt;= Sheet3!$B$2, "Highly Reliable", IF(M199 &gt;= Sheet3!$B$3, "Reliable", IF(M199 &gt;= Sheet3!$B$4, "Mixed Reviews", "Low Reliability")))))</f>
        <v>Reliable</v>
      </c>
    </row>
    <row r="200">
      <c r="A200" s="3">
        <f t="shared" si="1"/>
        <v>199</v>
      </c>
      <c r="B200" s="16" t="s">
        <v>1672</v>
      </c>
      <c r="C200" s="16">
        <v>38.656164</v>
      </c>
      <c r="D200" s="16">
        <v>-76.6024047</v>
      </c>
      <c r="E200" s="16" t="s">
        <v>1673</v>
      </c>
      <c r="F200" s="16" t="s">
        <v>1674</v>
      </c>
      <c r="G200" s="16" t="s">
        <v>1675</v>
      </c>
      <c r="H200" s="16" t="s">
        <v>1676</v>
      </c>
      <c r="I200" s="16" t="s">
        <v>71</v>
      </c>
      <c r="J200" s="16" t="s">
        <v>1677</v>
      </c>
      <c r="K200" s="18" t="s">
        <v>1678</v>
      </c>
      <c r="L200" s="16" t="s">
        <v>1679</v>
      </c>
      <c r="M200" s="16">
        <v>75.8941666</v>
      </c>
      <c r="N200" s="16">
        <v>64.91553559</v>
      </c>
      <c r="O200" s="16" t="s">
        <v>1680</v>
      </c>
      <c r="P200" s="1">
        <v>8312026.0</v>
      </c>
      <c r="Q200" s="7" t="str">
        <f>IF(OR(ISBLANK(M200), ISBLANK(N200)), "", IF(N200 &lt; Sheet3!$B$6, "Insufficient Reviews", IF(M200 &gt;= Sheet3!$B$2, "Highly Reliable", IF(M200 &gt;= Sheet3!$B$3, "Reliable", IF(M200 &gt;= Sheet3!$B$4, "Mixed Reviews", "Low Reliability")))))</f>
        <v>Reliable</v>
      </c>
    </row>
    <row r="201">
      <c r="A201" s="3">
        <f t="shared" si="1"/>
        <v>200</v>
      </c>
      <c r="B201" s="16" t="s">
        <v>1681</v>
      </c>
      <c r="C201" s="16">
        <v>38.7918744</v>
      </c>
      <c r="D201" s="16">
        <v>-76.0670207</v>
      </c>
      <c r="E201" s="16" t="s">
        <v>1682</v>
      </c>
      <c r="F201" s="16" t="s">
        <v>1683</v>
      </c>
      <c r="G201" s="17"/>
      <c r="H201" s="16" t="s">
        <v>1684</v>
      </c>
      <c r="I201" s="16" t="s">
        <v>71</v>
      </c>
      <c r="J201" s="16" t="s">
        <v>1685</v>
      </c>
      <c r="K201" s="18" t="s">
        <v>1686</v>
      </c>
      <c r="L201" s="16" t="s">
        <v>1687</v>
      </c>
      <c r="M201" s="16">
        <v>55.9462138</v>
      </c>
      <c r="N201" s="16">
        <v>44.47348963</v>
      </c>
      <c r="O201" s="16" t="s">
        <v>1688</v>
      </c>
      <c r="P201" s="1">
        <v>8312026.0</v>
      </c>
      <c r="Q201" s="7" t="str">
        <f>IF(OR(ISBLANK(M201), ISBLANK(N201)), "", IF(N201 &lt; Sheet3!$B$6, "Insufficient Reviews", IF(M201 &gt;= Sheet3!$B$2, "Highly Reliable", IF(M201 &gt;= Sheet3!$B$3, "Reliable", IF(M201 &gt;= Sheet3!$B$4, "Mixed Reviews", "Low Reliability")))))</f>
        <v>Low Reliability</v>
      </c>
    </row>
    <row r="202">
      <c r="A202" s="3">
        <f t="shared" si="1"/>
        <v>201</v>
      </c>
      <c r="B202" s="16" t="s">
        <v>1689</v>
      </c>
      <c r="C202" s="16">
        <v>39.3297487</v>
      </c>
      <c r="D202" s="16">
        <v>-76.6342972</v>
      </c>
      <c r="E202" s="16" t="s">
        <v>1690</v>
      </c>
      <c r="F202" s="16" t="s">
        <v>1691</v>
      </c>
      <c r="G202" s="16" t="s">
        <v>1692</v>
      </c>
      <c r="H202" s="16" t="s">
        <v>1693</v>
      </c>
      <c r="I202" s="16" t="s">
        <v>71</v>
      </c>
      <c r="J202" s="16" t="s">
        <v>1694</v>
      </c>
      <c r="K202" s="18" t="s">
        <v>1695</v>
      </c>
      <c r="L202" s="16" t="s">
        <v>1696</v>
      </c>
      <c r="M202" s="16">
        <v>79.00863392</v>
      </c>
      <c r="N202" s="16">
        <v>61.92367982</v>
      </c>
      <c r="O202" s="16" t="s">
        <v>1697</v>
      </c>
      <c r="P202" s="1">
        <v>8312026.0</v>
      </c>
      <c r="Q202" s="7" t="str">
        <f>IF(OR(ISBLANK(M202), ISBLANK(N202)), "", IF(N202 &lt; Sheet3!$B$6, "Insufficient Reviews", IF(M202 &gt;= Sheet3!$B$2, "Highly Reliable", IF(M202 &gt;= Sheet3!$B$3, "Reliable", IF(M202 &gt;= Sheet3!$B$4, "Mixed Reviews", "Low Reliability")))))</f>
        <v>Reliable</v>
      </c>
    </row>
    <row r="203">
      <c r="A203" s="3">
        <f t="shared" si="1"/>
        <v>202</v>
      </c>
      <c r="B203" s="16" t="s">
        <v>1698</v>
      </c>
      <c r="C203" s="16">
        <v>38.3005524</v>
      </c>
      <c r="D203" s="16">
        <v>-76.6404365</v>
      </c>
      <c r="E203" s="16" t="s">
        <v>1699</v>
      </c>
      <c r="F203" s="16" t="s">
        <v>1700</v>
      </c>
      <c r="G203" s="16" t="s">
        <v>1701</v>
      </c>
      <c r="H203" s="16" t="s">
        <v>1702</v>
      </c>
      <c r="I203" s="16" t="s">
        <v>71</v>
      </c>
      <c r="J203" s="16" t="s">
        <v>1703</v>
      </c>
      <c r="K203" s="18" t="s">
        <v>1704</v>
      </c>
      <c r="L203" s="16" t="s">
        <v>1705</v>
      </c>
      <c r="M203" s="16">
        <v>69.73078859</v>
      </c>
      <c r="N203" s="16">
        <v>57.05021502</v>
      </c>
      <c r="O203" s="16" t="s">
        <v>1706</v>
      </c>
      <c r="P203" s="1">
        <v>8312026.0</v>
      </c>
      <c r="Q203" s="7" t="str">
        <f>IF(OR(ISBLANK(M203), ISBLANK(N203)), "", IF(N203 &lt; Sheet3!$B$6, "Insufficient Reviews", IF(M203 &gt;= Sheet3!$B$2, "Highly Reliable", IF(M203 &gt;= Sheet3!$B$3, "Reliable", IF(M203 &gt;= Sheet3!$B$4, "Mixed Reviews", "Low Reliability")))))</f>
        <v>Mixed Reviews</v>
      </c>
    </row>
    <row r="204">
      <c r="A204" s="3">
        <f t="shared" si="1"/>
        <v>203</v>
      </c>
      <c r="B204" s="16" t="s">
        <v>1336</v>
      </c>
      <c r="C204" s="16">
        <v>39.4049339</v>
      </c>
      <c r="D204" s="16">
        <v>-76.9608383</v>
      </c>
      <c r="E204" s="16" t="s">
        <v>1337</v>
      </c>
      <c r="F204" s="16" t="s">
        <v>1707</v>
      </c>
      <c r="G204" s="16" t="s">
        <v>1708</v>
      </c>
      <c r="H204" s="16" t="s">
        <v>1709</v>
      </c>
      <c r="I204" s="16" t="s">
        <v>35</v>
      </c>
      <c r="J204" s="16" t="s">
        <v>1710</v>
      </c>
      <c r="K204" s="18" t="s">
        <v>1711</v>
      </c>
      <c r="L204" s="16" t="s">
        <v>1712</v>
      </c>
      <c r="M204" s="16">
        <v>84.53628812</v>
      </c>
      <c r="N204" s="16">
        <v>75.33752541</v>
      </c>
      <c r="O204" s="16" t="s">
        <v>1713</v>
      </c>
      <c r="P204" s="1">
        <v>8312026.0</v>
      </c>
      <c r="Q204" s="7" t="str">
        <f>IF(OR(ISBLANK(M204), ISBLANK(N204)), "", IF(N204 &lt; Sheet3!$B$6, "Insufficient Reviews", IF(M204 &gt;= Sheet3!$B$2, "Highly Reliable", IF(M204 &gt;= Sheet3!$B$3, "Reliable", IF(M204 &gt;= Sheet3!$B$4, "Mixed Reviews", "Low Reliability")))))</f>
        <v>Highly Reliable</v>
      </c>
    </row>
    <row r="205">
      <c r="A205" s="3">
        <f t="shared" si="1"/>
        <v>204</v>
      </c>
      <c r="B205" s="16" t="s">
        <v>1714</v>
      </c>
      <c r="C205" s="16">
        <v>38.9907095</v>
      </c>
      <c r="D205" s="16">
        <v>-77.0274184</v>
      </c>
      <c r="E205" s="16" t="s">
        <v>1715</v>
      </c>
      <c r="F205" s="16" t="s">
        <v>1716</v>
      </c>
      <c r="G205" s="16" t="s">
        <v>1717</v>
      </c>
      <c r="H205" s="16" t="s">
        <v>1718</v>
      </c>
      <c r="I205" s="16" t="s">
        <v>71</v>
      </c>
      <c r="J205" s="16" t="s">
        <v>1719</v>
      </c>
      <c r="K205" s="18" t="s">
        <v>1720</v>
      </c>
      <c r="L205" s="16" t="s">
        <v>1721</v>
      </c>
      <c r="M205" s="16">
        <v>80.75651847</v>
      </c>
      <c r="N205" s="16">
        <v>72.16177823</v>
      </c>
      <c r="O205" s="16" t="s">
        <v>1722</v>
      </c>
      <c r="P205" s="1">
        <v>8312026.0</v>
      </c>
      <c r="Q205" s="7" t="str">
        <f>IF(OR(ISBLANK(M205), ISBLANK(N205)), "", IF(N205 &lt; Sheet3!$B$6, "Insufficient Reviews", IF(M205 &gt;= Sheet3!$B$2, "Highly Reliable", IF(M205 &gt;= Sheet3!$B$3, "Reliable", IF(M205 &gt;= Sheet3!$B$4, "Mixed Reviews", "Low Reliability")))))</f>
        <v>Reliable</v>
      </c>
    </row>
    <row r="206">
      <c r="A206" s="3">
        <f t="shared" si="1"/>
        <v>205</v>
      </c>
      <c r="B206" s="16" t="s">
        <v>1723</v>
      </c>
      <c r="C206" s="16">
        <v>38.6043929</v>
      </c>
      <c r="D206" s="16">
        <v>-76.9137286</v>
      </c>
      <c r="E206" s="16" t="s">
        <v>1724</v>
      </c>
      <c r="F206" s="16" t="s">
        <v>1725</v>
      </c>
      <c r="G206" s="16" t="s">
        <v>1726</v>
      </c>
      <c r="H206" s="16" t="s">
        <v>1727</v>
      </c>
      <c r="I206" s="16" t="s">
        <v>71</v>
      </c>
      <c r="J206" s="16" t="s">
        <v>1728</v>
      </c>
      <c r="K206" s="18" t="s">
        <v>1729</v>
      </c>
      <c r="L206" s="16" t="s">
        <v>1730</v>
      </c>
      <c r="M206" s="16">
        <v>79.88127004</v>
      </c>
      <c r="N206" s="16">
        <v>46.11694233</v>
      </c>
      <c r="O206" s="16" t="s">
        <v>1731</v>
      </c>
      <c r="P206" s="1">
        <v>8312026.0</v>
      </c>
      <c r="Q206" s="7" t="str">
        <f>IF(OR(ISBLANK(M206), ISBLANK(N206)), "", IF(N206 &lt; Sheet3!$B$6, "Insufficient Reviews", IF(M206 &gt;= Sheet3!$B$2, "Highly Reliable", IF(M206 &gt;= Sheet3!$B$3, "Reliable", IF(M206 &gt;= Sheet3!$B$4, "Mixed Reviews", "Low Reliability")))))</f>
        <v>Reliable</v>
      </c>
    </row>
    <row r="207">
      <c r="A207" s="3">
        <f t="shared" si="1"/>
        <v>206</v>
      </c>
      <c r="B207" s="16" t="s">
        <v>1732</v>
      </c>
      <c r="C207" s="16">
        <v>38.2377899</v>
      </c>
      <c r="D207" s="16">
        <v>-76.5028452</v>
      </c>
      <c r="E207" s="16" t="s">
        <v>1733</v>
      </c>
      <c r="F207" s="16" t="s">
        <v>1734</v>
      </c>
      <c r="G207" s="16" t="s">
        <v>1735</v>
      </c>
      <c r="H207" s="16" t="s">
        <v>1736</v>
      </c>
      <c r="I207" s="16" t="s">
        <v>71</v>
      </c>
      <c r="J207" s="16" t="s">
        <v>1737</v>
      </c>
      <c r="K207" s="18" t="s">
        <v>1738</v>
      </c>
      <c r="L207" s="16" t="s">
        <v>1739</v>
      </c>
      <c r="M207" s="16">
        <v>88.03086034</v>
      </c>
      <c r="N207" s="16">
        <v>62.41950383</v>
      </c>
      <c r="O207" s="16" t="s">
        <v>1740</v>
      </c>
      <c r="P207" s="1">
        <v>8312026.0</v>
      </c>
      <c r="Q207" s="7" t="str">
        <f>IF(OR(ISBLANK(M207), ISBLANK(N207)), "", IF(N207 &lt; Sheet3!$B$6, "Insufficient Reviews", IF(M207 &gt;= Sheet3!$B$2, "Highly Reliable", IF(M207 &gt;= Sheet3!$B$3, "Reliable", IF(M207 &gt;= Sheet3!$B$4, "Mixed Reviews", "Low Reliability")))))</f>
        <v>Highly Reliable</v>
      </c>
    </row>
    <row r="208">
      <c r="A208" s="3">
        <f t="shared" si="1"/>
        <v>207</v>
      </c>
      <c r="B208" s="16" t="s">
        <v>1741</v>
      </c>
      <c r="C208" s="16">
        <v>39.3043808</v>
      </c>
      <c r="D208" s="16">
        <v>-76.629663</v>
      </c>
      <c r="E208" s="16" t="s">
        <v>1742</v>
      </c>
      <c r="F208" s="16" t="s">
        <v>1743</v>
      </c>
      <c r="G208" s="16" t="s">
        <v>1744</v>
      </c>
      <c r="H208" s="16" t="s">
        <v>1745</v>
      </c>
      <c r="I208" s="16" t="s">
        <v>71</v>
      </c>
      <c r="J208" s="16" t="s">
        <v>1746</v>
      </c>
      <c r="K208" s="18" t="s">
        <v>1747</v>
      </c>
      <c r="L208" s="16" t="s">
        <v>1748</v>
      </c>
      <c r="M208" s="16">
        <v>82.82486413</v>
      </c>
      <c r="N208" s="16">
        <v>70.10470626</v>
      </c>
      <c r="O208" s="16" t="s">
        <v>1749</v>
      </c>
      <c r="P208" s="1">
        <v>8312026.0</v>
      </c>
      <c r="Q208" s="7" t="str">
        <f>IF(OR(ISBLANK(M208), ISBLANK(N208)), "", IF(N208 &lt; Sheet3!$B$6, "Insufficient Reviews", IF(M208 &gt;= Sheet3!$B$2, "Highly Reliable", IF(M208 &gt;= Sheet3!$B$3, "Reliable", IF(M208 &gt;= Sheet3!$B$4, "Mixed Reviews", "Low Reliability")))))</f>
        <v>Highly Reliable</v>
      </c>
    </row>
    <row r="209">
      <c r="A209" s="3">
        <f t="shared" si="1"/>
        <v>208</v>
      </c>
      <c r="B209" s="16" t="s">
        <v>1750</v>
      </c>
      <c r="C209" s="16">
        <v>39.646556</v>
      </c>
      <c r="D209" s="16">
        <v>-77.7218197</v>
      </c>
      <c r="E209" s="16" t="s">
        <v>1751</v>
      </c>
      <c r="F209" s="16" t="s">
        <v>1752</v>
      </c>
      <c r="G209" s="16" t="s">
        <v>1753</v>
      </c>
      <c r="H209" s="16" t="s">
        <v>1476</v>
      </c>
      <c r="I209" s="16" t="s">
        <v>203</v>
      </c>
      <c r="J209" s="16" t="s">
        <v>1754</v>
      </c>
      <c r="K209" s="18" t="s">
        <v>1755</v>
      </c>
      <c r="L209" s="16" t="s">
        <v>1756</v>
      </c>
      <c r="M209" s="16">
        <v>67.39348424</v>
      </c>
      <c r="N209" s="16">
        <v>54.55907948</v>
      </c>
      <c r="O209" s="16" t="s">
        <v>1757</v>
      </c>
      <c r="P209" s="1">
        <v>8312026.0</v>
      </c>
      <c r="Q209" s="7" t="str">
        <f>IF(OR(ISBLANK(M209), ISBLANK(N209)), "", IF(N209 &lt; Sheet3!$B$6, "Insufficient Reviews", IF(M209 &gt;= Sheet3!$B$2, "Highly Reliable", IF(M209 &gt;= Sheet3!$B$3, "Reliable", IF(M209 &gt;= Sheet3!$B$4, "Mixed Reviews", "Low Reliability")))))</f>
        <v>Mixed Reviews</v>
      </c>
    </row>
    <row r="210">
      <c r="A210" s="3">
        <f t="shared" si="1"/>
        <v>209</v>
      </c>
      <c r="B210" s="16" t="s">
        <v>1758</v>
      </c>
      <c r="C210" s="16">
        <v>39.296849</v>
      </c>
      <c r="D210" s="16">
        <v>-76.597216</v>
      </c>
      <c r="E210" s="16" t="s">
        <v>1759</v>
      </c>
      <c r="F210" s="16" t="s">
        <v>1760</v>
      </c>
      <c r="G210" s="16" t="s">
        <v>1761</v>
      </c>
      <c r="H210" s="16" t="s">
        <v>1762</v>
      </c>
      <c r="I210" s="16" t="s">
        <v>27</v>
      </c>
      <c r="J210" s="16" t="s">
        <v>1763</v>
      </c>
      <c r="K210" s="17"/>
      <c r="L210" s="16" t="s">
        <v>1764</v>
      </c>
      <c r="M210" s="16">
        <v>76.09310721</v>
      </c>
      <c r="N210" s="16">
        <v>50.16305187</v>
      </c>
      <c r="O210" s="16" t="s">
        <v>1765</v>
      </c>
      <c r="P210" s="1">
        <v>8312026.0</v>
      </c>
      <c r="Q210" s="7" t="str">
        <f>IF(OR(ISBLANK(M210), ISBLANK(N210)), "", IF(N210 &lt; Sheet3!$B$6, "Insufficient Reviews", IF(M210 &gt;= Sheet3!$B$2, "Highly Reliable", IF(M210 &gt;= Sheet3!$B$3, "Reliable", IF(M210 &gt;= Sheet3!$B$4, "Mixed Reviews", "Low Reliability")))))</f>
        <v>Reliable</v>
      </c>
    </row>
    <row r="211">
      <c r="A211" s="3">
        <f t="shared" si="1"/>
        <v>210</v>
      </c>
      <c r="B211" s="16" t="s">
        <v>1766</v>
      </c>
      <c r="C211" s="16">
        <v>39.2867103</v>
      </c>
      <c r="D211" s="16">
        <v>-76.6438187</v>
      </c>
      <c r="E211" s="16" t="s">
        <v>1767</v>
      </c>
      <c r="F211" s="16" t="s">
        <v>1768</v>
      </c>
      <c r="G211" s="16" t="s">
        <v>1769</v>
      </c>
      <c r="H211" s="16" t="s">
        <v>1770</v>
      </c>
      <c r="I211" s="16" t="s">
        <v>71</v>
      </c>
      <c r="J211" s="16" t="s">
        <v>1771</v>
      </c>
      <c r="K211" s="18" t="s">
        <v>1772</v>
      </c>
      <c r="L211" s="16" t="s">
        <v>1773</v>
      </c>
      <c r="M211" s="16">
        <v>87.62222451</v>
      </c>
      <c r="N211" s="16">
        <v>89.51481634</v>
      </c>
      <c r="O211" s="16" t="s">
        <v>1774</v>
      </c>
      <c r="P211" s="1">
        <v>8312026.0</v>
      </c>
      <c r="Q211" s="7" t="str">
        <f>IF(OR(ISBLANK(M211), ISBLANK(N211)), "", IF(N211 &lt; Sheet3!$B$6, "Insufficient Reviews", IF(M211 &gt;= Sheet3!$B$2, "Highly Reliable", IF(M211 &gt;= Sheet3!$B$3, "Reliable", IF(M211 &gt;= Sheet3!$B$4, "Mixed Reviews", "Low Reliability")))))</f>
        <v>Highly Reliable</v>
      </c>
    </row>
    <row r="212">
      <c r="A212" s="3">
        <f t="shared" si="1"/>
        <v>211</v>
      </c>
      <c r="B212" s="16" t="s">
        <v>1775</v>
      </c>
      <c r="C212" s="16">
        <v>39.2979228</v>
      </c>
      <c r="D212" s="16">
        <v>-76.5828022</v>
      </c>
      <c r="E212" s="16" t="s">
        <v>1776</v>
      </c>
      <c r="F212" s="16" t="s">
        <v>1777</v>
      </c>
      <c r="G212" s="17"/>
      <c r="H212" s="17"/>
      <c r="I212" s="16" t="s">
        <v>71</v>
      </c>
      <c r="J212" s="16" t="s">
        <v>1778</v>
      </c>
      <c r="K212" s="18" t="s">
        <v>1779</v>
      </c>
      <c r="L212" s="16" t="s">
        <v>1780</v>
      </c>
      <c r="M212" s="16">
        <v>13.5</v>
      </c>
      <c r="N212" s="16">
        <v>31.83333333</v>
      </c>
      <c r="O212" s="16" t="s">
        <v>290</v>
      </c>
      <c r="P212" s="1">
        <v>8312026.0</v>
      </c>
      <c r="Q212" s="7" t="str">
        <f>IF(OR(ISBLANK(M212), ISBLANK(N212)), "", IF(N212 &lt; Sheet3!$B$6, "Insufficient Reviews", IF(M212 &gt;= Sheet3!$B$2, "Highly Reliable", IF(M212 &gt;= Sheet3!$B$3, "Reliable", IF(M212 &gt;= Sheet3!$B$4, "Mixed Reviews", "Low Reliability")))))</f>
        <v>Insufficient Reviews</v>
      </c>
    </row>
    <row r="213">
      <c r="A213" s="3">
        <f t="shared" si="1"/>
        <v>212</v>
      </c>
      <c r="B213" s="16" t="s">
        <v>1781</v>
      </c>
      <c r="C213" s="16">
        <v>39.6461902</v>
      </c>
      <c r="D213" s="16">
        <v>-77.7228481</v>
      </c>
      <c r="E213" s="16" t="s">
        <v>1782</v>
      </c>
      <c r="F213" s="16" t="s">
        <v>1783</v>
      </c>
      <c r="G213" s="16" t="s">
        <v>1784</v>
      </c>
      <c r="H213" s="16" t="s">
        <v>135</v>
      </c>
      <c r="I213" s="16" t="s">
        <v>71</v>
      </c>
      <c r="J213" s="16" t="s">
        <v>1785</v>
      </c>
      <c r="K213" s="18" t="s">
        <v>1786</v>
      </c>
      <c r="L213" s="16" t="s">
        <v>1787</v>
      </c>
      <c r="M213" s="16">
        <v>78.67467468</v>
      </c>
      <c r="N213" s="16">
        <v>70.82842982</v>
      </c>
      <c r="O213" s="16" t="s">
        <v>1788</v>
      </c>
      <c r="P213" s="1">
        <v>8312026.0</v>
      </c>
      <c r="Q213" s="7" t="str">
        <f>IF(OR(ISBLANK(M213), ISBLANK(N213)), "", IF(N213 &lt; Sheet3!$B$6, "Insufficient Reviews", IF(M213 &gt;= Sheet3!$B$2, "Highly Reliable", IF(M213 &gt;= Sheet3!$B$3, "Reliable", IF(M213 &gt;= Sheet3!$B$4, "Mixed Reviews", "Low Reliability")))))</f>
        <v>Reliable</v>
      </c>
    </row>
    <row r="214">
      <c r="A214" s="3">
        <f t="shared" si="1"/>
        <v>213</v>
      </c>
      <c r="B214" s="16" t="s">
        <v>1789</v>
      </c>
      <c r="C214" s="16">
        <v>39.225851</v>
      </c>
      <c r="D214" s="16">
        <v>-76.611833</v>
      </c>
      <c r="E214" s="16" t="s">
        <v>1790</v>
      </c>
      <c r="F214" s="16" t="s">
        <v>1791</v>
      </c>
      <c r="G214" s="16" t="s">
        <v>1792</v>
      </c>
      <c r="H214" s="16" t="s">
        <v>1793</v>
      </c>
      <c r="I214" s="16" t="s">
        <v>71</v>
      </c>
      <c r="J214" s="16" t="s">
        <v>1794</v>
      </c>
      <c r="K214" s="18" t="s">
        <v>1795</v>
      </c>
      <c r="L214" s="16" t="s">
        <v>1796</v>
      </c>
      <c r="M214" s="16">
        <v>71.68106226</v>
      </c>
      <c r="N214" s="16">
        <v>53.89062366</v>
      </c>
      <c r="O214" s="16" t="s">
        <v>1797</v>
      </c>
      <c r="P214" s="1">
        <v>8312026.0</v>
      </c>
      <c r="Q214" s="7" t="str">
        <f>IF(OR(ISBLANK(M214), ISBLANK(N214)), "", IF(N214 &lt; Sheet3!$B$6, "Insufficient Reviews", IF(M214 &gt;= Sheet3!$B$2, "Highly Reliable", IF(M214 &gt;= Sheet3!$B$3, "Reliable", IF(M214 &gt;= Sheet3!$B$4, "Mixed Reviews", "Low Reliability")))))</f>
        <v>Reliable</v>
      </c>
    </row>
    <row r="215">
      <c r="A215" s="3">
        <f t="shared" si="1"/>
        <v>214</v>
      </c>
      <c r="B215" s="16" t="s">
        <v>1798</v>
      </c>
      <c r="C215" s="16">
        <v>38.3712166</v>
      </c>
      <c r="D215" s="16">
        <v>-75.5904665</v>
      </c>
      <c r="E215" s="16" t="s">
        <v>1799</v>
      </c>
      <c r="F215" s="16" t="s">
        <v>1800</v>
      </c>
      <c r="G215" s="16" t="s">
        <v>1801</v>
      </c>
      <c r="H215" s="16" t="s">
        <v>1802</v>
      </c>
      <c r="I215" s="16" t="s">
        <v>71</v>
      </c>
      <c r="J215" s="16" t="s">
        <v>1803</v>
      </c>
      <c r="K215" s="18" t="s">
        <v>1804</v>
      </c>
      <c r="L215" s="16" t="s">
        <v>1805</v>
      </c>
      <c r="M215" s="16">
        <v>83.5477076</v>
      </c>
      <c r="N215" s="16">
        <v>64.79847174</v>
      </c>
      <c r="O215" s="16" t="s">
        <v>1806</v>
      </c>
      <c r="P215" s="1">
        <v>8312026.0</v>
      </c>
      <c r="Q215" s="7" t="str">
        <f>IF(OR(ISBLANK(M215), ISBLANK(N215)), "", IF(N215 &lt; Sheet3!$B$6, "Insufficient Reviews", IF(M215 &gt;= Sheet3!$B$2, "Highly Reliable", IF(M215 &gt;= Sheet3!$B$3, "Reliable", IF(M215 &gt;= Sheet3!$B$4, "Mixed Reviews", "Low Reliability")))))</f>
        <v>Highly Reliable</v>
      </c>
    </row>
    <row r="216">
      <c r="A216" s="3">
        <f t="shared" si="1"/>
        <v>215</v>
      </c>
      <c r="B216" s="16" t="s">
        <v>1807</v>
      </c>
      <c r="C216" s="16">
        <v>38.3317402</v>
      </c>
      <c r="D216" s="16">
        <v>-75.0864891</v>
      </c>
      <c r="E216" s="16" t="s">
        <v>1808</v>
      </c>
      <c r="F216" s="16" t="s">
        <v>1809</v>
      </c>
      <c r="G216" s="16" t="s">
        <v>1810</v>
      </c>
      <c r="H216" s="16" t="s">
        <v>1811</v>
      </c>
      <c r="I216" s="16" t="s">
        <v>27</v>
      </c>
      <c r="J216" s="16" t="s">
        <v>1812</v>
      </c>
      <c r="K216" s="18" t="s">
        <v>1813</v>
      </c>
      <c r="L216" s="16" t="s">
        <v>1814</v>
      </c>
      <c r="M216" s="16">
        <v>83.31155586</v>
      </c>
      <c r="N216" s="16">
        <v>75.32078268</v>
      </c>
      <c r="O216" s="16" t="s">
        <v>1815</v>
      </c>
      <c r="P216" s="1">
        <v>8312026.0</v>
      </c>
      <c r="Q216" s="7" t="str">
        <f>IF(OR(ISBLANK(M216), ISBLANK(N216)), "", IF(N216 &lt; Sheet3!$B$6, "Insufficient Reviews", IF(M216 &gt;= Sheet3!$B$2, "Highly Reliable", IF(M216 &gt;= Sheet3!$B$3, "Reliable", IF(M216 &gt;= Sheet3!$B$4, "Mixed Reviews", "Low Reliability")))))</f>
        <v>Highly Reliable</v>
      </c>
    </row>
    <row r="217">
      <c r="A217" s="3">
        <f t="shared" si="1"/>
        <v>216</v>
      </c>
      <c r="B217" s="16" t="s">
        <v>1816</v>
      </c>
      <c r="C217" s="16">
        <v>39.4072618</v>
      </c>
      <c r="D217" s="16">
        <v>-79.4055709</v>
      </c>
      <c r="E217" s="16" t="s">
        <v>1817</v>
      </c>
      <c r="F217" s="16" t="s">
        <v>1818</v>
      </c>
      <c r="G217" s="16" t="s">
        <v>1819</v>
      </c>
      <c r="H217" s="16" t="s">
        <v>1820</v>
      </c>
      <c r="I217" s="16" t="s">
        <v>27</v>
      </c>
      <c r="J217" s="16" t="s">
        <v>1821</v>
      </c>
      <c r="K217" s="17"/>
      <c r="L217" s="16" t="s">
        <v>1822</v>
      </c>
      <c r="M217" s="16">
        <v>79.11878381</v>
      </c>
      <c r="N217" s="16">
        <v>46.21308879</v>
      </c>
      <c r="O217" s="16" t="s">
        <v>1823</v>
      </c>
      <c r="P217" s="1">
        <v>8312026.0</v>
      </c>
      <c r="Q217" s="7" t="str">
        <f>IF(OR(ISBLANK(M217), ISBLANK(N217)), "", IF(N217 &lt; Sheet3!$B$6, "Insufficient Reviews", IF(M217 &gt;= Sheet3!$B$2, "Highly Reliable", IF(M217 &gt;= Sheet3!$B$3, "Reliable", IF(M217 &gt;= Sheet3!$B$4, "Mixed Reviews", "Low Reliability")))))</f>
        <v>Reliable</v>
      </c>
    </row>
    <row r="218">
      <c r="A218" s="3">
        <f t="shared" si="1"/>
        <v>217</v>
      </c>
      <c r="B218" s="16" t="s">
        <v>1824</v>
      </c>
      <c r="C218" s="16">
        <v>39.2949767</v>
      </c>
      <c r="D218" s="16">
        <v>-76.6566916</v>
      </c>
      <c r="E218" s="16" t="s">
        <v>1825</v>
      </c>
      <c r="F218" s="16" t="s">
        <v>1826</v>
      </c>
      <c r="G218" s="16" t="s">
        <v>1827</v>
      </c>
      <c r="H218" s="16" t="s">
        <v>1828</v>
      </c>
      <c r="I218" s="16" t="s">
        <v>71</v>
      </c>
      <c r="J218" s="16" t="s">
        <v>1829</v>
      </c>
      <c r="K218" s="17"/>
      <c r="L218" s="16" t="s">
        <v>1830</v>
      </c>
      <c r="M218" s="16">
        <v>55.60246844</v>
      </c>
      <c r="N218" s="16">
        <v>31.93389449</v>
      </c>
      <c r="O218" s="16" t="s">
        <v>1831</v>
      </c>
      <c r="P218" s="1">
        <v>8312026.0</v>
      </c>
      <c r="Q218" s="7" t="str">
        <f>IF(OR(ISBLANK(M218), ISBLANK(N218)), "", IF(N218 &lt; Sheet3!$B$6, "Insufficient Reviews", IF(M218 &gt;= Sheet3!$B$2, "Highly Reliable", IF(M218 &gt;= Sheet3!$B$3, "Reliable", IF(M218 &gt;= Sheet3!$B$4, "Mixed Reviews", "Low Reliability")))))</f>
        <v>Insufficient Reviews</v>
      </c>
    </row>
    <row r="219">
      <c r="A219" s="3">
        <f t="shared" si="1"/>
        <v>218</v>
      </c>
      <c r="B219" s="16" t="s">
        <v>1832</v>
      </c>
      <c r="C219" s="16">
        <v>39.5872171</v>
      </c>
      <c r="D219" s="16">
        <v>-76.9846077</v>
      </c>
      <c r="E219" s="16" t="s">
        <v>1833</v>
      </c>
      <c r="F219" s="16" t="s">
        <v>1834</v>
      </c>
      <c r="G219" s="16" t="s">
        <v>1835</v>
      </c>
      <c r="H219" s="16" t="s">
        <v>1836</v>
      </c>
      <c r="I219" s="16" t="s">
        <v>71</v>
      </c>
      <c r="J219" s="16" t="s">
        <v>1837</v>
      </c>
      <c r="K219" s="17"/>
      <c r="L219" s="16" t="s">
        <v>1838</v>
      </c>
      <c r="M219" s="16">
        <v>68.10721197</v>
      </c>
      <c r="N219" s="16">
        <v>52.85870873</v>
      </c>
      <c r="O219" s="16" t="s">
        <v>1839</v>
      </c>
      <c r="P219" s="1">
        <v>8312026.0</v>
      </c>
      <c r="Q219" s="7" t="str">
        <f>IF(OR(ISBLANK(M219), ISBLANK(N219)), "", IF(N219 &lt; Sheet3!$B$6, "Insufficient Reviews", IF(M219 &gt;= Sheet3!$B$2, "Highly Reliable", IF(M219 &gt;= Sheet3!$B$3, "Reliable", IF(M219 &gt;= Sheet3!$B$4, "Mixed Reviews", "Low Reliability")))))</f>
        <v>Mixed Reviews</v>
      </c>
    </row>
    <row r="220">
      <c r="A220" s="3">
        <f t="shared" si="1"/>
        <v>219</v>
      </c>
      <c r="B220" s="16" t="s">
        <v>1840</v>
      </c>
      <c r="C220" s="16">
        <v>39.2814293</v>
      </c>
      <c r="D220" s="16">
        <v>-76.684847</v>
      </c>
      <c r="E220" s="16" t="s">
        <v>1841</v>
      </c>
      <c r="F220" s="16" t="s">
        <v>1842</v>
      </c>
      <c r="G220" s="16" t="s">
        <v>1843</v>
      </c>
      <c r="H220" s="16" t="s">
        <v>1844</v>
      </c>
      <c r="I220" s="16" t="s">
        <v>71</v>
      </c>
      <c r="J220" s="16" t="s">
        <v>1845</v>
      </c>
      <c r="K220" s="18" t="s">
        <v>1846</v>
      </c>
      <c r="L220" s="16" t="s">
        <v>1847</v>
      </c>
      <c r="M220" s="16">
        <v>77.26530921</v>
      </c>
      <c r="N220" s="16">
        <v>71.11931139</v>
      </c>
      <c r="O220" s="16" t="s">
        <v>1848</v>
      </c>
      <c r="P220" s="1">
        <v>8312026.0</v>
      </c>
      <c r="Q220" s="7" t="str">
        <f>IF(OR(ISBLANK(M220), ISBLANK(N220)), "", IF(N220 &lt; Sheet3!$B$6, "Insufficient Reviews", IF(M220 &gt;= Sheet3!$B$2, "Highly Reliable", IF(M220 &gt;= Sheet3!$B$3, "Reliable", IF(M220 &gt;= Sheet3!$B$4, "Mixed Reviews", "Low Reliability")))))</f>
        <v>Reliable</v>
      </c>
    </row>
    <row r="221">
      <c r="A221" s="3">
        <f t="shared" si="1"/>
        <v>220</v>
      </c>
      <c r="B221" s="16" t="s">
        <v>1849</v>
      </c>
      <c r="C221" s="16">
        <v>39.5381896</v>
      </c>
      <c r="D221" s="16">
        <v>-76.3446715</v>
      </c>
      <c r="E221" s="16" t="s">
        <v>1850</v>
      </c>
      <c r="F221" s="16" t="s">
        <v>1851</v>
      </c>
      <c r="G221" s="17"/>
      <c r="H221" s="16" t="s">
        <v>1852</v>
      </c>
      <c r="I221" s="16" t="s">
        <v>71</v>
      </c>
      <c r="J221" s="16" t="s">
        <v>1853</v>
      </c>
      <c r="K221" s="18" t="s">
        <v>1854</v>
      </c>
      <c r="L221" s="16" t="s">
        <v>1855</v>
      </c>
      <c r="M221" s="16">
        <v>81.9711663</v>
      </c>
      <c r="N221" s="16">
        <v>72.40866442</v>
      </c>
      <c r="O221" s="16" t="s">
        <v>1856</v>
      </c>
      <c r="P221" s="1">
        <v>8312026.0</v>
      </c>
      <c r="Q221" s="7" t="str">
        <f>IF(OR(ISBLANK(M221), ISBLANK(N221)), "", IF(N221 &lt; Sheet3!$B$6, "Insufficient Reviews", IF(M221 &gt;= Sheet3!$B$2, "Highly Reliable", IF(M221 &gt;= Sheet3!$B$3, "Reliable", IF(M221 &gt;= Sheet3!$B$4, "Mixed Reviews", "Low Reliability")))))</f>
        <v>Reliable</v>
      </c>
    </row>
    <row r="222">
      <c r="A222" s="3">
        <f t="shared" si="1"/>
        <v>221</v>
      </c>
      <c r="B222" s="4" t="s">
        <v>1857</v>
      </c>
      <c r="C222" s="5">
        <v>39.3293479</v>
      </c>
      <c r="D222" s="5">
        <v>-76.69029</v>
      </c>
      <c r="E222" s="4" t="s">
        <v>1858</v>
      </c>
      <c r="F222" s="4" t="s">
        <v>1859</v>
      </c>
      <c r="G222" s="4" t="s">
        <v>1860</v>
      </c>
      <c r="H222" s="4" t="s">
        <v>1861</v>
      </c>
      <c r="I222" s="4" t="s">
        <v>81</v>
      </c>
      <c r="J222" s="4" t="s">
        <v>1862</v>
      </c>
      <c r="K222" s="8" t="s">
        <v>1863</v>
      </c>
      <c r="L222" s="4" t="s">
        <v>1864</v>
      </c>
      <c r="M222" s="4">
        <v>12.0</v>
      </c>
      <c r="N222" s="5">
        <v>32.88333333</v>
      </c>
      <c r="O222" s="5" t="s">
        <v>1865</v>
      </c>
      <c r="P222" s="4">
        <v>9082026.0</v>
      </c>
      <c r="Q222" s="7" t="str">
        <f>IF(OR(ISBLANK(M222), ISBLANK(N222)), "", IF(N222 &lt; Sheet3!$B$6, "Insufficient Reviews", IF(M222 &gt;= Sheet3!$B$2, "Highly Reliable", IF(M222 &gt;= Sheet3!$B$3, "Reliable", IF(M222 &gt;= Sheet3!$B$4, "Mixed Reviews", "Low Reliability")))))</f>
        <v>Insufficient Reviews</v>
      </c>
    </row>
    <row r="223">
      <c r="A223" s="3">
        <f t="shared" si="1"/>
        <v>222</v>
      </c>
      <c r="B223" s="4" t="s">
        <v>1866</v>
      </c>
      <c r="C223" s="5">
        <v>39.341114</v>
      </c>
      <c r="D223" s="5">
        <v>-76.7224795</v>
      </c>
      <c r="E223" s="4" t="s">
        <v>1867</v>
      </c>
      <c r="F223" s="4" t="s">
        <v>1868</v>
      </c>
      <c r="G223" s="14"/>
      <c r="H223" s="4" t="s">
        <v>1869</v>
      </c>
      <c r="I223" s="4" t="s">
        <v>81</v>
      </c>
      <c r="J223" s="4" t="s">
        <v>1870</v>
      </c>
      <c r="K223" s="4"/>
      <c r="L223" s="4" t="s">
        <v>1871</v>
      </c>
      <c r="M223" s="4">
        <v>61.98158563</v>
      </c>
      <c r="N223" s="5">
        <v>31.6394451</v>
      </c>
      <c r="O223" s="5" t="s">
        <v>1872</v>
      </c>
      <c r="P223" s="4">
        <v>9082026.0</v>
      </c>
      <c r="Q223" s="7" t="str">
        <f>IF(OR(ISBLANK(M223), ISBLANK(N223)), "", IF(N223 &lt; Sheet3!$B$6, "Insufficient Reviews", IF(M223 &gt;= Sheet3!$B$2, "Highly Reliable", IF(M223 &gt;= Sheet3!$B$3, "Reliable", IF(M223 &gt;= Sheet3!$B$4, "Mixed Reviews", "Low Reliability")))))</f>
        <v>Insufficient Reviews</v>
      </c>
    </row>
    <row r="224">
      <c r="A224" s="3">
        <f t="shared" si="1"/>
        <v>223</v>
      </c>
      <c r="B224" s="4" t="s">
        <v>1873</v>
      </c>
      <c r="C224" s="5">
        <v>39.3766619</v>
      </c>
      <c r="D224" s="5">
        <v>-76.5600904</v>
      </c>
      <c r="E224" s="4" t="s">
        <v>1874</v>
      </c>
      <c r="F224" s="4" t="s">
        <v>1875</v>
      </c>
      <c r="G224" s="4" t="s">
        <v>1876</v>
      </c>
      <c r="H224" s="4" t="s">
        <v>1877</v>
      </c>
      <c r="I224" s="4" t="s">
        <v>81</v>
      </c>
      <c r="J224" s="4" t="s">
        <v>1878</v>
      </c>
      <c r="K224" s="8" t="s">
        <v>1879</v>
      </c>
      <c r="L224" s="4" t="s">
        <v>1880</v>
      </c>
      <c r="M224" s="4">
        <v>75.74641429</v>
      </c>
      <c r="N224" s="5">
        <v>47.38037182</v>
      </c>
      <c r="O224" s="5" t="s">
        <v>1881</v>
      </c>
      <c r="P224" s="4">
        <v>9082026.0</v>
      </c>
      <c r="Q224" s="7" t="str">
        <f>IF(OR(ISBLANK(M224), ISBLANK(N224)), "", IF(N224 &lt; Sheet3!$B$6, "Insufficient Reviews", IF(M224 &gt;= Sheet3!$B$2, "Highly Reliable", IF(M224 &gt;= Sheet3!$B$3, "Reliable", IF(M224 &gt;= Sheet3!$B$4, "Mixed Reviews", "Low Reliability")))))</f>
        <v>Reliable</v>
      </c>
    </row>
    <row r="225">
      <c r="A225" s="3">
        <f t="shared" si="1"/>
        <v>224</v>
      </c>
      <c r="B225" s="4" t="s">
        <v>1882</v>
      </c>
      <c r="C225" s="5">
        <v>39.412222</v>
      </c>
      <c r="D225" s="5">
        <v>-76.737401</v>
      </c>
      <c r="E225" s="4" t="s">
        <v>1883</v>
      </c>
      <c r="F225" s="4" t="s">
        <v>1884</v>
      </c>
      <c r="G225" s="4" t="s">
        <v>1885</v>
      </c>
      <c r="H225" s="4" t="s">
        <v>1886</v>
      </c>
      <c r="I225" s="4" t="s">
        <v>91</v>
      </c>
      <c r="J225" s="4" t="s">
        <v>1887</v>
      </c>
      <c r="K225" s="8" t="s">
        <v>1888</v>
      </c>
      <c r="L225" s="4" t="s">
        <v>1889</v>
      </c>
      <c r="M225" s="4">
        <v>76.41367551</v>
      </c>
      <c r="N225" s="5">
        <v>68.02244555</v>
      </c>
      <c r="O225" s="5" t="s">
        <v>1890</v>
      </c>
      <c r="P225" s="4">
        <v>9082026.0</v>
      </c>
      <c r="Q225" s="7" t="str">
        <f>IF(OR(ISBLANK(M225), ISBLANK(N225)), "", IF(N225 &lt; Sheet3!$B$6, "Insufficient Reviews", IF(M225 &gt;= Sheet3!$B$2, "Highly Reliable", IF(M225 &gt;= Sheet3!$B$3, "Reliable", IF(M225 &gt;= Sheet3!$B$4, "Mixed Reviews", "Low Reliability")))))</f>
        <v>Reliable</v>
      </c>
    </row>
    <row r="226">
      <c r="A226" s="3">
        <f t="shared" si="1"/>
        <v>225</v>
      </c>
      <c r="B226" s="4" t="s">
        <v>1891</v>
      </c>
      <c r="C226" s="5">
        <v>39.4168534</v>
      </c>
      <c r="D226" s="5">
        <v>-76.6326217</v>
      </c>
      <c r="E226" s="4" t="s">
        <v>1892</v>
      </c>
      <c r="F226" s="4" t="s">
        <v>1893</v>
      </c>
      <c r="G226" s="4" t="s">
        <v>1894</v>
      </c>
      <c r="H226" s="4" t="s">
        <v>135</v>
      </c>
      <c r="I226" s="4" t="s">
        <v>91</v>
      </c>
      <c r="J226" s="4" t="s">
        <v>1895</v>
      </c>
      <c r="K226" s="8" t="s">
        <v>1896</v>
      </c>
      <c r="L226" s="4" t="s">
        <v>1897</v>
      </c>
      <c r="M226" s="4">
        <v>84.08640306</v>
      </c>
      <c r="N226" s="5">
        <v>76.10093537</v>
      </c>
      <c r="O226" s="5" t="s">
        <v>1898</v>
      </c>
      <c r="P226" s="4">
        <v>9082026.0</v>
      </c>
      <c r="Q226" s="7" t="str">
        <f>IF(OR(ISBLANK(M226), ISBLANK(N226)), "", IF(N226 &lt; Sheet3!$B$6, "Insufficient Reviews", IF(M226 &gt;= Sheet3!$B$2, "Highly Reliable", IF(M226 &gt;= Sheet3!$B$3, "Reliable", IF(M226 &gt;= Sheet3!$B$4, "Mixed Reviews", "Low Reliability")))))</f>
        <v>Highly Reliable</v>
      </c>
    </row>
    <row r="227">
      <c r="A227" s="3">
        <f t="shared" si="1"/>
        <v>226</v>
      </c>
      <c r="B227" s="4" t="s">
        <v>1899</v>
      </c>
      <c r="C227" s="5">
        <v>39.2940512</v>
      </c>
      <c r="D227" s="5">
        <v>-76.7098718</v>
      </c>
      <c r="E227" s="4" t="s">
        <v>1900</v>
      </c>
      <c r="F227" s="4" t="s">
        <v>1901</v>
      </c>
      <c r="G227" s="4" t="s">
        <v>1902</v>
      </c>
      <c r="H227" s="4" t="s">
        <v>135</v>
      </c>
      <c r="I227" s="4" t="s">
        <v>81</v>
      </c>
      <c r="J227" s="4" t="s">
        <v>1903</v>
      </c>
      <c r="K227" s="8" t="s">
        <v>1904</v>
      </c>
      <c r="L227" s="4" t="s">
        <v>1905</v>
      </c>
      <c r="M227" s="4">
        <v>69.36100027</v>
      </c>
      <c r="N227" s="5">
        <v>55.78809462</v>
      </c>
      <c r="O227" s="5" t="s">
        <v>1906</v>
      </c>
      <c r="P227" s="4">
        <v>9082026.0</v>
      </c>
      <c r="Q227" s="7" t="str">
        <f>IF(OR(ISBLANK(M227), ISBLANK(N227)), "", IF(N227 &lt; Sheet3!$B$6, "Insufficient Reviews", IF(M227 &gt;= Sheet3!$B$2, "Highly Reliable", IF(M227 &gt;= Sheet3!$B$3, "Reliable", IF(M227 &gt;= Sheet3!$B$4, "Mixed Reviews", "Low Reliability")))))</f>
        <v>Mixed Reviews</v>
      </c>
    </row>
    <row r="228">
      <c r="A228" s="3">
        <f t="shared" si="1"/>
        <v>227</v>
      </c>
      <c r="B228" s="4" t="s">
        <v>1907</v>
      </c>
      <c r="C228" s="5">
        <v>39.3347167</v>
      </c>
      <c r="D228" s="5">
        <v>-76.6754171</v>
      </c>
      <c r="E228" s="4" t="s">
        <v>1908</v>
      </c>
      <c r="F228" s="4" t="s">
        <v>1909</v>
      </c>
      <c r="G228" s="4" t="s">
        <v>1910</v>
      </c>
      <c r="H228" s="4" t="s">
        <v>126</v>
      </c>
      <c r="I228" s="4" t="s">
        <v>81</v>
      </c>
      <c r="J228" s="4" t="s">
        <v>1911</v>
      </c>
      <c r="K228" s="8" t="s">
        <v>1912</v>
      </c>
      <c r="L228" s="4" t="s">
        <v>1913</v>
      </c>
      <c r="M228" s="4">
        <v>58.2</v>
      </c>
      <c r="N228" s="5">
        <v>48.73176491</v>
      </c>
      <c r="O228" s="5" t="s">
        <v>1914</v>
      </c>
      <c r="P228" s="4">
        <v>9082026.0</v>
      </c>
      <c r="Q228" s="7" t="str">
        <f>IF(OR(ISBLANK(M228), ISBLANK(N228)), "", IF(N228 &lt; Sheet3!$B$6, "Insufficient Reviews", IF(M228 &gt;= Sheet3!$B$2, "Highly Reliable", IF(M228 &gt;= Sheet3!$B$3, "Reliable", IF(M228 &gt;= Sheet3!$B$4, "Mixed Reviews", "Low Reliability")))))</f>
        <v>Low Reliability</v>
      </c>
    </row>
    <row r="229">
      <c r="A229" s="3">
        <f t="shared" si="1"/>
        <v>228</v>
      </c>
      <c r="B229" s="4" t="s">
        <v>1915</v>
      </c>
      <c r="C229" s="5">
        <v>39.3196746</v>
      </c>
      <c r="D229" s="5">
        <v>-76.6197015</v>
      </c>
      <c r="E229" s="4" t="s">
        <v>1916</v>
      </c>
      <c r="F229" s="4" t="s">
        <v>1917</v>
      </c>
      <c r="G229" s="4" t="s">
        <v>1918</v>
      </c>
      <c r="H229" s="4" t="s">
        <v>1919</v>
      </c>
      <c r="I229" s="4" t="s">
        <v>27</v>
      </c>
      <c r="J229" s="4" t="s">
        <v>1920</v>
      </c>
      <c r="K229" s="8" t="s">
        <v>1921</v>
      </c>
      <c r="L229" s="4" t="s">
        <v>1922</v>
      </c>
      <c r="M229" s="4">
        <v>62.61873736</v>
      </c>
      <c r="N229" s="5">
        <v>78.24647069</v>
      </c>
      <c r="O229" s="5" t="s">
        <v>1923</v>
      </c>
      <c r="P229" s="4">
        <v>9082026.0</v>
      </c>
      <c r="Q229" s="7" t="str">
        <f>IF(OR(ISBLANK(M229), ISBLANK(N229)), "", IF(N229 &lt; Sheet3!$B$6, "Insufficient Reviews", IF(M229 &gt;= Sheet3!$B$2, "Highly Reliable", IF(M229 &gt;= Sheet3!$B$3, "Reliable", IF(M229 &gt;= Sheet3!$B$4, "Mixed Reviews", "Low Reliability")))))</f>
        <v>Mixed Reviews</v>
      </c>
    </row>
    <row r="230">
      <c r="A230" s="3">
        <f t="shared" si="1"/>
        <v>229</v>
      </c>
      <c r="B230" s="4" t="s">
        <v>1924</v>
      </c>
      <c r="C230" s="5">
        <v>39.2595318</v>
      </c>
      <c r="D230" s="5">
        <v>-76.6716236</v>
      </c>
      <c r="E230" s="4" t="s">
        <v>1925</v>
      </c>
      <c r="F230" s="4" t="s">
        <v>1926</v>
      </c>
      <c r="G230" s="4" t="s">
        <v>1927</v>
      </c>
      <c r="H230" s="4" t="s">
        <v>1928</v>
      </c>
      <c r="I230" s="4" t="s">
        <v>91</v>
      </c>
      <c r="J230" s="4" t="s">
        <v>1929</v>
      </c>
      <c r="K230" s="8" t="s">
        <v>1930</v>
      </c>
      <c r="L230" s="4" t="s">
        <v>1931</v>
      </c>
      <c r="M230" s="4">
        <v>75.09977844</v>
      </c>
      <c r="N230" s="5">
        <v>72.50760812</v>
      </c>
      <c r="O230" s="5" t="s">
        <v>1932</v>
      </c>
      <c r="P230" s="4">
        <v>9082026.0</v>
      </c>
      <c r="Q230" s="7" t="str">
        <f>IF(OR(ISBLANK(M230), ISBLANK(N230)), "", IF(N230 &lt; Sheet3!$B$6, "Insufficient Reviews", IF(M230 &gt;= Sheet3!$B$2, "Highly Reliable", IF(M230 &gt;= Sheet3!$B$3, "Reliable", IF(M230 &gt;= Sheet3!$B$4, "Mixed Reviews", "Low Reliability")))))</f>
        <v>Reliable</v>
      </c>
    </row>
    <row r="231">
      <c r="A231" s="3">
        <f t="shared" si="1"/>
        <v>230</v>
      </c>
      <c r="B231" s="4" t="s">
        <v>1933</v>
      </c>
      <c r="C231" s="5">
        <v>39.3946844</v>
      </c>
      <c r="D231" s="5">
        <v>-76.5120565</v>
      </c>
      <c r="E231" s="4" t="s">
        <v>1934</v>
      </c>
      <c r="F231" s="4" t="s">
        <v>1935</v>
      </c>
      <c r="G231" s="4" t="s">
        <v>1936</v>
      </c>
      <c r="H231" s="4" t="s">
        <v>1928</v>
      </c>
      <c r="I231" s="4" t="s">
        <v>91</v>
      </c>
      <c r="J231" s="4" t="s">
        <v>1937</v>
      </c>
      <c r="K231" s="8" t="s">
        <v>1930</v>
      </c>
      <c r="L231" s="4" t="s">
        <v>1938</v>
      </c>
      <c r="M231" s="4">
        <v>79.65468555</v>
      </c>
      <c r="N231" s="5">
        <v>68.48431676</v>
      </c>
      <c r="O231" s="5" t="s">
        <v>1939</v>
      </c>
      <c r="P231" s="4">
        <v>9082026.0</v>
      </c>
      <c r="Q231" s="7" t="str">
        <f>IF(OR(ISBLANK(M231), ISBLANK(N231)), "", IF(N231 &lt; Sheet3!$B$6, "Insufficient Reviews", IF(M231 &gt;= Sheet3!$B$2, "Highly Reliable", IF(M231 &gt;= Sheet3!$B$3, "Reliable", IF(M231 &gt;= Sheet3!$B$4, "Mixed Reviews", "Low Reliability")))))</f>
        <v>Reliable</v>
      </c>
    </row>
    <row r="232">
      <c r="A232" s="3">
        <f t="shared" si="1"/>
        <v>231</v>
      </c>
      <c r="B232" s="4" t="s">
        <v>1940</v>
      </c>
      <c r="C232" s="5">
        <v>39.3762189</v>
      </c>
      <c r="D232" s="5">
        <v>-76.8188597</v>
      </c>
      <c r="E232" s="4" t="s">
        <v>1941</v>
      </c>
      <c r="F232" s="4" t="s">
        <v>1942</v>
      </c>
      <c r="G232" s="4" t="s">
        <v>1943</v>
      </c>
      <c r="H232" s="4" t="s">
        <v>1944</v>
      </c>
      <c r="I232" s="4" t="s">
        <v>91</v>
      </c>
      <c r="J232" s="4" t="s">
        <v>1945</v>
      </c>
      <c r="K232" s="8" t="s">
        <v>1930</v>
      </c>
      <c r="L232" s="4" t="s">
        <v>1946</v>
      </c>
      <c r="M232" s="4">
        <v>84.61483103</v>
      </c>
      <c r="N232" s="5">
        <v>76.86423534</v>
      </c>
      <c r="O232" s="5" t="s">
        <v>1947</v>
      </c>
      <c r="P232" s="4">
        <v>9082026.0</v>
      </c>
      <c r="Q232" s="7" t="str">
        <f>IF(OR(ISBLANK(M232), ISBLANK(N232)), "", IF(N232 &lt; Sheet3!$B$6, "Insufficient Reviews", IF(M232 &gt;= Sheet3!$B$2, "Highly Reliable", IF(M232 &gt;= Sheet3!$B$3, "Reliable", IF(M232 &gt;= Sheet3!$B$4, "Mixed Reviews", "Low Reliability")))))</f>
        <v>Highly Reliable</v>
      </c>
    </row>
    <row r="233">
      <c r="A233" s="3">
        <f t="shared" si="1"/>
        <v>232</v>
      </c>
      <c r="B233" s="4" t="s">
        <v>1948</v>
      </c>
      <c r="C233" s="5">
        <v>39.290156</v>
      </c>
      <c r="D233" s="5">
        <v>-76.4281498</v>
      </c>
      <c r="E233" s="4" t="s">
        <v>1949</v>
      </c>
      <c r="F233" s="4" t="s">
        <v>1950</v>
      </c>
      <c r="G233" s="4" t="s">
        <v>1951</v>
      </c>
      <c r="H233" s="4" t="s">
        <v>1952</v>
      </c>
      <c r="I233" s="4" t="s">
        <v>91</v>
      </c>
      <c r="J233" s="4" t="s">
        <v>1953</v>
      </c>
      <c r="K233" s="8" t="s">
        <v>1954</v>
      </c>
      <c r="L233" s="4" t="s">
        <v>1955</v>
      </c>
      <c r="M233" s="4">
        <v>81.97618378</v>
      </c>
      <c r="N233" s="5">
        <v>65.8798952</v>
      </c>
      <c r="O233" s="5" t="s">
        <v>1956</v>
      </c>
      <c r="P233" s="4">
        <v>9082026.0</v>
      </c>
      <c r="Q233" s="7" t="str">
        <f>IF(OR(ISBLANK(M233), ISBLANK(N233)), "", IF(N233 &lt; Sheet3!$B$6, "Insufficient Reviews", IF(M233 &gt;= Sheet3!$B$2, "Highly Reliable", IF(M233 &gt;= Sheet3!$B$3, "Reliable", IF(M233 &gt;= Sheet3!$B$4, "Mixed Reviews", "Low Reliability")))))</f>
        <v>Reliable</v>
      </c>
    </row>
    <row r="234">
      <c r="A234" s="3">
        <f t="shared" si="1"/>
        <v>233</v>
      </c>
      <c r="B234" s="4" t="s">
        <v>1957</v>
      </c>
      <c r="C234" s="5">
        <v>39.3280706</v>
      </c>
      <c r="D234" s="5">
        <v>-76.752116</v>
      </c>
      <c r="E234" s="4" t="s">
        <v>1958</v>
      </c>
      <c r="F234" s="4" t="s">
        <v>1959</v>
      </c>
      <c r="G234" s="4" t="s">
        <v>1960</v>
      </c>
      <c r="H234" s="4" t="s">
        <v>1961</v>
      </c>
      <c r="I234" s="4" t="s">
        <v>91</v>
      </c>
      <c r="J234" s="4" t="s">
        <v>1962</v>
      </c>
      <c r="K234" s="8" t="s">
        <v>1963</v>
      </c>
      <c r="L234" s="4" t="s">
        <v>1964</v>
      </c>
      <c r="M234" s="4">
        <v>75.39918507</v>
      </c>
      <c r="N234" s="5">
        <v>65.62377102</v>
      </c>
      <c r="O234" s="5" t="s">
        <v>1965</v>
      </c>
      <c r="P234" s="4">
        <v>9082026.0</v>
      </c>
      <c r="Q234" s="7" t="str">
        <f>IF(OR(ISBLANK(M234), ISBLANK(N234)), "", IF(N234 &lt; Sheet3!$B$6, "Insufficient Reviews", IF(M234 &gt;= Sheet3!$B$2, "Highly Reliable", IF(M234 &gt;= Sheet3!$B$3, "Reliable", IF(M234 &gt;= Sheet3!$B$4, "Mixed Reviews", "Low Reliability")))))</f>
        <v>Reliable</v>
      </c>
    </row>
    <row r="235">
      <c r="A235" s="3">
        <f t="shared" si="1"/>
        <v>234</v>
      </c>
      <c r="B235" s="4" t="s">
        <v>1966</v>
      </c>
      <c r="C235" s="5">
        <v>39.3439778</v>
      </c>
      <c r="D235" s="5">
        <v>-76.5437503</v>
      </c>
      <c r="E235" s="4" t="s">
        <v>1967</v>
      </c>
      <c r="F235" s="4" t="s">
        <v>1968</v>
      </c>
      <c r="G235" s="4" t="s">
        <v>1969</v>
      </c>
      <c r="H235" s="4" t="s">
        <v>1970</v>
      </c>
      <c r="I235" s="4" t="s">
        <v>91</v>
      </c>
      <c r="J235" s="4" t="s">
        <v>1971</v>
      </c>
      <c r="K235" s="8" t="s">
        <v>1972</v>
      </c>
      <c r="L235" s="4" t="s">
        <v>1973</v>
      </c>
      <c r="M235" s="4">
        <v>76.25225528</v>
      </c>
      <c r="N235" s="5">
        <v>65.82415922</v>
      </c>
      <c r="O235" s="5" t="s">
        <v>1974</v>
      </c>
      <c r="P235" s="4">
        <v>9082026.0</v>
      </c>
      <c r="Q235" s="7" t="str">
        <f>IF(OR(ISBLANK(M235), ISBLANK(N235)), "", IF(N235 &lt; Sheet3!$B$6, "Insufficient Reviews", IF(M235 &gt;= Sheet3!$B$2, "Highly Reliable", IF(M235 &gt;= Sheet3!$B$3, "Reliable", IF(M235 &gt;= Sheet3!$B$4, "Mixed Reviews", "Low Reliability")))))</f>
        <v>Reliable</v>
      </c>
    </row>
    <row r="236">
      <c r="A236" s="3">
        <f t="shared" si="1"/>
        <v>235</v>
      </c>
      <c r="B236" s="4" t="s">
        <v>1975</v>
      </c>
      <c r="C236" s="5">
        <v>39.4059286</v>
      </c>
      <c r="D236" s="5">
        <v>-76.6648551</v>
      </c>
      <c r="E236" s="4" t="s">
        <v>1976</v>
      </c>
      <c r="F236" s="4" t="s">
        <v>1977</v>
      </c>
      <c r="G236" s="4" t="s">
        <v>1978</v>
      </c>
      <c r="H236" s="4" t="s">
        <v>135</v>
      </c>
      <c r="I236" s="4" t="s">
        <v>91</v>
      </c>
      <c r="J236" s="4" t="s">
        <v>1979</v>
      </c>
      <c r="K236" s="8" t="s">
        <v>1980</v>
      </c>
      <c r="L236" s="4" t="s">
        <v>1981</v>
      </c>
      <c r="M236" s="4">
        <v>78.88819474</v>
      </c>
      <c r="N236" s="5">
        <v>73.41279449</v>
      </c>
      <c r="O236" s="5" t="s">
        <v>1982</v>
      </c>
      <c r="P236" s="4">
        <v>9082026.0</v>
      </c>
      <c r="Q236" s="7" t="str">
        <f>IF(OR(ISBLANK(M236), ISBLANK(N236)), "", IF(N236 &lt; Sheet3!$B$6, "Insufficient Reviews", IF(M236 &gt;= Sheet3!$B$2, "Highly Reliable", IF(M236 &gt;= Sheet3!$B$3, "Reliable", IF(M236 &gt;= Sheet3!$B$4, "Mixed Reviews", "Low Reliability")))))</f>
        <v>Reliable</v>
      </c>
    </row>
    <row r="237">
      <c r="A237" s="3">
        <f t="shared" si="1"/>
        <v>236</v>
      </c>
      <c r="B237" s="4" t="s">
        <v>1983</v>
      </c>
      <c r="C237" s="5">
        <v>39.3254557</v>
      </c>
      <c r="D237" s="5">
        <v>-76.6677727</v>
      </c>
      <c r="E237" s="4" t="s">
        <v>1984</v>
      </c>
      <c r="F237" s="4" t="s">
        <v>1985</v>
      </c>
      <c r="G237" s="4" t="s">
        <v>1986</v>
      </c>
      <c r="H237" s="4" t="s">
        <v>1987</v>
      </c>
      <c r="I237" s="4" t="s">
        <v>81</v>
      </c>
      <c r="J237" s="4" t="s">
        <v>1988</v>
      </c>
      <c r="K237" s="8" t="s">
        <v>1989</v>
      </c>
      <c r="L237" s="4" t="s">
        <v>1990</v>
      </c>
      <c r="M237" s="4">
        <v>15.0</v>
      </c>
      <c r="N237" s="5">
        <v>32.82333333</v>
      </c>
      <c r="O237" s="5" t="s">
        <v>1991</v>
      </c>
      <c r="P237" s="4">
        <v>9082026.0</v>
      </c>
      <c r="Q237" s="7" t="str">
        <f>IF(OR(ISBLANK(M237), ISBLANK(N237)), "", IF(N237 &lt; Sheet3!$B$6, "Insufficient Reviews", IF(M237 &gt;= Sheet3!$B$2, "Highly Reliable", IF(M237 &gt;= Sheet3!$B$3, "Reliable", IF(M237 &gt;= Sheet3!$B$4, "Mixed Reviews", "Low Reliability")))))</f>
        <v>Insufficient Reviews</v>
      </c>
    </row>
    <row r="238">
      <c r="A238" s="3">
        <f t="shared" si="1"/>
        <v>237</v>
      </c>
      <c r="B238" s="4" t="s">
        <v>1992</v>
      </c>
      <c r="C238" s="5">
        <v>39.3191045</v>
      </c>
      <c r="D238" s="5">
        <v>-76.5478496</v>
      </c>
      <c r="E238" s="4" t="s">
        <v>1993</v>
      </c>
      <c r="F238" s="4" t="s">
        <v>1994</v>
      </c>
      <c r="G238" s="4" t="s">
        <v>1995</v>
      </c>
      <c r="H238" s="4" t="s">
        <v>1996</v>
      </c>
      <c r="I238" s="4" t="s">
        <v>81</v>
      </c>
      <c r="J238" s="4" t="s">
        <v>1997</v>
      </c>
      <c r="K238" s="4"/>
      <c r="L238" s="4" t="s">
        <v>1998</v>
      </c>
      <c r="M238" s="4">
        <v>70.5</v>
      </c>
      <c r="N238" s="5">
        <v>20.21109563</v>
      </c>
      <c r="O238" s="5" t="s">
        <v>1999</v>
      </c>
      <c r="P238" s="4">
        <v>9082026.0</v>
      </c>
      <c r="Q238" s="7" t="str">
        <f>IF(OR(ISBLANK(M238), ISBLANK(N238)), "", IF(N238 &lt; Sheet3!$B$6, "Insufficient Reviews", IF(M238 &gt;= Sheet3!$B$2, "Highly Reliable", IF(M238 &gt;= Sheet3!$B$3, "Reliable", IF(M238 &gt;= Sheet3!$B$4, "Mixed Reviews", "Low Reliability")))))</f>
        <v>Insufficient Reviews</v>
      </c>
    </row>
    <row r="239">
      <c r="A239" s="3">
        <f t="shared" si="1"/>
        <v>238</v>
      </c>
      <c r="B239" s="4" t="s">
        <v>2000</v>
      </c>
      <c r="C239" s="5">
        <v>39.27765</v>
      </c>
      <c r="D239" s="5">
        <v>-76.569102</v>
      </c>
      <c r="E239" s="4" t="s">
        <v>2001</v>
      </c>
      <c r="F239" s="4" t="s">
        <v>2002</v>
      </c>
      <c r="G239" s="4" t="s">
        <v>2003</v>
      </c>
      <c r="H239" s="4" t="s">
        <v>2004</v>
      </c>
      <c r="I239" s="4" t="s">
        <v>81</v>
      </c>
      <c r="J239" s="4" t="s">
        <v>2005</v>
      </c>
      <c r="K239" s="8" t="s">
        <v>2006</v>
      </c>
      <c r="L239" s="4" t="s">
        <v>2007</v>
      </c>
      <c r="M239" s="4">
        <v>41.81262999</v>
      </c>
      <c r="N239" s="5">
        <v>54.81098321</v>
      </c>
      <c r="O239" s="5" t="s">
        <v>2008</v>
      </c>
      <c r="P239" s="9">
        <v>9082026.0</v>
      </c>
      <c r="Q239" s="7" t="str">
        <f>IF(OR(ISBLANK(M239), ISBLANK(N239)), "", IF(N239 &lt; Sheet3!$B$6, "Insufficient Reviews", IF(M239 &gt;= Sheet3!$B$2, "Highly Reliable", IF(M239 &gt;= Sheet3!$B$3, "Reliable", IF(M239 &gt;= Sheet3!$B$4, "Mixed Reviews", "Low Reliability")))))</f>
        <v>Low Reliability</v>
      </c>
    </row>
    <row r="240">
      <c r="A240" s="3">
        <f t="shared" si="1"/>
        <v>239</v>
      </c>
      <c r="B240" s="9" t="s">
        <v>2009</v>
      </c>
      <c r="C240" s="10">
        <v>39.3917876</v>
      </c>
      <c r="D240" s="10">
        <v>-76.5980232</v>
      </c>
      <c r="E240" s="9" t="s">
        <v>2010</v>
      </c>
      <c r="F240" s="9" t="s">
        <v>2011</v>
      </c>
      <c r="G240" s="9" t="s">
        <v>2012</v>
      </c>
      <c r="H240" s="9" t="s">
        <v>2013</v>
      </c>
      <c r="I240" s="9" t="s">
        <v>81</v>
      </c>
      <c r="J240" s="9" t="s">
        <v>2014</v>
      </c>
      <c r="K240" s="9"/>
      <c r="L240" s="9" t="s">
        <v>2015</v>
      </c>
      <c r="M240" s="9">
        <v>50.41571589</v>
      </c>
      <c r="N240" s="10">
        <v>37.4067482</v>
      </c>
      <c r="O240" s="10" t="s">
        <v>2016</v>
      </c>
      <c r="P240" s="9">
        <v>9082026.0</v>
      </c>
      <c r="Q240" s="7" t="str">
        <f>IF(OR(ISBLANK(M240), ISBLANK(N240)), "", IF(N240 &lt; Sheet3!$B$6, "Insufficient Reviews", IF(M240 &gt;= Sheet3!$B$2, "Highly Reliable", IF(M240 &gt;= Sheet3!$B$3, "Reliable", IF(M240 &gt;= Sheet3!$B$4, "Mixed Reviews", "Low Reliability")))))</f>
        <v>Insufficient Reviews</v>
      </c>
    </row>
    <row r="241">
      <c r="A241" s="3">
        <f t="shared" si="1"/>
        <v>240</v>
      </c>
      <c r="B241" s="9" t="s">
        <v>2017</v>
      </c>
      <c r="C241" s="10">
        <v>39.3165541</v>
      </c>
      <c r="D241" s="10">
        <v>-76.6795939</v>
      </c>
      <c r="E241" s="9" t="s">
        <v>2018</v>
      </c>
      <c r="F241" s="9" t="s">
        <v>2019</v>
      </c>
      <c r="G241" s="9"/>
      <c r="H241" s="9" t="s">
        <v>135</v>
      </c>
      <c r="I241" s="9" t="s">
        <v>81</v>
      </c>
      <c r="J241" s="9" t="s">
        <v>2020</v>
      </c>
      <c r="K241" s="9"/>
      <c r="L241" s="9" t="s">
        <v>2021</v>
      </c>
      <c r="M241" s="9">
        <v>83.08006168</v>
      </c>
      <c r="N241" s="10">
        <v>44.46003315</v>
      </c>
      <c r="O241" s="10" t="s">
        <v>2022</v>
      </c>
      <c r="P241" s="9">
        <v>9082026.0</v>
      </c>
      <c r="Q241" s="7" t="str">
        <f>IF(OR(ISBLANK(M241), ISBLANK(N241)), "", IF(N241 &lt; Sheet3!$B$6, "Insufficient Reviews", IF(M241 &gt;= Sheet3!$B$2, "Highly Reliable", IF(M241 &gt;= Sheet3!$B$3, "Reliable", IF(M241 &gt;= Sheet3!$B$4, "Mixed Reviews", "Low Reliability")))))</f>
        <v>Highly Reliable</v>
      </c>
    </row>
    <row r="242">
      <c r="A242" s="3">
        <f t="shared" si="1"/>
        <v>241</v>
      </c>
      <c r="B242" s="9" t="s">
        <v>2023</v>
      </c>
      <c r="C242" s="10">
        <v>39.3330359</v>
      </c>
      <c r="D242" s="10">
        <v>-76.6628929</v>
      </c>
      <c r="E242" s="9" t="s">
        <v>2024</v>
      </c>
      <c r="F242" s="9" t="s">
        <v>2025</v>
      </c>
      <c r="G242" s="9" t="s">
        <v>2026</v>
      </c>
      <c r="H242" s="9" t="s">
        <v>2027</v>
      </c>
      <c r="I242" s="9" t="s">
        <v>81</v>
      </c>
      <c r="J242" s="9" t="s">
        <v>2028</v>
      </c>
      <c r="K242" s="12" t="s">
        <v>2029</v>
      </c>
      <c r="L242" s="9" t="s">
        <v>2030</v>
      </c>
      <c r="M242" s="9">
        <v>61.32817135</v>
      </c>
      <c r="N242" s="10">
        <v>55.26796029</v>
      </c>
      <c r="O242" s="10" t="s">
        <v>2031</v>
      </c>
      <c r="P242" s="9">
        <v>9082026.0</v>
      </c>
      <c r="Q242" s="7" t="str">
        <f>IF(OR(ISBLANK(M242), ISBLANK(N242)), "", IF(N242 &lt; Sheet3!$B$6, "Insufficient Reviews", IF(M242 &gt;= Sheet3!$B$2, "Highly Reliable", IF(M242 &gt;= Sheet3!$B$3, "Reliable", IF(M242 &gt;= Sheet3!$B$4, "Mixed Reviews", "Low Reliability")))))</f>
        <v>Mixed Reviews</v>
      </c>
    </row>
    <row r="243">
      <c r="A243" s="3">
        <f t="shared" si="1"/>
        <v>242</v>
      </c>
      <c r="B243" s="9" t="s">
        <v>2032</v>
      </c>
      <c r="C243" s="10">
        <v>39.333215</v>
      </c>
      <c r="D243" s="10">
        <v>-76.64903</v>
      </c>
      <c r="E243" s="9" t="s">
        <v>2033</v>
      </c>
      <c r="F243" s="9" t="s">
        <v>2034</v>
      </c>
      <c r="G243" s="9"/>
      <c r="H243" s="9" t="s">
        <v>2035</v>
      </c>
      <c r="I243" s="9" t="s">
        <v>91</v>
      </c>
      <c r="J243" s="9" t="s">
        <v>2036</v>
      </c>
      <c r="K243" s="12" t="s">
        <v>2037</v>
      </c>
      <c r="L243" s="9" t="s">
        <v>2038</v>
      </c>
      <c r="M243" s="9">
        <v>70.06283056</v>
      </c>
      <c r="N243" s="10">
        <v>71.40419132</v>
      </c>
      <c r="O243" s="10" t="s">
        <v>2039</v>
      </c>
      <c r="P243" s="9">
        <v>9082026.0</v>
      </c>
      <c r="Q243" s="7" t="str">
        <f>IF(OR(ISBLANK(M243), ISBLANK(N243)), "", IF(N243 &lt; Sheet3!$B$6, "Insufficient Reviews", IF(M243 &gt;= Sheet3!$B$2, "Highly Reliable", IF(M243 &gt;= Sheet3!$B$3, "Reliable", IF(M243 &gt;= Sheet3!$B$4, "Mixed Reviews", "Low Reliability")))))</f>
        <v>Reliable</v>
      </c>
    </row>
    <row r="244">
      <c r="A244" s="3">
        <f t="shared" si="1"/>
        <v>243</v>
      </c>
      <c r="B244" s="9" t="s">
        <v>2040</v>
      </c>
      <c r="C244" s="10">
        <v>39.3166542</v>
      </c>
      <c r="D244" s="10">
        <v>-76.7293468</v>
      </c>
      <c r="E244" s="9" t="s">
        <v>2041</v>
      </c>
      <c r="F244" s="9" t="s">
        <v>2042</v>
      </c>
      <c r="G244" s="9" t="s">
        <v>2043</v>
      </c>
      <c r="H244" s="9" t="s">
        <v>53</v>
      </c>
      <c r="I244" s="9" t="s">
        <v>91</v>
      </c>
      <c r="J244" s="9" t="s">
        <v>2044</v>
      </c>
      <c r="K244" s="12" t="s">
        <v>1972</v>
      </c>
      <c r="L244" s="9" t="s">
        <v>2045</v>
      </c>
      <c r="M244" s="9">
        <v>62.43260009</v>
      </c>
      <c r="N244" s="10">
        <v>58.56092568</v>
      </c>
      <c r="O244" s="10" t="s">
        <v>2046</v>
      </c>
      <c r="P244" s="9">
        <v>9082026.0</v>
      </c>
      <c r="Q244" s="7" t="str">
        <f>IF(OR(ISBLANK(M244), ISBLANK(N244)), "", IF(N244 &lt; Sheet3!$B$6, "Insufficient Reviews", IF(M244 &gt;= Sheet3!$B$2, "Highly Reliable", IF(M244 &gt;= Sheet3!$B$3, "Reliable", IF(M244 &gt;= Sheet3!$B$4, "Mixed Reviews", "Low Reliability")))))</f>
        <v>Mixed Reviews</v>
      </c>
    </row>
    <row r="245">
      <c r="A245" s="3">
        <f t="shared" si="1"/>
        <v>244</v>
      </c>
      <c r="B245" s="9" t="s">
        <v>2047</v>
      </c>
      <c r="C245" s="10">
        <v>39.382743</v>
      </c>
      <c r="D245" s="10">
        <v>-76.7337276</v>
      </c>
      <c r="E245" s="9" t="s">
        <v>2048</v>
      </c>
      <c r="F245" s="9" t="s">
        <v>2049</v>
      </c>
      <c r="G245" s="9"/>
      <c r="H245" s="9" t="s">
        <v>2050</v>
      </c>
      <c r="I245" s="9" t="s">
        <v>203</v>
      </c>
      <c r="J245" s="9" t="s">
        <v>2051</v>
      </c>
      <c r="K245" s="9"/>
      <c r="L245" s="9" t="s">
        <v>2052</v>
      </c>
      <c r="M245" s="9">
        <v>10.5</v>
      </c>
      <c r="N245" s="10">
        <v>15.91666667</v>
      </c>
      <c r="O245" s="10" t="s">
        <v>741</v>
      </c>
      <c r="P245" s="9">
        <v>9082026.0</v>
      </c>
      <c r="Q245" s="7" t="str">
        <f>IF(OR(ISBLANK(M245), ISBLANK(N245)), "", IF(N245 &lt; Sheet3!$B$6, "Insufficient Reviews", IF(M245 &gt;= Sheet3!$B$2, "Highly Reliable", IF(M245 &gt;= Sheet3!$B$3, "Reliable", IF(M245 &gt;= Sheet3!$B$4, "Mixed Reviews", "Low Reliability")))))</f>
        <v>Insufficient Reviews</v>
      </c>
    </row>
    <row r="246">
      <c r="A246" s="3">
        <f t="shared" si="1"/>
        <v>245</v>
      </c>
      <c r="B246" s="9" t="s">
        <v>2053</v>
      </c>
      <c r="C246" s="10">
        <v>39.3301788</v>
      </c>
      <c r="D246" s="10">
        <v>-76.6987264</v>
      </c>
      <c r="E246" s="9" t="s">
        <v>2054</v>
      </c>
      <c r="F246" s="9" t="s">
        <v>2055</v>
      </c>
      <c r="G246" s="9"/>
      <c r="H246" s="9" t="s">
        <v>2056</v>
      </c>
      <c r="I246" s="9" t="s">
        <v>81</v>
      </c>
      <c r="J246" s="9" t="s">
        <v>2057</v>
      </c>
      <c r="K246" s="12" t="s">
        <v>2058</v>
      </c>
      <c r="L246" s="9" t="s">
        <v>2059</v>
      </c>
      <c r="M246" s="9">
        <v>27.6</v>
      </c>
      <c r="N246" s="10">
        <v>40.45219126</v>
      </c>
      <c r="O246" s="10" t="s">
        <v>2060</v>
      </c>
      <c r="P246" s="9">
        <v>9082026.0</v>
      </c>
      <c r="Q246" s="7" t="str">
        <f>IF(OR(ISBLANK(M246), ISBLANK(N246)), "", IF(N246 &lt; Sheet3!$B$6, "Insufficient Reviews", IF(M246 &gt;= Sheet3!$B$2, "Highly Reliable", IF(M246 &gt;= Sheet3!$B$3, "Reliable", IF(M246 &gt;= Sheet3!$B$4, "Mixed Reviews", "Low Reliability")))))</f>
        <v>Low Reliability</v>
      </c>
    </row>
    <row r="247">
      <c r="A247" s="3">
        <f t="shared" si="1"/>
        <v>246</v>
      </c>
      <c r="B247" s="9" t="s">
        <v>2061</v>
      </c>
      <c r="C247" s="10">
        <v>39.3821875</v>
      </c>
      <c r="D247" s="10">
        <v>-76.5359244</v>
      </c>
      <c r="E247" s="9" t="s">
        <v>2062</v>
      </c>
      <c r="F247" s="9" t="s">
        <v>2063</v>
      </c>
      <c r="G247" s="9" t="s">
        <v>2064</v>
      </c>
      <c r="H247" s="9" t="s">
        <v>135</v>
      </c>
      <c r="I247" s="9" t="s">
        <v>91</v>
      </c>
      <c r="J247" s="9" t="s">
        <v>2065</v>
      </c>
      <c r="K247" s="12" t="s">
        <v>2066</v>
      </c>
      <c r="L247" s="9" t="s">
        <v>2067</v>
      </c>
      <c r="M247" s="9">
        <v>85.44360222</v>
      </c>
      <c r="N247" s="10">
        <v>76.46240148</v>
      </c>
      <c r="O247" s="10" t="s">
        <v>2068</v>
      </c>
      <c r="P247" s="9">
        <v>9082026.0</v>
      </c>
      <c r="Q247" s="7" t="str">
        <f>IF(OR(ISBLANK(M247), ISBLANK(N247)), "", IF(N247 &lt; Sheet3!$B$6, "Insufficient Reviews", IF(M247 &gt;= Sheet3!$B$2, "Highly Reliable", IF(M247 &gt;= Sheet3!$B$3, "Reliable", IF(M247 &gt;= Sheet3!$B$4, "Mixed Reviews", "Low Reliability")))))</f>
        <v>Highly Reliable</v>
      </c>
    </row>
    <row r="248">
      <c r="A248" s="3">
        <f t="shared" si="1"/>
        <v>247</v>
      </c>
      <c r="B248" s="9" t="s">
        <v>2069</v>
      </c>
      <c r="C248" s="10">
        <v>39.350535</v>
      </c>
      <c r="D248" s="10">
        <v>-76.686031</v>
      </c>
      <c r="E248" s="9" t="s">
        <v>2070</v>
      </c>
      <c r="F248" s="9" t="s">
        <v>2071</v>
      </c>
      <c r="G248" s="9"/>
      <c r="H248" s="9" t="s">
        <v>135</v>
      </c>
      <c r="I248" s="9" t="s">
        <v>81</v>
      </c>
      <c r="J248" s="9" t="s">
        <v>2072</v>
      </c>
      <c r="K248" s="9"/>
      <c r="L248" s="9" t="s">
        <v>2073</v>
      </c>
      <c r="M248" s="9">
        <v>72.0</v>
      </c>
      <c r="N248" s="10">
        <v>20.19609563</v>
      </c>
      <c r="O248" s="10" t="s">
        <v>1999</v>
      </c>
      <c r="P248" s="9">
        <v>9082026.0</v>
      </c>
      <c r="Q248" s="7" t="str">
        <f>IF(OR(ISBLANK(M248), ISBLANK(N248)), "", IF(N248 &lt; Sheet3!$B$6, "Insufficient Reviews", IF(M248 &gt;= Sheet3!$B$2, "Highly Reliable", IF(M248 &gt;= Sheet3!$B$3, "Reliable", IF(M248 &gt;= Sheet3!$B$4, "Mixed Reviews", "Low Reliability")))))</f>
        <v>Insufficient Reviews</v>
      </c>
    </row>
    <row r="249">
      <c r="A249" s="3">
        <f t="shared" si="1"/>
        <v>248</v>
      </c>
      <c r="B249" s="9" t="s">
        <v>2074</v>
      </c>
      <c r="C249" s="10">
        <v>39.3474538</v>
      </c>
      <c r="D249" s="10">
        <v>-76.5353431</v>
      </c>
      <c r="E249" s="9" t="s">
        <v>2075</v>
      </c>
      <c r="F249" s="9" t="s">
        <v>2076</v>
      </c>
      <c r="G249" s="9"/>
      <c r="H249" s="9" t="s">
        <v>2077</v>
      </c>
      <c r="I249" s="9" t="s">
        <v>81</v>
      </c>
      <c r="J249" s="9" t="s">
        <v>2078</v>
      </c>
      <c r="K249" s="9"/>
      <c r="L249" s="9" t="s">
        <v>2079</v>
      </c>
      <c r="M249" s="9">
        <v>72.0</v>
      </c>
      <c r="N249" s="10">
        <v>19.67109563</v>
      </c>
      <c r="O249" s="10" t="s">
        <v>2080</v>
      </c>
      <c r="P249" s="9">
        <v>9082026.0</v>
      </c>
      <c r="Q249" s="7" t="str">
        <f>IF(OR(ISBLANK(M249), ISBLANK(N249)), "", IF(N249 &lt; Sheet3!$B$6, "Insufficient Reviews", IF(M249 &gt;= Sheet3!$B$2, "Highly Reliable", IF(M249 &gt;= Sheet3!$B$3, "Reliable", IF(M249 &gt;= Sheet3!$B$4, "Mixed Reviews", "Low Reliability")))))</f>
        <v>Insufficient Reviews</v>
      </c>
    </row>
    <row r="250">
      <c r="A250" s="3">
        <f t="shared" si="1"/>
        <v>249</v>
      </c>
      <c r="B250" s="9" t="s">
        <v>2081</v>
      </c>
      <c r="C250" s="10">
        <v>39.3682196</v>
      </c>
      <c r="D250" s="10">
        <v>-76.3622438</v>
      </c>
      <c r="E250" s="9" t="s">
        <v>2082</v>
      </c>
      <c r="F250" s="9" t="s">
        <v>2083</v>
      </c>
      <c r="G250" s="9" t="s">
        <v>2084</v>
      </c>
      <c r="H250" s="9" t="s">
        <v>2085</v>
      </c>
      <c r="I250" s="9" t="s">
        <v>91</v>
      </c>
      <c r="J250" s="9" t="s">
        <v>2086</v>
      </c>
      <c r="K250" s="12" t="s">
        <v>2087</v>
      </c>
      <c r="L250" s="9" t="s">
        <v>2088</v>
      </c>
      <c r="M250" s="9">
        <v>78.81276717</v>
      </c>
      <c r="N250" s="10">
        <v>70.37517811</v>
      </c>
      <c r="O250" s="10" t="s">
        <v>2089</v>
      </c>
      <c r="P250" s="9">
        <v>9082026.0</v>
      </c>
      <c r="Q250" s="7" t="str">
        <f>IF(OR(ISBLANK(M250), ISBLANK(N250)), "", IF(N250 &lt; Sheet3!$B$6, "Insufficient Reviews", IF(M250 &gt;= Sheet3!$B$2, "Highly Reliable", IF(M250 &gt;= Sheet3!$B$3, "Reliable", IF(M250 &gt;= Sheet3!$B$4, "Mixed Reviews", "Low Reliability")))))</f>
        <v>Reliable</v>
      </c>
    </row>
    <row r="251">
      <c r="A251" s="3">
        <f t="shared" si="1"/>
        <v>250</v>
      </c>
      <c r="B251" s="9" t="s">
        <v>2090</v>
      </c>
      <c r="C251" s="10">
        <v>39.3687154</v>
      </c>
      <c r="D251" s="10">
        <v>-76.5430438</v>
      </c>
      <c r="E251" s="9" t="s">
        <v>2091</v>
      </c>
      <c r="F251" s="9" t="s">
        <v>2092</v>
      </c>
      <c r="G251" s="9" t="s">
        <v>2093</v>
      </c>
      <c r="H251" s="9" t="s">
        <v>2094</v>
      </c>
      <c r="I251" s="9" t="s">
        <v>91</v>
      </c>
      <c r="J251" s="9" t="s">
        <v>2095</v>
      </c>
      <c r="K251" s="9"/>
      <c r="L251" s="9" t="s">
        <v>2096</v>
      </c>
      <c r="M251" s="9">
        <v>12.0</v>
      </c>
      <c r="N251" s="10">
        <v>15.91666667</v>
      </c>
      <c r="O251" s="10" t="s">
        <v>741</v>
      </c>
      <c r="P251" s="9">
        <v>9082026.0</v>
      </c>
      <c r="Q251" s="7" t="str">
        <f>IF(OR(ISBLANK(M251), ISBLANK(N251)), "", IF(N251 &lt; Sheet3!$B$6, "Insufficient Reviews", IF(M251 &gt;= Sheet3!$B$2, "Highly Reliable", IF(M251 &gt;= Sheet3!$B$3, "Reliable", IF(M251 &gt;= Sheet3!$B$4, "Mixed Reviews", "Low Reliability")))))</f>
        <v>Insufficient Reviews</v>
      </c>
    </row>
    <row r="252">
      <c r="A252" s="3">
        <f t="shared" si="1"/>
        <v>251</v>
      </c>
      <c r="B252" s="9" t="s">
        <v>2097</v>
      </c>
      <c r="C252" s="10">
        <v>39.2946408</v>
      </c>
      <c r="D252" s="10">
        <v>-76.5888892</v>
      </c>
      <c r="E252" s="9" t="s">
        <v>2098</v>
      </c>
      <c r="F252" s="9" t="s">
        <v>2099</v>
      </c>
      <c r="G252" s="9" t="s">
        <v>2100</v>
      </c>
      <c r="H252" s="9" t="s">
        <v>2101</v>
      </c>
      <c r="I252" s="9" t="s">
        <v>81</v>
      </c>
      <c r="J252" s="9" t="s">
        <v>2102</v>
      </c>
      <c r="K252" s="12" t="s">
        <v>2103</v>
      </c>
      <c r="L252" s="9" t="s">
        <v>2104</v>
      </c>
      <c r="M252" s="9">
        <v>42.17255116</v>
      </c>
      <c r="N252" s="10">
        <v>55.79610453</v>
      </c>
      <c r="O252" s="10" t="s">
        <v>2105</v>
      </c>
      <c r="P252" s="9">
        <v>9082026.0</v>
      </c>
      <c r="Q252" s="7" t="str">
        <f>IF(OR(ISBLANK(M252), ISBLANK(N252)), "", IF(N252 &lt; Sheet3!$B$6, "Insufficient Reviews", IF(M252 &gt;= Sheet3!$B$2, "Highly Reliable", IF(M252 &gt;= Sheet3!$B$3, "Reliable", IF(M252 &gt;= Sheet3!$B$4, "Mixed Reviews", "Low Reliability")))))</f>
        <v>Low Reliability</v>
      </c>
    </row>
    <row r="253">
      <c r="A253" s="3">
        <f t="shared" si="1"/>
        <v>252</v>
      </c>
      <c r="B253" s="9" t="s">
        <v>2106</v>
      </c>
      <c r="C253" s="10">
        <v>39.2415161</v>
      </c>
      <c r="D253" s="10">
        <v>-76.7104263</v>
      </c>
      <c r="E253" s="9" t="s">
        <v>2107</v>
      </c>
      <c r="F253" s="9" t="s">
        <v>2108</v>
      </c>
      <c r="G253" s="11"/>
      <c r="H253" s="9" t="s">
        <v>34</v>
      </c>
      <c r="I253" s="9" t="s">
        <v>35</v>
      </c>
      <c r="J253" s="9" t="s">
        <v>2109</v>
      </c>
      <c r="K253" s="12" t="s">
        <v>2110</v>
      </c>
      <c r="L253" s="9" t="s">
        <v>2111</v>
      </c>
      <c r="M253" s="9">
        <v>72.81803853</v>
      </c>
      <c r="N253" s="10">
        <v>64.16798741</v>
      </c>
      <c r="O253" s="10" t="s">
        <v>2112</v>
      </c>
      <c r="P253" s="9">
        <v>9082026.0</v>
      </c>
      <c r="Q253" s="7" t="str">
        <f>IF(OR(ISBLANK(M253), ISBLANK(N253)), "", IF(N253 &lt; Sheet3!$B$6, "Insufficient Reviews", IF(M253 &gt;= Sheet3!$B$2, "Highly Reliable", IF(M253 &gt;= Sheet3!$B$3, "Reliable", IF(M253 &gt;= Sheet3!$B$4, "Mixed Reviews", "Low Reliability")))))</f>
        <v>Reliable</v>
      </c>
    </row>
    <row r="254">
      <c r="A254" s="3">
        <f t="shared" si="1"/>
        <v>253</v>
      </c>
      <c r="B254" s="9" t="s">
        <v>2113</v>
      </c>
      <c r="C254" s="10">
        <v>39.3924333</v>
      </c>
      <c r="D254" s="10">
        <v>-76.7417742</v>
      </c>
      <c r="E254" s="9" t="s">
        <v>2114</v>
      </c>
      <c r="F254" s="9" t="s">
        <v>2115</v>
      </c>
      <c r="G254" s="9" t="s">
        <v>2116</v>
      </c>
      <c r="H254" s="9" t="s">
        <v>135</v>
      </c>
      <c r="I254" s="9" t="s">
        <v>91</v>
      </c>
      <c r="J254" s="9" t="s">
        <v>2117</v>
      </c>
      <c r="K254" s="12" t="s">
        <v>2118</v>
      </c>
      <c r="L254" s="9" t="s">
        <v>2119</v>
      </c>
      <c r="M254" s="9">
        <v>86.01396467</v>
      </c>
      <c r="N254" s="10">
        <v>76.25832384</v>
      </c>
      <c r="O254" s="10" t="s">
        <v>2120</v>
      </c>
      <c r="P254" s="9">
        <v>9082026.0</v>
      </c>
      <c r="Q254" s="7" t="str">
        <f>IF(OR(ISBLANK(M254), ISBLANK(N254)), "", IF(N254 &lt; Sheet3!$B$6, "Insufficient Reviews", IF(M254 &gt;= Sheet3!$B$2, "Highly Reliable", IF(M254 &gt;= Sheet3!$B$3, "Reliable", IF(M254 &gt;= Sheet3!$B$4, "Mixed Reviews", "Low Reliability")))))</f>
        <v>Highly Reliable</v>
      </c>
    </row>
    <row r="255">
      <c r="A255" s="3">
        <f t="shared" si="1"/>
        <v>254</v>
      </c>
      <c r="B255" s="9" t="s">
        <v>2121</v>
      </c>
      <c r="C255" s="10">
        <v>39.4113181</v>
      </c>
      <c r="D255" s="10">
        <v>-76.6437294</v>
      </c>
      <c r="E255" s="9" t="s">
        <v>2122</v>
      </c>
      <c r="F255" s="9" t="s">
        <v>2123</v>
      </c>
      <c r="G255" s="9" t="s">
        <v>2124</v>
      </c>
      <c r="H255" s="9" t="s">
        <v>135</v>
      </c>
      <c r="I255" s="9" t="s">
        <v>81</v>
      </c>
      <c r="J255" s="9" t="s">
        <v>2125</v>
      </c>
      <c r="K255" s="12" t="s">
        <v>2126</v>
      </c>
      <c r="L255" s="9" t="s">
        <v>2127</v>
      </c>
      <c r="M255" s="9">
        <v>72.86028096</v>
      </c>
      <c r="N255" s="10">
        <v>71.84335617</v>
      </c>
      <c r="O255" s="10" t="s">
        <v>2128</v>
      </c>
      <c r="P255" s="9">
        <v>9082026.0</v>
      </c>
      <c r="Q255" s="7" t="str">
        <f>IF(OR(ISBLANK(M255), ISBLANK(N255)), "", IF(N255 &lt; Sheet3!$B$6, "Insufficient Reviews", IF(M255 &gt;= Sheet3!$B$2, "Highly Reliable", IF(M255 &gt;= Sheet3!$B$3, "Reliable", IF(M255 &gt;= Sheet3!$B$4, "Mixed Reviews", "Low Reliability")))))</f>
        <v>Reliable</v>
      </c>
    </row>
    <row r="256">
      <c r="A256" s="3">
        <f t="shared" si="1"/>
        <v>255</v>
      </c>
      <c r="B256" s="9" t="s">
        <v>2129</v>
      </c>
      <c r="C256" s="10">
        <v>39.3089485</v>
      </c>
      <c r="D256" s="10">
        <v>-76.6626886</v>
      </c>
      <c r="E256" s="9" t="s">
        <v>2130</v>
      </c>
      <c r="F256" s="9" t="s">
        <v>2131</v>
      </c>
      <c r="G256" s="9"/>
      <c r="H256" s="9" t="s">
        <v>126</v>
      </c>
      <c r="I256" s="9" t="s">
        <v>91</v>
      </c>
      <c r="J256" s="9" t="s">
        <v>2132</v>
      </c>
      <c r="K256" s="9"/>
      <c r="L256" s="9" t="s">
        <v>2133</v>
      </c>
      <c r="M256" s="9">
        <v>12.0</v>
      </c>
      <c r="N256" s="10">
        <v>15.91666667</v>
      </c>
      <c r="O256" s="10" t="s">
        <v>741</v>
      </c>
      <c r="P256" s="9">
        <v>9082026.0</v>
      </c>
      <c r="Q256" s="7" t="str">
        <f>IF(OR(ISBLANK(M256), ISBLANK(N256)), "", IF(N256 &lt; Sheet3!$B$6, "Insufficient Reviews", IF(M256 &gt;= Sheet3!$B$2, "Highly Reliable", IF(M256 &gt;= Sheet3!$B$3, "Reliable", IF(M256 &gt;= Sheet3!$B$4, "Mixed Reviews", "Low Reliability")))))</f>
        <v>Insufficient Reviews</v>
      </c>
    </row>
    <row r="257">
      <c r="A257" s="3">
        <f t="shared" si="1"/>
        <v>256</v>
      </c>
      <c r="B257" s="9" t="s">
        <v>2134</v>
      </c>
      <c r="C257" s="10">
        <v>39.3439912</v>
      </c>
      <c r="D257" s="10">
        <v>-76.7007742</v>
      </c>
      <c r="E257" s="9" t="s">
        <v>2135</v>
      </c>
      <c r="F257" s="9" t="s">
        <v>2136</v>
      </c>
      <c r="G257" s="9" t="s">
        <v>2137</v>
      </c>
      <c r="H257" s="9" t="s">
        <v>1460</v>
      </c>
      <c r="I257" s="9" t="s">
        <v>81</v>
      </c>
      <c r="J257" s="9" t="s">
        <v>2138</v>
      </c>
      <c r="K257" s="12" t="s">
        <v>2139</v>
      </c>
      <c r="L257" s="9" t="s">
        <v>2140</v>
      </c>
      <c r="M257" s="9">
        <v>9.0</v>
      </c>
      <c r="N257" s="10">
        <v>32.79333333</v>
      </c>
      <c r="O257" s="10" t="s">
        <v>1991</v>
      </c>
      <c r="P257" s="9">
        <v>9082026.0</v>
      </c>
      <c r="Q257" s="7" t="str">
        <f>IF(OR(ISBLANK(M257), ISBLANK(N257)), "", IF(N257 &lt; Sheet3!$B$6, "Insufficient Reviews", IF(M257 &gt;= Sheet3!$B$2, "Highly Reliable", IF(M257 &gt;= Sheet3!$B$3, "Reliable", IF(M257 &gt;= Sheet3!$B$4, "Mixed Reviews", "Low Reliability")))))</f>
        <v>Insufficient Reviews</v>
      </c>
    </row>
    <row r="258">
      <c r="A258" s="3">
        <f t="shared" si="1"/>
        <v>257</v>
      </c>
      <c r="B258" s="9" t="s">
        <v>2141</v>
      </c>
      <c r="C258" s="10">
        <v>39.3385076</v>
      </c>
      <c r="D258" s="10">
        <v>-76.683227</v>
      </c>
      <c r="E258" s="9" t="s">
        <v>2142</v>
      </c>
      <c r="F258" s="9" t="s">
        <v>2143</v>
      </c>
      <c r="G258" s="9" t="s">
        <v>2144</v>
      </c>
      <c r="H258" s="9" t="s">
        <v>135</v>
      </c>
      <c r="I258" s="9" t="s">
        <v>91</v>
      </c>
      <c r="J258" s="9" t="s">
        <v>2145</v>
      </c>
      <c r="K258" s="12" t="s">
        <v>2146</v>
      </c>
      <c r="L258" s="9" t="s">
        <v>2147</v>
      </c>
      <c r="M258" s="9">
        <v>81.38078465</v>
      </c>
      <c r="N258" s="10">
        <v>76.61079011</v>
      </c>
      <c r="O258" s="10" t="s">
        <v>2148</v>
      </c>
      <c r="P258" s="9">
        <v>9082026.0</v>
      </c>
      <c r="Q258" s="7" t="str">
        <f>IF(OR(ISBLANK(M258), ISBLANK(N258)), "", IF(N258 &lt; Sheet3!$B$6, "Insufficient Reviews", IF(M258 &gt;= Sheet3!$B$2, "Highly Reliable", IF(M258 &gt;= Sheet3!$B$3, "Reliable", IF(M258 &gt;= Sheet3!$B$4, "Mixed Reviews", "Low Reliability")))))</f>
        <v>Reliable</v>
      </c>
    </row>
    <row r="259">
      <c r="A259" s="3">
        <f t="shared" si="1"/>
        <v>258</v>
      </c>
      <c r="B259" s="9" t="s">
        <v>2149</v>
      </c>
      <c r="C259" s="10">
        <v>39.3985642</v>
      </c>
      <c r="D259" s="10">
        <v>-76.5708737</v>
      </c>
      <c r="E259" s="9" t="s">
        <v>2150</v>
      </c>
      <c r="F259" s="9" t="s">
        <v>2151</v>
      </c>
      <c r="G259" s="9" t="s">
        <v>2152</v>
      </c>
      <c r="H259" s="9" t="s">
        <v>62</v>
      </c>
      <c r="I259" s="9" t="s">
        <v>35</v>
      </c>
      <c r="J259" s="9" t="s">
        <v>2153</v>
      </c>
      <c r="K259" s="12" t="s">
        <v>2154</v>
      </c>
      <c r="L259" s="9" t="s">
        <v>2155</v>
      </c>
      <c r="M259" s="9">
        <v>16.5</v>
      </c>
      <c r="N259" s="10">
        <v>32.70333333</v>
      </c>
      <c r="O259" s="10" t="s">
        <v>1991</v>
      </c>
      <c r="P259" s="9">
        <v>9082026.0</v>
      </c>
      <c r="Q259" s="7" t="str">
        <f>IF(OR(ISBLANK(M259), ISBLANK(N259)), "", IF(N259 &lt; Sheet3!$B$6, "Insufficient Reviews", IF(M259 &gt;= Sheet3!$B$2, "Highly Reliable", IF(M259 &gt;= Sheet3!$B$3, "Reliable", IF(M259 &gt;= Sheet3!$B$4, "Mixed Reviews", "Low Reliability")))))</f>
        <v>Insufficient Reviews</v>
      </c>
    </row>
    <row r="260">
      <c r="A260" s="3">
        <f t="shared" si="1"/>
        <v>259</v>
      </c>
      <c r="B260" s="9" t="s">
        <v>2156</v>
      </c>
      <c r="C260" s="10">
        <v>39.3532371</v>
      </c>
      <c r="D260" s="10">
        <v>-76.7320569</v>
      </c>
      <c r="E260" s="9" t="s">
        <v>2157</v>
      </c>
      <c r="F260" s="9" t="s">
        <v>2158</v>
      </c>
      <c r="G260" s="9"/>
      <c r="H260" s="9" t="s">
        <v>2159</v>
      </c>
      <c r="I260" s="9" t="s">
        <v>27</v>
      </c>
      <c r="J260" s="9" t="s">
        <v>2160</v>
      </c>
      <c r="K260" s="9"/>
      <c r="L260" s="9" t="s">
        <v>2161</v>
      </c>
      <c r="M260" s="9">
        <v>52.5</v>
      </c>
      <c r="N260" s="10">
        <v>24.80832537</v>
      </c>
      <c r="O260" s="10" t="s">
        <v>2162</v>
      </c>
      <c r="P260" s="9">
        <v>9082026.0</v>
      </c>
      <c r="Q260" s="7" t="str">
        <f>IF(OR(ISBLANK(M260), ISBLANK(N260)), "", IF(N260 &lt; Sheet3!$B$6, "Insufficient Reviews", IF(M260 &gt;= Sheet3!$B$2, "Highly Reliable", IF(M260 &gt;= Sheet3!$B$3, "Reliable", IF(M260 &gt;= Sheet3!$B$4, "Mixed Reviews", "Low Reliability")))))</f>
        <v>Insufficient Reviews</v>
      </c>
    </row>
    <row r="261">
      <c r="A261" s="3">
        <f t="shared" si="1"/>
        <v>260</v>
      </c>
      <c r="B261" s="9" t="s">
        <v>2163</v>
      </c>
      <c r="C261" s="10">
        <v>39.2836532</v>
      </c>
      <c r="D261" s="10">
        <v>-76.5190658</v>
      </c>
      <c r="E261" s="9" t="s">
        <v>2164</v>
      </c>
      <c r="F261" s="9" t="s">
        <v>2165</v>
      </c>
      <c r="G261" s="9"/>
      <c r="H261" s="9" t="s">
        <v>135</v>
      </c>
      <c r="I261" s="9" t="s">
        <v>91</v>
      </c>
      <c r="J261" s="9" t="s">
        <v>2166</v>
      </c>
      <c r="K261" s="12" t="s">
        <v>2167</v>
      </c>
      <c r="L261" s="9" t="s">
        <v>2168</v>
      </c>
      <c r="M261" s="9">
        <v>81.02630753</v>
      </c>
      <c r="N261" s="10">
        <v>73.3414967</v>
      </c>
      <c r="O261" s="10" t="s">
        <v>2169</v>
      </c>
      <c r="P261" s="9">
        <v>9082026.0</v>
      </c>
      <c r="Q261" s="7" t="str">
        <f>IF(OR(ISBLANK(M261), ISBLANK(N261)), "", IF(N261 &lt; Sheet3!$B$6, "Insufficient Reviews", IF(M261 &gt;= Sheet3!$B$2, "Highly Reliable", IF(M261 &gt;= Sheet3!$B$3, "Reliable", IF(M261 &gt;= Sheet3!$B$4, "Mixed Reviews", "Low Reliability")))))</f>
        <v>Reliable</v>
      </c>
    </row>
    <row r="262">
      <c r="A262" s="3">
        <f t="shared" si="1"/>
        <v>261</v>
      </c>
      <c r="B262" s="9" t="s">
        <v>2170</v>
      </c>
      <c r="C262" s="10">
        <v>39.3885616</v>
      </c>
      <c r="D262" s="10">
        <v>-76.6064896</v>
      </c>
      <c r="E262" s="9" t="s">
        <v>2171</v>
      </c>
      <c r="F262" s="9" t="s">
        <v>2172</v>
      </c>
      <c r="G262" s="9" t="s">
        <v>1708</v>
      </c>
      <c r="H262" s="9" t="s">
        <v>135</v>
      </c>
      <c r="I262" s="9" t="s">
        <v>91</v>
      </c>
      <c r="J262" s="9" t="s">
        <v>2173</v>
      </c>
      <c r="K262" s="12" t="s">
        <v>2174</v>
      </c>
      <c r="L262" s="9" t="s">
        <v>2175</v>
      </c>
      <c r="M262" s="9">
        <v>82.12933232</v>
      </c>
      <c r="N262" s="10">
        <v>74.69862563</v>
      </c>
      <c r="O262" s="10" t="s">
        <v>2176</v>
      </c>
      <c r="P262" s="9">
        <v>9082026.0</v>
      </c>
      <c r="Q262" s="7" t="str">
        <f>IF(OR(ISBLANK(M262), ISBLANK(N262)), "", IF(N262 &lt; Sheet3!$B$6, "Insufficient Reviews", IF(M262 &gt;= Sheet3!$B$2, "Highly Reliable", IF(M262 &gt;= Sheet3!$B$3, "Reliable", IF(M262 &gt;= Sheet3!$B$4, "Mixed Reviews", "Low Reliability")))))</f>
        <v>Highly Reliable</v>
      </c>
    </row>
    <row r="263">
      <c r="A263" s="3">
        <f t="shared" si="1"/>
        <v>262</v>
      </c>
      <c r="B263" s="9" t="s">
        <v>2177</v>
      </c>
      <c r="C263" s="10">
        <v>39.2712958</v>
      </c>
      <c r="D263" s="10">
        <v>-76.5115061</v>
      </c>
      <c r="E263" s="9" t="s">
        <v>2178</v>
      </c>
      <c r="F263" s="9" t="s">
        <v>2179</v>
      </c>
      <c r="G263" s="9" t="s">
        <v>2180</v>
      </c>
      <c r="H263" s="9" t="s">
        <v>532</v>
      </c>
      <c r="I263" s="9" t="s">
        <v>35</v>
      </c>
      <c r="J263" s="9" t="s">
        <v>2181</v>
      </c>
      <c r="K263" s="12" t="s">
        <v>2182</v>
      </c>
      <c r="L263" s="9" t="s">
        <v>2183</v>
      </c>
      <c r="M263" s="9">
        <v>79.04840935</v>
      </c>
      <c r="N263" s="10">
        <v>92.7235027</v>
      </c>
      <c r="O263" s="10" t="s">
        <v>2184</v>
      </c>
      <c r="P263" s="9">
        <v>9082026.0</v>
      </c>
      <c r="Q263" s="7" t="str">
        <f>IF(OR(ISBLANK(M263), ISBLANK(N263)), "", IF(N263 &lt; Sheet3!$B$6, "Insufficient Reviews", IF(M263 &gt;= Sheet3!$B$2, "Highly Reliable", IF(M263 &gt;= Sheet3!$B$3, "Reliable", IF(M263 &gt;= Sheet3!$B$4, "Mixed Reviews", "Low Reliability")))))</f>
        <v>Reliable</v>
      </c>
    </row>
    <row r="264">
      <c r="A264" s="3">
        <f t="shared" si="1"/>
        <v>263</v>
      </c>
      <c r="B264" s="9" t="s">
        <v>2185</v>
      </c>
      <c r="C264" s="10">
        <v>39.4008648</v>
      </c>
      <c r="D264" s="10">
        <v>-76.7902357</v>
      </c>
      <c r="E264" s="9" t="s">
        <v>2186</v>
      </c>
      <c r="F264" s="9" t="s">
        <v>2187</v>
      </c>
      <c r="G264" s="9" t="s">
        <v>2188</v>
      </c>
      <c r="H264" s="9" t="s">
        <v>135</v>
      </c>
      <c r="I264" s="9" t="s">
        <v>81</v>
      </c>
      <c r="J264" s="9" t="s">
        <v>2189</v>
      </c>
      <c r="K264" s="12" t="s">
        <v>2190</v>
      </c>
      <c r="L264" s="9" t="s">
        <v>2191</v>
      </c>
      <c r="M264" s="9">
        <v>71.13607075</v>
      </c>
      <c r="N264" s="10">
        <v>69.42131755</v>
      </c>
      <c r="O264" s="10" t="s">
        <v>2192</v>
      </c>
      <c r="P264" s="9">
        <v>9082026.0</v>
      </c>
      <c r="Q264" s="7" t="str">
        <f>IF(OR(ISBLANK(M264), ISBLANK(N264)), "", IF(N264 &lt; Sheet3!$B$6, "Insufficient Reviews", IF(M264 &gt;= Sheet3!$B$2, "Highly Reliable", IF(M264 &gt;= Sheet3!$B$3, "Reliable", IF(M264 &gt;= Sheet3!$B$4, "Mixed Reviews", "Low Reliability")))))</f>
        <v>Reliable</v>
      </c>
    </row>
    <row r="265">
      <c r="A265" s="3">
        <f t="shared" si="1"/>
        <v>264</v>
      </c>
      <c r="B265" s="9" t="s">
        <v>2193</v>
      </c>
      <c r="C265" s="10">
        <v>39.3815881</v>
      </c>
      <c r="D265" s="10">
        <v>-76.7642333</v>
      </c>
      <c r="E265" s="9" t="s">
        <v>2194</v>
      </c>
      <c r="F265" s="9" t="s">
        <v>2195</v>
      </c>
      <c r="G265" s="9" t="s">
        <v>2196</v>
      </c>
      <c r="H265" s="9" t="s">
        <v>135</v>
      </c>
      <c r="I265" s="9" t="s">
        <v>81</v>
      </c>
      <c r="J265" s="9" t="s">
        <v>2197</v>
      </c>
      <c r="K265" s="12" t="s">
        <v>2198</v>
      </c>
      <c r="L265" s="9" t="s">
        <v>2199</v>
      </c>
      <c r="M265" s="9">
        <v>82.78143967</v>
      </c>
      <c r="N265" s="10">
        <v>72.13298904</v>
      </c>
      <c r="O265" s="10" t="s">
        <v>2200</v>
      </c>
      <c r="P265" s="9">
        <v>9082026.0</v>
      </c>
      <c r="Q265" s="7" t="str">
        <f>IF(OR(ISBLANK(M265), ISBLANK(N265)), "", IF(N265 &lt; Sheet3!$B$6, "Insufficient Reviews", IF(M265 &gt;= Sheet3!$B$2, "Highly Reliable", IF(M265 &gt;= Sheet3!$B$3, "Reliable", IF(M265 &gt;= Sheet3!$B$4, "Mixed Reviews", "Low Reliability")))))</f>
        <v>Highly Reliable</v>
      </c>
    </row>
    <row r="266">
      <c r="A266" s="3">
        <f t="shared" si="1"/>
        <v>265</v>
      </c>
      <c r="B266" s="9" t="s">
        <v>2201</v>
      </c>
      <c r="C266" s="10">
        <v>39.368311</v>
      </c>
      <c r="D266" s="10">
        <v>-76.7089656</v>
      </c>
      <c r="E266" s="9" t="s">
        <v>2202</v>
      </c>
      <c r="F266" s="9" t="s">
        <v>2203</v>
      </c>
      <c r="G266" s="9" t="s">
        <v>1744</v>
      </c>
      <c r="H266" s="9" t="s">
        <v>135</v>
      </c>
      <c r="I266" s="9" t="s">
        <v>81</v>
      </c>
      <c r="J266" s="9" t="s">
        <v>2204</v>
      </c>
      <c r="K266" s="12" t="s">
        <v>2205</v>
      </c>
      <c r="L266" s="9" t="s">
        <v>2206</v>
      </c>
      <c r="M266" s="9">
        <v>81.52890945</v>
      </c>
      <c r="N266" s="10">
        <v>73.44497749</v>
      </c>
      <c r="O266" s="10" t="s">
        <v>2207</v>
      </c>
      <c r="P266" s="9">
        <v>9082026.0</v>
      </c>
      <c r="Q266" s="7" t="str">
        <f>IF(OR(ISBLANK(M266), ISBLANK(N266)), "", IF(N266 &lt; Sheet3!$B$6, "Insufficient Reviews", IF(M266 &gt;= Sheet3!$B$2, "Highly Reliable", IF(M266 &gt;= Sheet3!$B$3, "Reliable", IF(M266 &gt;= Sheet3!$B$4, "Mixed Reviews", "Low Reliability")))))</f>
        <v>Reliable</v>
      </c>
    </row>
    <row r="267">
      <c r="A267" s="3">
        <f t="shared" si="1"/>
        <v>266</v>
      </c>
      <c r="B267" s="9" t="s">
        <v>2208</v>
      </c>
      <c r="C267" s="10">
        <v>39.3721572</v>
      </c>
      <c r="D267" s="10">
        <v>-76.7114782</v>
      </c>
      <c r="E267" s="9" t="s">
        <v>2209</v>
      </c>
      <c r="F267" s="9" t="s">
        <v>2210</v>
      </c>
      <c r="G267" s="9" t="s">
        <v>1753</v>
      </c>
      <c r="H267" s="9" t="s">
        <v>135</v>
      </c>
      <c r="I267" s="9" t="s">
        <v>81</v>
      </c>
      <c r="J267" s="9" t="s">
        <v>2211</v>
      </c>
      <c r="K267" s="9"/>
      <c r="L267" s="9" t="s">
        <v>2212</v>
      </c>
      <c r="M267" s="9">
        <v>77.62336037</v>
      </c>
      <c r="N267" s="10">
        <v>39.76450385</v>
      </c>
      <c r="O267" s="10" t="s">
        <v>2213</v>
      </c>
      <c r="P267" s="9">
        <v>9082026.0</v>
      </c>
      <c r="Q267" s="7" t="str">
        <f>IF(OR(ISBLANK(M267), ISBLANK(N267)), "", IF(N267 &lt; Sheet3!$B$6, "Insufficient Reviews", IF(M267 &gt;= Sheet3!$B$2, "Highly Reliable", IF(M267 &gt;= Sheet3!$B$3, "Reliable", IF(M267 &gt;= Sheet3!$B$4, "Mixed Reviews", "Low Reliability")))))</f>
        <v>Insufficient Reviews</v>
      </c>
    </row>
    <row r="268">
      <c r="A268" s="3">
        <f t="shared" si="1"/>
        <v>267</v>
      </c>
      <c r="B268" s="9" t="s">
        <v>2214</v>
      </c>
      <c r="C268" s="10">
        <v>39.4143154</v>
      </c>
      <c r="D268" s="10">
        <v>-76.6287246</v>
      </c>
      <c r="E268" s="9" t="s">
        <v>2215</v>
      </c>
      <c r="F268" s="9" t="s">
        <v>2216</v>
      </c>
      <c r="G268" s="9" t="s">
        <v>2217</v>
      </c>
      <c r="H268" s="9" t="s">
        <v>135</v>
      </c>
      <c r="I268" s="9" t="s">
        <v>91</v>
      </c>
      <c r="J268" s="9" t="s">
        <v>2218</v>
      </c>
      <c r="K268" s="12" t="s">
        <v>2219</v>
      </c>
      <c r="L268" s="9" t="s">
        <v>2220</v>
      </c>
      <c r="M268" s="9">
        <v>85.3656986</v>
      </c>
      <c r="N268" s="10">
        <v>73.89639554</v>
      </c>
      <c r="O268" s="10" t="s">
        <v>2221</v>
      </c>
      <c r="P268" s="9">
        <v>9082026.0</v>
      </c>
      <c r="Q268" s="7" t="str">
        <f>IF(OR(ISBLANK(M268), ISBLANK(N268)), "", IF(N268 &lt; Sheet3!$B$6, "Insufficient Reviews", IF(M268 &gt;= Sheet3!$B$2, "Highly Reliable", IF(M268 &gt;= Sheet3!$B$3, "Reliable", IF(M268 &gt;= Sheet3!$B$4, "Mixed Reviews", "Low Reliability")))))</f>
        <v>Highly Reliable</v>
      </c>
    </row>
    <row r="269">
      <c r="A269" s="3">
        <f t="shared" si="1"/>
        <v>268</v>
      </c>
      <c r="B269" s="9" t="s">
        <v>2222</v>
      </c>
      <c r="C269" s="10">
        <v>39.2750897</v>
      </c>
      <c r="D269" s="10">
        <v>-76.6720468</v>
      </c>
      <c r="E269" s="9" t="s">
        <v>2223</v>
      </c>
      <c r="F269" s="9" t="s">
        <v>2224</v>
      </c>
      <c r="G269" s="9"/>
      <c r="H269" s="11"/>
      <c r="I269" s="9" t="s">
        <v>91</v>
      </c>
      <c r="J269" s="9" t="s">
        <v>2225</v>
      </c>
      <c r="K269" s="9"/>
      <c r="L269" s="9" t="s">
        <v>2226</v>
      </c>
      <c r="M269" s="9">
        <v>81.20771648</v>
      </c>
      <c r="N269" s="10">
        <v>38.52464562</v>
      </c>
      <c r="O269" s="10" t="s">
        <v>2227</v>
      </c>
      <c r="P269" s="9">
        <v>9082026.0</v>
      </c>
      <c r="Q269" s="7" t="str">
        <f>IF(OR(ISBLANK(M269), ISBLANK(N269)), "", IF(N269 &lt; Sheet3!$B$6, "Insufficient Reviews", IF(M269 &gt;= Sheet3!$B$2, "Highly Reliable", IF(M269 &gt;= Sheet3!$B$3, "Reliable", IF(M269 &gt;= Sheet3!$B$4, "Mixed Reviews", "Low Reliability")))))</f>
        <v>Insufficient Reviews</v>
      </c>
    </row>
    <row r="270">
      <c r="A270" s="3">
        <f t="shared" si="1"/>
        <v>269</v>
      </c>
      <c r="B270" s="9" t="s">
        <v>2228</v>
      </c>
      <c r="C270" s="10">
        <v>39.3730973</v>
      </c>
      <c r="D270" s="10">
        <v>-76.6088406</v>
      </c>
      <c r="E270" s="9" t="s">
        <v>2229</v>
      </c>
      <c r="F270" s="9" t="s">
        <v>2230</v>
      </c>
      <c r="G270" s="9" t="s">
        <v>2231</v>
      </c>
      <c r="H270" s="9" t="s">
        <v>303</v>
      </c>
      <c r="I270" s="9" t="s">
        <v>27</v>
      </c>
      <c r="J270" s="9" t="s">
        <v>2232</v>
      </c>
      <c r="K270" s="12" t="s">
        <v>2233</v>
      </c>
      <c r="L270" s="9" t="s">
        <v>2234</v>
      </c>
      <c r="M270" s="9">
        <v>47.62350615</v>
      </c>
      <c r="N270" s="10">
        <v>70.32479596</v>
      </c>
      <c r="O270" s="10" t="s">
        <v>2235</v>
      </c>
      <c r="P270" s="9">
        <v>9082026.0</v>
      </c>
      <c r="Q270" s="7" t="str">
        <f>IF(OR(ISBLANK(M270), ISBLANK(N270)), "", IF(N270 &lt; Sheet3!$B$6, "Insufficient Reviews", IF(M270 &gt;= Sheet3!$B$2, "Highly Reliable", IF(M270 &gt;= Sheet3!$B$3, "Reliable", IF(M270 &gt;= Sheet3!$B$4, "Mixed Reviews", "Low Reliability")))))</f>
        <v>Low Reliability</v>
      </c>
    </row>
    <row r="271">
      <c r="A271" s="3">
        <f t="shared" si="1"/>
        <v>270</v>
      </c>
      <c r="B271" s="9" t="s">
        <v>2236</v>
      </c>
      <c r="C271" s="10">
        <v>39.2951463</v>
      </c>
      <c r="D271" s="10">
        <v>-76.6175187</v>
      </c>
      <c r="E271" s="9" t="s">
        <v>2237</v>
      </c>
      <c r="F271" s="9" t="s">
        <v>2238</v>
      </c>
      <c r="G271" s="9" t="s">
        <v>2239</v>
      </c>
      <c r="H271" s="9" t="s">
        <v>26</v>
      </c>
      <c r="I271" s="9" t="s">
        <v>81</v>
      </c>
      <c r="J271" s="9" t="s">
        <v>2240</v>
      </c>
      <c r="K271" s="12" t="s">
        <v>2241</v>
      </c>
      <c r="L271" s="9" t="s">
        <v>2242</v>
      </c>
      <c r="M271" s="9">
        <v>82.56310682</v>
      </c>
      <c r="N271" s="10">
        <v>68.0653395</v>
      </c>
      <c r="O271" s="10" t="s">
        <v>2243</v>
      </c>
      <c r="P271" s="9">
        <v>9082026.0</v>
      </c>
      <c r="Q271" s="7" t="str">
        <f>IF(OR(ISBLANK(M271), ISBLANK(N271)), "", IF(N271 &lt; Sheet3!$B$6, "Insufficient Reviews", IF(M271 &gt;= Sheet3!$B$2, "Highly Reliable", IF(M271 &gt;= Sheet3!$B$3, "Reliable", IF(M271 &gt;= Sheet3!$B$4, "Mixed Reviews", "Low Reliability")))))</f>
        <v>Highly Reliable</v>
      </c>
    </row>
    <row r="272">
      <c r="A272" s="3">
        <f t="shared" si="1"/>
        <v>271</v>
      </c>
      <c r="B272" s="9" t="s">
        <v>2244</v>
      </c>
      <c r="C272" s="10">
        <v>39.2719396</v>
      </c>
      <c r="D272" s="10">
        <v>-76.7461683</v>
      </c>
      <c r="E272" s="9" t="s">
        <v>2245</v>
      </c>
      <c r="F272" s="9" t="s">
        <v>2246</v>
      </c>
      <c r="G272" s="9" t="s">
        <v>2247</v>
      </c>
      <c r="H272" s="9"/>
      <c r="I272" s="9" t="s">
        <v>81</v>
      </c>
      <c r="J272" s="9" t="s">
        <v>2248</v>
      </c>
      <c r="K272" s="12" t="s">
        <v>2249</v>
      </c>
      <c r="L272" s="9" t="s">
        <v>2250</v>
      </c>
      <c r="M272" s="9">
        <v>77.93444455</v>
      </c>
      <c r="N272" s="10">
        <v>50.30515429</v>
      </c>
      <c r="O272" s="10" t="s">
        <v>2251</v>
      </c>
      <c r="P272" s="9">
        <v>9082026.0</v>
      </c>
      <c r="Q272" s="7" t="str">
        <f>IF(OR(ISBLANK(M272), ISBLANK(N272)), "", IF(N272 &lt; Sheet3!$B$6, "Insufficient Reviews", IF(M272 &gt;= Sheet3!$B$2, "Highly Reliable", IF(M272 &gt;= Sheet3!$B$3, "Reliable", IF(M272 &gt;= Sheet3!$B$4, "Mixed Reviews", "Low Reliability")))))</f>
        <v>Reliable</v>
      </c>
    </row>
    <row r="273">
      <c r="A273" s="3">
        <f t="shared" si="1"/>
        <v>272</v>
      </c>
      <c r="B273" s="9" t="s">
        <v>2252</v>
      </c>
      <c r="C273" s="10">
        <v>39.3097605</v>
      </c>
      <c r="D273" s="10">
        <v>-76.6347078</v>
      </c>
      <c r="E273" s="9" t="s">
        <v>2253</v>
      </c>
      <c r="F273" s="9" t="s">
        <v>2254</v>
      </c>
      <c r="G273" s="9" t="s">
        <v>2255</v>
      </c>
      <c r="H273" s="9" t="s">
        <v>2256</v>
      </c>
      <c r="I273" s="9" t="s">
        <v>81</v>
      </c>
      <c r="J273" s="9" t="s">
        <v>2257</v>
      </c>
      <c r="K273" s="12" t="s">
        <v>2258</v>
      </c>
      <c r="L273" s="9" t="s">
        <v>2259</v>
      </c>
      <c r="M273" s="9">
        <v>58.42421235</v>
      </c>
      <c r="N273" s="10">
        <v>53.51172377</v>
      </c>
      <c r="O273" s="10" t="s">
        <v>2260</v>
      </c>
      <c r="P273" s="9">
        <v>9082026.0</v>
      </c>
      <c r="Q273" s="7" t="str">
        <f>IF(OR(ISBLANK(M273), ISBLANK(N273)), "", IF(N273 &lt; Sheet3!$B$6, "Insufficient Reviews", IF(M273 &gt;= Sheet3!$B$2, "Highly Reliable", IF(M273 &gt;= Sheet3!$B$3, "Reliable", IF(M273 &gt;= Sheet3!$B$4, "Mixed Reviews", "Low Reliability")))))</f>
        <v>Low Reliability</v>
      </c>
    </row>
    <row r="274">
      <c r="A274" s="3">
        <f t="shared" si="1"/>
        <v>273</v>
      </c>
      <c r="B274" s="9" t="s">
        <v>2261</v>
      </c>
      <c r="C274" s="10">
        <v>39.3573475</v>
      </c>
      <c r="D274" s="10">
        <v>-76.5829193</v>
      </c>
      <c r="E274" s="9" t="s">
        <v>2262</v>
      </c>
      <c r="F274" s="9" t="s">
        <v>2263</v>
      </c>
      <c r="G274" s="9" t="s">
        <v>2264</v>
      </c>
      <c r="H274" s="9" t="s">
        <v>2265</v>
      </c>
      <c r="I274" s="9" t="s">
        <v>81</v>
      </c>
      <c r="J274" s="9" t="s">
        <v>2266</v>
      </c>
      <c r="K274" s="9"/>
      <c r="L274" s="9" t="s">
        <v>2267</v>
      </c>
      <c r="M274" s="9">
        <v>72.33494643</v>
      </c>
      <c r="N274" s="10">
        <v>41.72197187</v>
      </c>
      <c r="O274" s="10" t="s">
        <v>2268</v>
      </c>
      <c r="P274" s="9">
        <v>9082026.0</v>
      </c>
      <c r="Q274" s="7" t="str">
        <f>IF(OR(ISBLANK(M274), ISBLANK(N274)), "", IF(N274 &lt; Sheet3!$B$6, "Insufficient Reviews", IF(M274 &gt;= Sheet3!$B$2, "Highly Reliable", IF(M274 &gt;= Sheet3!$B$3, "Reliable", IF(M274 &gt;= Sheet3!$B$4, "Mixed Reviews", "Low Reliability")))))</f>
        <v>Reliable</v>
      </c>
    </row>
    <row r="275">
      <c r="A275" s="3">
        <f t="shared" si="1"/>
        <v>274</v>
      </c>
      <c r="B275" s="9" t="s">
        <v>2269</v>
      </c>
      <c r="C275" s="10">
        <v>39.4535651</v>
      </c>
      <c r="D275" s="10">
        <v>-76.8217023</v>
      </c>
      <c r="E275" s="9" t="s">
        <v>2270</v>
      </c>
      <c r="F275" s="9" t="s">
        <v>2271</v>
      </c>
      <c r="G275" s="9" t="s">
        <v>2272</v>
      </c>
      <c r="H275" s="9"/>
      <c r="I275" s="9" t="s">
        <v>81</v>
      </c>
      <c r="J275" s="9" t="s">
        <v>2273</v>
      </c>
      <c r="K275" s="12" t="s">
        <v>2274</v>
      </c>
      <c r="L275" s="9" t="s">
        <v>2275</v>
      </c>
      <c r="M275" s="9">
        <v>74.46511799</v>
      </c>
      <c r="N275" s="10">
        <v>55.61712334</v>
      </c>
      <c r="O275" s="10" t="s">
        <v>2276</v>
      </c>
      <c r="P275" s="9">
        <v>9082026.0</v>
      </c>
      <c r="Q275" s="7" t="str">
        <f>IF(OR(ISBLANK(M275), ISBLANK(N275)), "", IF(N275 &lt; Sheet3!$B$6, "Insufficient Reviews", IF(M275 &gt;= Sheet3!$B$2, "Highly Reliable", IF(M275 &gt;= Sheet3!$B$3, "Reliable", IF(M275 &gt;= Sheet3!$B$4, "Mixed Reviews", "Low Reliability")))))</f>
        <v>Reliable</v>
      </c>
    </row>
    <row r="276">
      <c r="A276" s="3">
        <f t="shared" si="1"/>
        <v>275</v>
      </c>
      <c r="B276" s="9" t="s">
        <v>2277</v>
      </c>
      <c r="C276" s="10">
        <v>39.4097132</v>
      </c>
      <c r="D276" s="10">
        <v>-76.6249027</v>
      </c>
      <c r="E276" s="9" t="s">
        <v>2278</v>
      </c>
      <c r="F276" s="9" t="s">
        <v>2279</v>
      </c>
      <c r="G276" s="9" t="s">
        <v>2280</v>
      </c>
      <c r="H276" s="9" t="s">
        <v>135</v>
      </c>
      <c r="I276" s="9" t="s">
        <v>81</v>
      </c>
      <c r="J276" s="9" t="s">
        <v>2281</v>
      </c>
      <c r="K276" s="12" t="s">
        <v>2282</v>
      </c>
      <c r="L276" s="9" t="s">
        <v>2283</v>
      </c>
      <c r="M276" s="9">
        <v>84.23071223</v>
      </c>
      <c r="N276" s="10">
        <v>94.57485367</v>
      </c>
      <c r="O276" s="10" t="s">
        <v>2284</v>
      </c>
      <c r="P276" s="9">
        <v>9082026.0</v>
      </c>
      <c r="Q276" s="7" t="str">
        <f>IF(OR(ISBLANK(M276), ISBLANK(N276)), "", IF(N276 &lt; Sheet3!$B$6, "Insufficient Reviews", IF(M276 &gt;= Sheet3!$B$2, "Highly Reliable", IF(M276 &gt;= Sheet3!$B$3, "Reliable", IF(M276 &gt;= Sheet3!$B$4, "Mixed Reviews", "Low Reliability")))))</f>
        <v>Highly Reliable</v>
      </c>
    </row>
    <row r="277">
      <c r="A277" s="3">
        <f t="shared" si="1"/>
        <v>276</v>
      </c>
      <c r="B277" s="9" t="s">
        <v>2285</v>
      </c>
      <c r="C277" s="10">
        <v>39.3525987</v>
      </c>
      <c r="D277" s="10">
        <v>-76.6666</v>
      </c>
      <c r="E277" s="9" t="s">
        <v>2286</v>
      </c>
      <c r="F277" s="9" t="s">
        <v>2287</v>
      </c>
      <c r="G277" s="9"/>
      <c r="H277" s="9" t="s">
        <v>135</v>
      </c>
      <c r="I277" s="9" t="s">
        <v>91</v>
      </c>
      <c r="J277" s="9" t="s">
        <v>2288</v>
      </c>
      <c r="K277" s="12" t="s">
        <v>2289</v>
      </c>
      <c r="L277" s="9" t="s">
        <v>2290</v>
      </c>
      <c r="M277" s="9">
        <v>44.4707066</v>
      </c>
      <c r="N277" s="10">
        <v>73.57860692</v>
      </c>
      <c r="O277" s="10" t="s">
        <v>2291</v>
      </c>
      <c r="P277" s="9">
        <v>9082026.0</v>
      </c>
      <c r="Q277" s="7" t="str">
        <f>IF(OR(ISBLANK(M277), ISBLANK(N277)), "", IF(N277 &lt; Sheet3!$B$6, "Insufficient Reviews", IF(M277 &gt;= Sheet3!$B$2, "Highly Reliable", IF(M277 &gt;= Sheet3!$B$3, "Reliable", IF(M277 &gt;= Sheet3!$B$4, "Mixed Reviews", "Low Reliability")))))</f>
        <v>Low Reliability</v>
      </c>
    </row>
    <row r="278">
      <c r="A278" s="3">
        <f t="shared" si="1"/>
        <v>277</v>
      </c>
      <c r="B278" s="9" t="s">
        <v>2292</v>
      </c>
      <c r="C278" s="10">
        <v>39.3034627</v>
      </c>
      <c r="D278" s="10">
        <v>-76.6234007</v>
      </c>
      <c r="E278" s="9" t="s">
        <v>2293</v>
      </c>
      <c r="F278" s="9" t="s">
        <v>2294</v>
      </c>
      <c r="G278" s="9" t="s">
        <v>2295</v>
      </c>
      <c r="H278" s="9" t="s">
        <v>126</v>
      </c>
      <c r="I278" s="9" t="s">
        <v>81</v>
      </c>
      <c r="J278" s="9" t="s">
        <v>2296</v>
      </c>
      <c r="K278" s="12" t="s">
        <v>2297</v>
      </c>
      <c r="L278" s="9" t="s">
        <v>2298</v>
      </c>
      <c r="M278" s="9">
        <v>65.47050637</v>
      </c>
      <c r="N278" s="10">
        <v>67.91551914</v>
      </c>
      <c r="O278" s="10" t="s">
        <v>2299</v>
      </c>
      <c r="P278" s="9">
        <v>9082026.0</v>
      </c>
      <c r="Q278" s="7" t="str">
        <f>IF(OR(ISBLANK(M278), ISBLANK(N278)), "", IF(N278 &lt; Sheet3!$B$6, "Insufficient Reviews", IF(M278 &gt;= Sheet3!$B$2, "Highly Reliable", IF(M278 &gt;= Sheet3!$B$3, "Reliable", IF(M278 &gt;= Sheet3!$B$4, "Mixed Reviews", "Low Reliability")))))</f>
        <v>Mixed Reviews</v>
      </c>
    </row>
    <row r="279">
      <c r="A279" s="3">
        <f t="shared" si="1"/>
        <v>278</v>
      </c>
      <c r="B279" s="9" t="s">
        <v>2300</v>
      </c>
      <c r="C279" s="10">
        <v>39.3099914</v>
      </c>
      <c r="D279" s="10">
        <v>-76.624823</v>
      </c>
      <c r="E279" s="9" t="s">
        <v>2301</v>
      </c>
      <c r="F279" s="9" t="s">
        <v>2302</v>
      </c>
      <c r="G279" s="9" t="s">
        <v>2303</v>
      </c>
      <c r="H279" s="9" t="s">
        <v>126</v>
      </c>
      <c r="I279" s="9" t="s">
        <v>81</v>
      </c>
      <c r="J279" s="9" t="s">
        <v>2304</v>
      </c>
      <c r="K279" s="12" t="s">
        <v>2305</v>
      </c>
      <c r="L279" s="9" t="s">
        <v>2306</v>
      </c>
      <c r="M279" s="9">
        <v>81.73600158</v>
      </c>
      <c r="N279" s="10">
        <v>61.55713156</v>
      </c>
      <c r="O279" s="10" t="s">
        <v>2307</v>
      </c>
      <c r="P279" s="9">
        <v>9082026.0</v>
      </c>
      <c r="Q279" s="7" t="str">
        <f>IF(OR(ISBLANK(M279), ISBLANK(N279)), "", IF(N279 &lt; Sheet3!$B$6, "Insufficient Reviews", IF(M279 &gt;= Sheet3!$B$2, "Highly Reliable", IF(M279 &gt;= Sheet3!$B$3, "Reliable", IF(M279 &gt;= Sheet3!$B$4, "Mixed Reviews", "Low Reliability")))))</f>
        <v>Reliable</v>
      </c>
    </row>
    <row r="280">
      <c r="A280" s="3">
        <f t="shared" si="1"/>
        <v>279</v>
      </c>
      <c r="B280" s="9" t="s">
        <v>2308</v>
      </c>
      <c r="C280" s="10">
        <v>39.28059</v>
      </c>
      <c r="D280" s="10">
        <v>-76.6569099</v>
      </c>
      <c r="E280" s="9" t="s">
        <v>2309</v>
      </c>
      <c r="F280" s="9" t="s">
        <v>2310</v>
      </c>
      <c r="G280" s="9" t="s">
        <v>2311</v>
      </c>
      <c r="H280" s="9" t="s">
        <v>2312</v>
      </c>
      <c r="I280" s="9" t="s">
        <v>81</v>
      </c>
      <c r="J280" s="9" t="s">
        <v>2313</v>
      </c>
      <c r="K280" s="12" t="s">
        <v>2314</v>
      </c>
      <c r="L280" s="9" t="s">
        <v>2315</v>
      </c>
      <c r="M280" s="9">
        <v>65.82610941</v>
      </c>
      <c r="N280" s="10">
        <v>56.29854617</v>
      </c>
      <c r="O280" s="10" t="s">
        <v>2316</v>
      </c>
      <c r="P280" s="9">
        <v>9082026.0</v>
      </c>
      <c r="Q280" s="7" t="str">
        <f>IF(OR(ISBLANK(M280), ISBLANK(N280)), "", IF(N280 &lt; Sheet3!$B$6, "Insufficient Reviews", IF(M280 &gt;= Sheet3!$B$2, "Highly Reliable", IF(M280 &gt;= Sheet3!$B$3, "Reliable", IF(M280 &gt;= Sheet3!$B$4, "Mixed Reviews", "Low Reliability")))))</f>
        <v>Mixed Reviews</v>
      </c>
    </row>
    <row r="281">
      <c r="A281" s="3">
        <f t="shared" si="1"/>
        <v>280</v>
      </c>
      <c r="B281" s="9" t="s">
        <v>2317</v>
      </c>
      <c r="C281" s="10">
        <v>39.2875399</v>
      </c>
      <c r="D281" s="10">
        <v>-76.6458073</v>
      </c>
      <c r="E281" s="9" t="s">
        <v>2318</v>
      </c>
      <c r="F281" s="9" t="s">
        <v>2319</v>
      </c>
      <c r="G281" s="9" t="s">
        <v>2320</v>
      </c>
      <c r="H281" s="9"/>
      <c r="I281" s="9" t="s">
        <v>81</v>
      </c>
      <c r="J281" s="9" t="s">
        <v>2321</v>
      </c>
      <c r="K281" s="12" t="s">
        <v>2322</v>
      </c>
      <c r="L281" s="9" t="s">
        <v>2323</v>
      </c>
      <c r="M281" s="9">
        <v>66.74227784</v>
      </c>
      <c r="N281" s="10">
        <v>59.48223925</v>
      </c>
      <c r="O281" s="10" t="s">
        <v>2324</v>
      </c>
      <c r="P281" s="9">
        <v>9082026.0</v>
      </c>
      <c r="Q281" s="7" t="str">
        <f>IF(OR(ISBLANK(M281), ISBLANK(N281)), "", IF(N281 &lt; Sheet3!$B$6, "Insufficient Reviews", IF(M281 &gt;= Sheet3!$B$2, "Highly Reliable", IF(M281 &gt;= Sheet3!$B$3, "Reliable", IF(M281 &gt;= Sheet3!$B$4, "Mixed Reviews", "Low Reliability")))))</f>
        <v>Mixed Reviews</v>
      </c>
    </row>
    <row r="282">
      <c r="A282" s="3">
        <f t="shared" si="1"/>
        <v>281</v>
      </c>
      <c r="B282" s="9" t="s">
        <v>2325</v>
      </c>
      <c r="C282" s="10">
        <v>39.2882989</v>
      </c>
      <c r="D282" s="10">
        <v>-76.6517697</v>
      </c>
      <c r="E282" s="9" t="s">
        <v>2326</v>
      </c>
      <c r="F282" s="9" t="s">
        <v>2327</v>
      </c>
      <c r="G282" s="9" t="s">
        <v>2328</v>
      </c>
      <c r="H282" s="9"/>
      <c r="I282" s="9" t="s">
        <v>81</v>
      </c>
      <c r="J282" s="9" t="s">
        <v>2329</v>
      </c>
      <c r="K282" s="12" t="s">
        <v>2330</v>
      </c>
      <c r="L282" s="9" t="s">
        <v>2331</v>
      </c>
      <c r="M282" s="9">
        <v>41.2701119</v>
      </c>
      <c r="N282" s="10">
        <v>49.74016168</v>
      </c>
      <c r="O282" s="10" t="s">
        <v>2332</v>
      </c>
      <c r="P282" s="9">
        <v>9082026.0</v>
      </c>
      <c r="Q282" s="7" t="str">
        <f>IF(OR(ISBLANK(M282), ISBLANK(N282)), "", IF(N282 &lt; Sheet3!$B$6, "Insufficient Reviews", IF(M282 &gt;= Sheet3!$B$2, "Highly Reliable", IF(M282 &gt;= Sheet3!$B$3, "Reliable", IF(M282 &gt;= Sheet3!$B$4, "Mixed Reviews", "Low Reliability")))))</f>
        <v>Low Reliability</v>
      </c>
    </row>
    <row r="283">
      <c r="A283" s="3">
        <f t="shared" si="1"/>
        <v>282</v>
      </c>
      <c r="B283" s="9" t="s">
        <v>2333</v>
      </c>
      <c r="C283" s="10">
        <v>39.322393</v>
      </c>
      <c r="D283" s="10">
        <v>-76.552582</v>
      </c>
      <c r="E283" s="9" t="s">
        <v>2334</v>
      </c>
      <c r="F283" s="9" t="s">
        <v>2335</v>
      </c>
      <c r="G283" s="9" t="s">
        <v>2336</v>
      </c>
      <c r="H283" s="9" t="s">
        <v>2337</v>
      </c>
      <c r="I283" s="9" t="s">
        <v>81</v>
      </c>
      <c r="J283" s="9" t="s">
        <v>2338</v>
      </c>
      <c r="K283" s="12" t="s">
        <v>2339</v>
      </c>
      <c r="L283" s="9" t="s">
        <v>2340</v>
      </c>
      <c r="M283" s="9">
        <v>87.65904024</v>
      </c>
      <c r="N283" s="10">
        <v>49.76545579</v>
      </c>
      <c r="O283" s="10" t="s">
        <v>2341</v>
      </c>
      <c r="P283" s="9">
        <v>9082026.0</v>
      </c>
      <c r="Q283" s="7" t="str">
        <f>IF(OR(ISBLANK(M283), ISBLANK(N283)), "", IF(N283 &lt; Sheet3!$B$6, "Insufficient Reviews", IF(M283 &gt;= Sheet3!$B$2, "Highly Reliable", IF(M283 &gt;= Sheet3!$B$3, "Reliable", IF(M283 &gt;= Sheet3!$B$4, "Mixed Reviews", "Low Reliability")))))</f>
        <v>Highly Reliable</v>
      </c>
    </row>
    <row r="284">
      <c r="A284" s="3">
        <f t="shared" si="1"/>
        <v>283</v>
      </c>
      <c r="B284" s="9" t="s">
        <v>2342</v>
      </c>
      <c r="C284" s="10">
        <v>39.3284819</v>
      </c>
      <c r="D284" s="10">
        <v>-76.687344</v>
      </c>
      <c r="E284" s="9" t="s">
        <v>2343</v>
      </c>
      <c r="F284" s="9" t="s">
        <v>2344</v>
      </c>
      <c r="G284" s="9"/>
      <c r="H284" s="9" t="s">
        <v>2035</v>
      </c>
      <c r="I284" s="9" t="s">
        <v>91</v>
      </c>
      <c r="J284" s="9" t="s">
        <v>2345</v>
      </c>
      <c r="K284" s="12" t="s">
        <v>2346</v>
      </c>
      <c r="L284" s="9" t="s">
        <v>2347</v>
      </c>
      <c r="M284" s="9">
        <v>74.45926935</v>
      </c>
      <c r="N284" s="10">
        <v>71.89818915</v>
      </c>
      <c r="O284" s="10" t="s">
        <v>2348</v>
      </c>
      <c r="P284" s="9">
        <v>9082026.0</v>
      </c>
      <c r="Q284" s="7" t="str">
        <f>IF(OR(ISBLANK(M284), ISBLANK(N284)), "", IF(N284 &lt; Sheet3!$B$6, "Insufficient Reviews", IF(M284 &gt;= Sheet3!$B$2, "Highly Reliable", IF(M284 &gt;= Sheet3!$B$3, "Reliable", IF(M284 &gt;= Sheet3!$B$4, "Mixed Reviews", "Low Reliability")))))</f>
        <v>Reliable</v>
      </c>
    </row>
    <row r="285">
      <c r="A285" s="3">
        <f t="shared" si="1"/>
        <v>284</v>
      </c>
      <c r="B285" s="9" t="s">
        <v>2349</v>
      </c>
      <c r="C285" s="10">
        <v>39.250906</v>
      </c>
      <c r="D285" s="10">
        <v>-76.7259232</v>
      </c>
      <c r="E285" s="9" t="s">
        <v>2350</v>
      </c>
      <c r="F285" s="9" t="s">
        <v>2351</v>
      </c>
      <c r="G285" s="9" t="s">
        <v>2352</v>
      </c>
      <c r="H285" s="9" t="s">
        <v>135</v>
      </c>
      <c r="I285" s="9" t="s">
        <v>91</v>
      </c>
      <c r="J285" s="9" t="s">
        <v>2353</v>
      </c>
      <c r="K285" s="12" t="s">
        <v>2354</v>
      </c>
      <c r="L285" s="9" t="s">
        <v>2355</v>
      </c>
      <c r="M285" s="9">
        <v>83.02931947</v>
      </c>
      <c r="N285" s="10">
        <v>73.26654568</v>
      </c>
      <c r="O285" s="10" t="s">
        <v>2356</v>
      </c>
      <c r="P285" s="9">
        <v>9082026.0</v>
      </c>
      <c r="Q285" s="7" t="str">
        <f>IF(OR(ISBLANK(M285), ISBLANK(N285)), "", IF(N285 &lt; Sheet3!$B$6, "Insufficient Reviews", IF(M285 &gt;= Sheet3!$B$2, "Highly Reliable", IF(M285 &gt;= Sheet3!$B$3, "Reliable", IF(M285 &gt;= Sheet3!$B$4, "Mixed Reviews", "Low Reliability")))))</f>
        <v>Highly Reliable</v>
      </c>
    </row>
    <row r="286">
      <c r="A286" s="3">
        <f t="shared" si="1"/>
        <v>285</v>
      </c>
      <c r="B286" s="9" t="s">
        <v>2357</v>
      </c>
      <c r="C286" s="10">
        <v>39.4996488</v>
      </c>
      <c r="D286" s="10">
        <v>-76.65694</v>
      </c>
      <c r="E286" s="9" t="s">
        <v>2358</v>
      </c>
      <c r="F286" s="9" t="s">
        <v>2359</v>
      </c>
      <c r="G286" s="9" t="s">
        <v>2360</v>
      </c>
      <c r="H286" s="9" t="s">
        <v>135</v>
      </c>
      <c r="I286" s="9" t="s">
        <v>81</v>
      </c>
      <c r="J286" s="9" t="s">
        <v>2361</v>
      </c>
      <c r="K286" s="12" t="s">
        <v>2362</v>
      </c>
      <c r="L286" s="9" t="s">
        <v>2363</v>
      </c>
      <c r="M286" s="9">
        <v>83.13373123</v>
      </c>
      <c r="N286" s="10">
        <v>69.45828774</v>
      </c>
      <c r="O286" s="10" t="s">
        <v>2364</v>
      </c>
      <c r="P286" s="9">
        <v>9082026.0</v>
      </c>
      <c r="Q286" s="7" t="str">
        <f>IF(OR(ISBLANK(M286), ISBLANK(N286)), "", IF(N286 &lt; Sheet3!$B$6, "Insufficient Reviews", IF(M286 &gt;= Sheet3!$B$2, "Highly Reliable", IF(M286 &gt;= Sheet3!$B$3, "Reliable", IF(M286 &gt;= Sheet3!$B$4, "Mixed Reviews", "Low Reliability")))))</f>
        <v>Highly Reliable</v>
      </c>
    </row>
    <row r="287">
      <c r="A287" s="3">
        <f t="shared" si="1"/>
        <v>286</v>
      </c>
      <c r="B287" s="9" t="s">
        <v>2365</v>
      </c>
      <c r="C287" s="10">
        <v>39.4591237</v>
      </c>
      <c r="D287" s="10">
        <v>-76.6657702</v>
      </c>
      <c r="E287" s="9" t="s">
        <v>2366</v>
      </c>
      <c r="F287" s="9" t="s">
        <v>2367</v>
      </c>
      <c r="G287" s="9" t="s">
        <v>2368</v>
      </c>
      <c r="H287" s="9" t="s">
        <v>135</v>
      </c>
      <c r="I287" s="9" t="s">
        <v>81</v>
      </c>
      <c r="J287" s="9" t="s">
        <v>2369</v>
      </c>
      <c r="K287" s="12" t="s">
        <v>2370</v>
      </c>
      <c r="L287" s="9" t="s">
        <v>2371</v>
      </c>
      <c r="M287" s="9">
        <v>79.73392245</v>
      </c>
      <c r="N287" s="10">
        <v>71.91981569</v>
      </c>
      <c r="O287" s="10" t="s">
        <v>2372</v>
      </c>
      <c r="P287" s="9">
        <v>9082026.0</v>
      </c>
      <c r="Q287" s="7" t="str">
        <f>IF(OR(ISBLANK(M287), ISBLANK(N287)), "", IF(N287 &lt; Sheet3!$B$6, "Insufficient Reviews", IF(M287 &gt;= Sheet3!$B$2, "Highly Reliable", IF(M287 &gt;= Sheet3!$B$3, "Reliable", IF(M287 &gt;= Sheet3!$B$4, "Mixed Reviews", "Low Reliability")))))</f>
        <v>Reliable</v>
      </c>
    </row>
    <row r="288">
      <c r="A288" s="3">
        <f t="shared" si="1"/>
        <v>287</v>
      </c>
      <c r="B288" s="9" t="s">
        <v>2373</v>
      </c>
      <c r="C288" s="10">
        <v>39.4135918</v>
      </c>
      <c r="D288" s="10">
        <v>-76.4581537</v>
      </c>
      <c r="E288" s="9" t="s">
        <v>2374</v>
      </c>
      <c r="F288" s="9" t="s">
        <v>2375</v>
      </c>
      <c r="G288" s="9" t="s">
        <v>2376</v>
      </c>
      <c r="H288" s="9" t="s">
        <v>135</v>
      </c>
      <c r="I288" s="9" t="s">
        <v>81</v>
      </c>
      <c r="J288" s="9" t="s">
        <v>2377</v>
      </c>
      <c r="K288" s="12" t="s">
        <v>2378</v>
      </c>
      <c r="L288" s="9" t="s">
        <v>2379</v>
      </c>
      <c r="M288" s="9">
        <v>83.95642442</v>
      </c>
      <c r="N288" s="10">
        <v>74.74598981</v>
      </c>
      <c r="O288" s="10" t="s">
        <v>2380</v>
      </c>
      <c r="P288" s="9">
        <v>9082026.0</v>
      </c>
      <c r="Q288" s="7" t="str">
        <f>IF(OR(ISBLANK(M288), ISBLANK(N288)), "", IF(N288 &lt; Sheet3!$B$6, "Insufficient Reviews", IF(M288 &gt;= Sheet3!$B$2, "Highly Reliable", IF(M288 &gt;= Sheet3!$B$3, "Reliable", IF(M288 &gt;= Sheet3!$B$4, "Mixed Reviews", "Low Reliability")))))</f>
        <v>Highly Reliable</v>
      </c>
    </row>
    <row r="289">
      <c r="A289" s="3">
        <f t="shared" si="1"/>
        <v>288</v>
      </c>
      <c r="B289" s="9" t="s">
        <v>2381</v>
      </c>
      <c r="C289" s="10">
        <v>39.2539557</v>
      </c>
      <c r="D289" s="10">
        <v>-76.7280522</v>
      </c>
      <c r="E289" s="9" t="s">
        <v>2382</v>
      </c>
      <c r="F289" s="9" t="s">
        <v>2383</v>
      </c>
      <c r="G289" s="9" t="s">
        <v>2384</v>
      </c>
      <c r="H289" s="9" t="s">
        <v>135</v>
      </c>
      <c r="I289" s="9" t="s">
        <v>81</v>
      </c>
      <c r="J289" s="9" t="s">
        <v>2385</v>
      </c>
      <c r="K289" s="12" t="s">
        <v>2386</v>
      </c>
      <c r="L289" s="9" t="s">
        <v>2387</v>
      </c>
      <c r="M289" s="9">
        <v>80.10262838</v>
      </c>
      <c r="N289" s="10">
        <v>73.90448099</v>
      </c>
      <c r="O289" s="10" t="s">
        <v>2388</v>
      </c>
      <c r="P289" s="9">
        <v>9082026.0</v>
      </c>
      <c r="Q289" s="7" t="str">
        <f>IF(OR(ISBLANK(M289), ISBLANK(N289)), "", IF(N289 &lt; Sheet3!$B$6, "Insufficient Reviews", IF(M289 &gt;= Sheet3!$B$2, "Highly Reliable", IF(M289 &gt;= Sheet3!$B$3, "Reliable", IF(M289 &gt;= Sheet3!$B$4, "Mixed Reviews", "Low Reliability")))))</f>
        <v>Reliable</v>
      </c>
    </row>
    <row r="290">
      <c r="A290" s="3">
        <f t="shared" si="1"/>
        <v>289</v>
      </c>
      <c r="B290" s="9" t="s">
        <v>2389</v>
      </c>
      <c r="C290" s="10">
        <v>39.395323</v>
      </c>
      <c r="D290" s="10">
        <v>-76.602041</v>
      </c>
      <c r="E290" s="9" t="s">
        <v>2390</v>
      </c>
      <c r="F290" s="9" t="s">
        <v>2391</v>
      </c>
      <c r="G290" s="9" t="s">
        <v>2392</v>
      </c>
      <c r="H290" s="9" t="s">
        <v>135</v>
      </c>
      <c r="I290" s="9" t="s">
        <v>81</v>
      </c>
      <c r="J290" s="9" t="s">
        <v>2393</v>
      </c>
      <c r="K290" s="12" t="s">
        <v>2394</v>
      </c>
      <c r="L290" s="9" t="s">
        <v>2395</v>
      </c>
      <c r="M290" s="9">
        <v>80.74263574</v>
      </c>
      <c r="N290" s="10">
        <v>71.03194894</v>
      </c>
      <c r="O290" s="10" t="s">
        <v>2396</v>
      </c>
      <c r="P290" s="9">
        <v>9082026.0</v>
      </c>
      <c r="Q290" s="7" t="str">
        <f>IF(OR(ISBLANK(M290), ISBLANK(N290)), "", IF(N290 &lt; Sheet3!$B$6, "Insufficient Reviews", IF(M290 &gt;= Sheet3!$B$2, "Highly Reliable", IF(M290 &gt;= Sheet3!$B$3, "Reliable", IF(M290 &gt;= Sheet3!$B$4, "Mixed Reviews", "Low Reliability")))))</f>
        <v>Reliable</v>
      </c>
    </row>
    <row r="291">
      <c r="A291" s="3">
        <f t="shared" si="1"/>
        <v>290</v>
      </c>
      <c r="B291" s="9" t="s">
        <v>2397</v>
      </c>
      <c r="C291" s="10">
        <v>39.3760856</v>
      </c>
      <c r="D291" s="10">
        <v>-76.5113263</v>
      </c>
      <c r="E291" s="9" t="s">
        <v>2398</v>
      </c>
      <c r="F291" s="9" t="s">
        <v>2399</v>
      </c>
      <c r="G291" s="9" t="s">
        <v>2400</v>
      </c>
      <c r="H291" s="9" t="s">
        <v>135</v>
      </c>
      <c r="I291" s="9" t="s">
        <v>81</v>
      </c>
      <c r="J291" s="9" t="s">
        <v>2401</v>
      </c>
      <c r="K291" s="12" t="s">
        <v>2402</v>
      </c>
      <c r="L291" s="9" t="s">
        <v>2403</v>
      </c>
      <c r="M291" s="9">
        <v>84.17894023</v>
      </c>
      <c r="N291" s="10">
        <v>72.41560237</v>
      </c>
      <c r="O291" s="10" t="s">
        <v>2404</v>
      </c>
      <c r="P291" s="9">
        <v>9082026.0</v>
      </c>
      <c r="Q291" s="7" t="str">
        <f>IF(OR(ISBLANK(M291), ISBLANK(N291)), "", IF(N291 &lt; Sheet3!$B$6, "Insufficient Reviews", IF(M291 &gt;= Sheet3!$B$2, "Highly Reliable", IF(M291 &gt;= Sheet3!$B$3, "Reliable", IF(M291 &gt;= Sheet3!$B$4, "Mixed Reviews", "Low Reliability")))))</f>
        <v>Highly Reliable</v>
      </c>
    </row>
    <row r="292">
      <c r="A292" s="3">
        <f t="shared" si="1"/>
        <v>291</v>
      </c>
      <c r="B292" s="9" t="s">
        <v>2405</v>
      </c>
      <c r="C292" s="10">
        <v>39.5021183</v>
      </c>
      <c r="D292" s="10">
        <v>-76.6466489</v>
      </c>
      <c r="E292" s="9" t="s">
        <v>2406</v>
      </c>
      <c r="F292" s="9" t="s">
        <v>2407</v>
      </c>
      <c r="G292" s="9" t="s">
        <v>2408</v>
      </c>
      <c r="H292" s="9"/>
      <c r="I292" s="9" t="s">
        <v>81</v>
      </c>
      <c r="J292" s="9" t="s">
        <v>2409</v>
      </c>
      <c r="K292" s="12" t="s">
        <v>2410</v>
      </c>
      <c r="L292" s="9" t="s">
        <v>2411</v>
      </c>
      <c r="M292" s="9">
        <v>78.52728018</v>
      </c>
      <c r="N292" s="10">
        <v>93.95766261</v>
      </c>
      <c r="O292" s="10" t="s">
        <v>2412</v>
      </c>
      <c r="P292" s="9">
        <v>9082026.0</v>
      </c>
      <c r="Q292" s="7" t="str">
        <f>IF(OR(ISBLANK(M292), ISBLANK(N292)), "", IF(N292 &lt; Sheet3!$B$6, "Insufficient Reviews", IF(M292 &gt;= Sheet3!$B$2, "Highly Reliable", IF(M292 &gt;= Sheet3!$B$3, "Reliable", IF(M292 &gt;= Sheet3!$B$4, "Mixed Reviews", "Low Reliability")))))</f>
        <v>Reliable</v>
      </c>
    </row>
    <row r="293">
      <c r="A293" s="3">
        <f t="shared" si="1"/>
        <v>292</v>
      </c>
      <c r="B293" s="9" t="s">
        <v>2413</v>
      </c>
      <c r="C293" s="10">
        <v>39.237934</v>
      </c>
      <c r="D293" s="10">
        <v>-76.6066064</v>
      </c>
      <c r="E293" s="9" t="s">
        <v>2414</v>
      </c>
      <c r="F293" s="9" t="s">
        <v>2415</v>
      </c>
      <c r="G293" s="9" t="s">
        <v>2416</v>
      </c>
      <c r="H293" s="9" t="s">
        <v>2417</v>
      </c>
      <c r="I293" s="9" t="s">
        <v>203</v>
      </c>
      <c r="J293" s="9" t="s">
        <v>2418</v>
      </c>
      <c r="K293" s="12" t="s">
        <v>2419</v>
      </c>
      <c r="L293" s="9" t="s">
        <v>2420</v>
      </c>
      <c r="M293" s="9">
        <v>82.1924052</v>
      </c>
      <c r="N293" s="10">
        <v>75.8563405</v>
      </c>
      <c r="O293" s="10" t="s">
        <v>2421</v>
      </c>
      <c r="P293" s="9">
        <v>9082026.0</v>
      </c>
      <c r="Q293" s="7" t="str">
        <f>IF(OR(ISBLANK(M293), ISBLANK(N293)), "", IF(N293 &lt; Sheet3!$B$6, "Insufficient Reviews", IF(M293 &gt;= Sheet3!$B$2, "Highly Reliable", IF(M293 &gt;= Sheet3!$B$3, "Reliable", IF(M293 &gt;= Sheet3!$B$4, "Mixed Reviews", "Low Reliability")))))</f>
        <v>Highly Reliable</v>
      </c>
    </row>
    <row r="294">
      <c r="A294" s="3">
        <f t="shared" si="1"/>
        <v>293</v>
      </c>
      <c r="B294" s="9" t="s">
        <v>2422</v>
      </c>
      <c r="C294" s="10">
        <v>39.323304</v>
      </c>
      <c r="D294" s="10">
        <v>-76.659673</v>
      </c>
      <c r="E294" s="9" t="s">
        <v>2423</v>
      </c>
      <c r="F294" s="9" t="s">
        <v>2424</v>
      </c>
      <c r="G294" s="9" t="s">
        <v>2425</v>
      </c>
      <c r="H294" s="9" t="s">
        <v>126</v>
      </c>
      <c r="I294" s="9" t="s">
        <v>44</v>
      </c>
      <c r="J294" s="9" t="s">
        <v>2426</v>
      </c>
      <c r="K294" s="12" t="s">
        <v>2427</v>
      </c>
      <c r="L294" s="9" t="s">
        <v>2428</v>
      </c>
      <c r="M294" s="9">
        <v>16.5</v>
      </c>
      <c r="N294" s="10">
        <v>32.79333333</v>
      </c>
      <c r="O294" s="10" t="s">
        <v>1991</v>
      </c>
      <c r="P294" s="9">
        <v>9082026.0</v>
      </c>
      <c r="Q294" s="7" t="str">
        <f>IF(OR(ISBLANK(M294), ISBLANK(N294)), "", IF(N294 &lt; Sheet3!$B$6, "Insufficient Reviews", IF(M294 &gt;= Sheet3!$B$2, "Highly Reliable", IF(M294 &gt;= Sheet3!$B$3, "Reliable", IF(M294 &gt;= Sheet3!$B$4, "Mixed Reviews", "Low Reliability")))))</f>
        <v>Insufficient Reviews</v>
      </c>
    </row>
    <row r="295">
      <c r="A295" s="3">
        <f t="shared" si="1"/>
        <v>294</v>
      </c>
      <c r="B295" s="9" t="s">
        <v>2429</v>
      </c>
      <c r="C295" s="10">
        <v>39.4035806</v>
      </c>
      <c r="D295" s="10">
        <v>-76.6091833</v>
      </c>
      <c r="E295" s="9" t="s">
        <v>2430</v>
      </c>
      <c r="F295" s="9" t="s">
        <v>2431</v>
      </c>
      <c r="G295" s="9" t="s">
        <v>2432</v>
      </c>
      <c r="H295" s="9" t="s">
        <v>532</v>
      </c>
      <c r="I295" s="9" t="s">
        <v>35</v>
      </c>
      <c r="J295" s="9" t="s">
        <v>2433</v>
      </c>
      <c r="K295" s="12" t="s">
        <v>2434</v>
      </c>
      <c r="L295" s="9" t="s">
        <v>2435</v>
      </c>
      <c r="M295" s="10">
        <v>81.64999237</v>
      </c>
      <c r="N295" s="10">
        <v>95.17818392</v>
      </c>
      <c r="O295" s="9" t="s">
        <v>2436</v>
      </c>
      <c r="P295" s="9">
        <v>9082026.0</v>
      </c>
      <c r="Q295" s="7" t="str">
        <f>IF(OR(ISBLANK(M295), ISBLANK(N295)), "", IF(N295 &lt; Sheet3!$B$6, "Insufficient Reviews", IF(M295 &gt;= Sheet3!$B$2, "Highly Reliable", IF(M295 &gt;= Sheet3!$B$3, "Reliable", IF(M295 &gt;= Sheet3!$B$4, "Mixed Reviews", "Low Reliability")))))</f>
        <v>Reliable</v>
      </c>
    </row>
    <row r="296">
      <c r="A296" s="3">
        <f t="shared" si="1"/>
        <v>295</v>
      </c>
      <c r="B296" s="9" t="s">
        <v>2437</v>
      </c>
      <c r="C296" s="10">
        <v>39.2802439</v>
      </c>
      <c r="D296" s="10">
        <v>-76.5730218</v>
      </c>
      <c r="E296" s="9" t="s">
        <v>2438</v>
      </c>
      <c r="F296" s="9" t="s">
        <v>2439</v>
      </c>
      <c r="G296" s="9"/>
      <c r="H296" s="9" t="s">
        <v>2417</v>
      </c>
      <c r="I296" s="9" t="s">
        <v>35</v>
      </c>
      <c r="J296" s="9" t="s">
        <v>2440</v>
      </c>
      <c r="K296" s="12" t="s">
        <v>2441</v>
      </c>
      <c r="L296" s="9" t="s">
        <v>2442</v>
      </c>
      <c r="M296" s="9">
        <v>85.70175181</v>
      </c>
      <c r="N296" s="10">
        <v>74.63124713</v>
      </c>
      <c r="O296" s="10" t="s">
        <v>2176</v>
      </c>
      <c r="P296" s="9">
        <v>9082026.0</v>
      </c>
      <c r="Q296" s="7" t="str">
        <f>IF(OR(ISBLANK(M296), ISBLANK(N296)), "", IF(N296 &lt; Sheet3!$B$6, "Insufficient Reviews", IF(M296 &gt;= Sheet3!$B$2, "Highly Reliable", IF(M296 &gt;= Sheet3!$B$3, "Reliable", IF(M296 &gt;= Sheet3!$B$4, "Mixed Reviews", "Low Reliability")))))</f>
        <v>Highly Reliable</v>
      </c>
    </row>
    <row r="297">
      <c r="A297" s="3">
        <f t="shared" si="1"/>
        <v>296</v>
      </c>
      <c r="B297" s="9" t="s">
        <v>2443</v>
      </c>
      <c r="C297" s="10">
        <v>39.2782424</v>
      </c>
      <c r="D297" s="10">
        <v>-76.5728776</v>
      </c>
      <c r="E297" s="9" t="s">
        <v>2444</v>
      </c>
      <c r="F297" s="9" t="s">
        <v>2445</v>
      </c>
      <c r="G297" s="9" t="s">
        <v>2446</v>
      </c>
      <c r="H297" s="9" t="s">
        <v>135</v>
      </c>
      <c r="I297" s="9" t="s">
        <v>91</v>
      </c>
      <c r="J297" s="9" t="s">
        <v>2447</v>
      </c>
      <c r="K297" s="12" t="s">
        <v>2448</v>
      </c>
      <c r="L297" s="9" t="s">
        <v>2449</v>
      </c>
      <c r="M297" s="9">
        <v>79.46957936</v>
      </c>
      <c r="N297" s="10">
        <v>72.65015587</v>
      </c>
      <c r="O297" s="10" t="s">
        <v>2450</v>
      </c>
      <c r="P297" s="9">
        <v>9082026.0</v>
      </c>
      <c r="Q297" s="7" t="str">
        <f>IF(OR(ISBLANK(M297), ISBLANK(N297)), "", IF(N297 &lt; Sheet3!$B$6, "Insufficient Reviews", IF(M297 &gt;= Sheet3!$B$2, "Highly Reliable", IF(M297 &gt;= Sheet3!$B$3, "Reliable", IF(M297 &gt;= Sheet3!$B$4, "Mixed Reviews", "Low Reliability")))))</f>
        <v>Reliable</v>
      </c>
    </row>
    <row r="298">
      <c r="A298" s="3">
        <f t="shared" si="1"/>
        <v>297</v>
      </c>
      <c r="B298" s="9" t="s">
        <v>2451</v>
      </c>
      <c r="C298" s="10">
        <v>39.3518531</v>
      </c>
      <c r="D298" s="10">
        <v>-76.7327256</v>
      </c>
      <c r="E298" s="9" t="s">
        <v>2452</v>
      </c>
      <c r="F298" s="9" t="s">
        <v>2453</v>
      </c>
      <c r="G298" s="9"/>
      <c r="H298" s="11"/>
      <c r="I298" s="9" t="s">
        <v>27</v>
      </c>
      <c r="J298" s="9" t="s">
        <v>2454</v>
      </c>
      <c r="K298" s="9"/>
      <c r="L298" s="9" t="s">
        <v>2455</v>
      </c>
      <c r="M298" s="9">
        <v>3.0</v>
      </c>
      <c r="N298" s="10">
        <v>16.44166667</v>
      </c>
      <c r="O298" s="10" t="s">
        <v>2456</v>
      </c>
      <c r="P298" s="9">
        <v>9082026.0</v>
      </c>
      <c r="Q298" s="7" t="str">
        <f>IF(OR(ISBLANK(M298), ISBLANK(N298)), "", IF(N298 &lt; Sheet3!$B$6, "Insufficient Reviews", IF(M298 &gt;= Sheet3!$B$2, "Highly Reliable", IF(M298 &gt;= Sheet3!$B$3, "Reliable", IF(M298 &gt;= Sheet3!$B$4, "Mixed Reviews", "Low Reliability")))))</f>
        <v>Insufficient Reviews</v>
      </c>
    </row>
    <row r="299">
      <c r="A299" s="3">
        <f t="shared" si="1"/>
        <v>298</v>
      </c>
      <c r="B299" s="9" t="s">
        <v>2457</v>
      </c>
      <c r="C299" s="10">
        <v>39.3289632</v>
      </c>
      <c r="D299" s="10">
        <v>-76.6752279</v>
      </c>
      <c r="E299" s="9" t="s">
        <v>2458</v>
      </c>
      <c r="F299" s="9" t="s">
        <v>2459</v>
      </c>
      <c r="G299" s="11"/>
      <c r="H299" s="11"/>
      <c r="I299" s="9" t="s">
        <v>81</v>
      </c>
      <c r="J299" s="9" t="s">
        <v>2460</v>
      </c>
      <c r="K299" s="9"/>
      <c r="L299" s="9" t="s">
        <v>2461</v>
      </c>
      <c r="M299" s="9">
        <v>6.0</v>
      </c>
      <c r="N299" s="10">
        <v>15.57166667</v>
      </c>
      <c r="O299" s="10" t="s">
        <v>2462</v>
      </c>
      <c r="P299" s="9">
        <v>9082026.0</v>
      </c>
      <c r="Q299" s="7" t="str">
        <f>IF(OR(ISBLANK(M299), ISBLANK(N299)), "", IF(N299 &lt; Sheet3!$B$6, "Insufficient Reviews", IF(M299 &gt;= Sheet3!$B$2, "Highly Reliable", IF(M299 &gt;= Sheet3!$B$3, "Reliable", IF(M299 &gt;= Sheet3!$B$4, "Mixed Reviews", "Low Reliability")))))</f>
        <v>Insufficient Reviews</v>
      </c>
    </row>
    <row r="300">
      <c r="A300" s="3">
        <f t="shared" si="1"/>
        <v>299</v>
      </c>
      <c r="B300" s="9" t="s">
        <v>2463</v>
      </c>
      <c r="C300" s="10">
        <v>39.3601112</v>
      </c>
      <c r="D300" s="10">
        <v>-76.5993126</v>
      </c>
      <c r="E300" s="9" t="s">
        <v>2464</v>
      </c>
      <c r="F300" s="9" t="s">
        <v>2465</v>
      </c>
      <c r="G300" s="9"/>
      <c r="H300" s="9" t="s">
        <v>53</v>
      </c>
      <c r="I300" s="9" t="s">
        <v>91</v>
      </c>
      <c r="J300" s="9" t="s">
        <v>2466</v>
      </c>
      <c r="K300" s="9"/>
      <c r="L300" s="9" t="s">
        <v>2467</v>
      </c>
      <c r="M300" s="9">
        <v>71.24507024</v>
      </c>
      <c r="N300" s="10">
        <v>42.42753244</v>
      </c>
      <c r="O300" s="10" t="s">
        <v>2468</v>
      </c>
      <c r="P300" s="9">
        <v>9082026.0</v>
      </c>
      <c r="Q300" s="7" t="str">
        <f>IF(OR(ISBLANK(M300), ISBLANK(N300)), "", IF(N300 &lt; Sheet3!$B$6, "Insufficient Reviews", IF(M300 &gt;= Sheet3!$B$2, "Highly Reliable", IF(M300 &gt;= Sheet3!$B$3, "Reliable", IF(M300 &gt;= Sheet3!$B$4, "Mixed Reviews", "Low Reliability")))))</f>
        <v>Reliable</v>
      </c>
    </row>
    <row r="301">
      <c r="A301" s="3">
        <f t="shared" si="1"/>
        <v>300</v>
      </c>
      <c r="B301" s="9" t="s">
        <v>2469</v>
      </c>
      <c r="C301" s="10">
        <v>39.2725298</v>
      </c>
      <c r="D301" s="10">
        <v>-76.5122411</v>
      </c>
      <c r="E301" s="9" t="s">
        <v>2470</v>
      </c>
      <c r="F301" s="9" t="s">
        <v>2471</v>
      </c>
      <c r="G301" s="9" t="s">
        <v>2472</v>
      </c>
      <c r="H301" s="9" t="s">
        <v>2473</v>
      </c>
      <c r="I301" s="9" t="s">
        <v>91</v>
      </c>
      <c r="J301" s="9" t="s">
        <v>2474</v>
      </c>
      <c r="K301" s="12" t="s">
        <v>2475</v>
      </c>
      <c r="L301" s="9" t="s">
        <v>2476</v>
      </c>
      <c r="M301" s="9">
        <v>64.24586724</v>
      </c>
      <c r="N301" s="10">
        <v>65.85957761</v>
      </c>
      <c r="O301" s="10" t="s">
        <v>2477</v>
      </c>
      <c r="P301" s="9">
        <v>9082026.0</v>
      </c>
      <c r="Q301" s="7" t="str">
        <f>IF(OR(ISBLANK(M301), ISBLANK(N301)), "", IF(N301 &lt; Sheet3!$B$6, "Insufficient Reviews", IF(M301 &gt;= Sheet3!$B$2, "Highly Reliable", IF(M301 &gt;= Sheet3!$B$3, "Reliable", IF(M301 &gt;= Sheet3!$B$4, "Mixed Reviews", "Low Reliability")))))</f>
        <v>Mixed Reviews</v>
      </c>
    </row>
    <row r="302">
      <c r="A302" s="3">
        <f t="shared" si="1"/>
        <v>301</v>
      </c>
      <c r="B302" s="9" t="s">
        <v>2478</v>
      </c>
      <c r="C302" s="10">
        <v>39.2855478</v>
      </c>
      <c r="D302" s="10">
        <v>-76.6344371</v>
      </c>
      <c r="E302" s="9" t="s">
        <v>2479</v>
      </c>
      <c r="F302" s="9" t="s">
        <v>2480</v>
      </c>
      <c r="G302" s="9" t="s">
        <v>2481</v>
      </c>
      <c r="H302" s="9" t="s">
        <v>2482</v>
      </c>
      <c r="I302" s="9" t="s">
        <v>91</v>
      </c>
      <c r="J302" s="9" t="s">
        <v>2483</v>
      </c>
      <c r="K302" s="12" t="s">
        <v>2475</v>
      </c>
      <c r="L302" s="9" t="s">
        <v>2484</v>
      </c>
      <c r="M302" s="9">
        <v>73.49175429</v>
      </c>
      <c r="N302" s="10">
        <v>54.32447657</v>
      </c>
      <c r="O302" s="10" t="s">
        <v>2485</v>
      </c>
      <c r="P302" s="9">
        <v>9082026.0</v>
      </c>
      <c r="Q302" s="7" t="str">
        <f>IF(OR(ISBLANK(M302), ISBLANK(N302)), "", IF(N302 &lt; Sheet3!$B$6, "Insufficient Reviews", IF(M302 &gt;= Sheet3!$B$2, "Highly Reliable", IF(M302 &gt;= Sheet3!$B$3, "Reliable", IF(M302 &gt;= Sheet3!$B$4, "Mixed Reviews", "Low Reliability")))))</f>
        <v>Reliable</v>
      </c>
    </row>
    <row r="303">
      <c r="A303" s="3">
        <f t="shared" si="1"/>
        <v>302</v>
      </c>
      <c r="B303" s="9" t="s">
        <v>2486</v>
      </c>
      <c r="C303" s="10">
        <v>39.2948164</v>
      </c>
      <c r="D303" s="10">
        <v>-76.6843124</v>
      </c>
      <c r="E303" s="9" t="s">
        <v>2487</v>
      </c>
      <c r="F303" s="9" t="s">
        <v>2488</v>
      </c>
      <c r="G303" s="9"/>
      <c r="H303" s="9" t="s">
        <v>135</v>
      </c>
      <c r="I303" s="9" t="s">
        <v>81</v>
      </c>
      <c r="J303" s="9" t="s">
        <v>2489</v>
      </c>
      <c r="K303" s="9"/>
      <c r="L303" s="9" t="s">
        <v>2490</v>
      </c>
      <c r="M303" s="9">
        <v>9.0</v>
      </c>
      <c r="N303" s="10">
        <v>16.39666667</v>
      </c>
      <c r="O303" s="10" t="s">
        <v>2491</v>
      </c>
      <c r="P303" s="9">
        <v>9082026.0</v>
      </c>
      <c r="Q303" s="7" t="str">
        <f>IF(OR(ISBLANK(M303), ISBLANK(N303)), "", IF(N303 &lt; Sheet3!$B$6, "Insufficient Reviews", IF(M303 &gt;= Sheet3!$B$2, "Highly Reliable", IF(M303 &gt;= Sheet3!$B$3, "Reliable", IF(M303 &gt;= Sheet3!$B$4, "Mixed Reviews", "Low Reliability")))))</f>
        <v>Insufficient Reviews</v>
      </c>
    </row>
    <row r="304">
      <c r="A304" s="3">
        <f t="shared" si="1"/>
        <v>303</v>
      </c>
      <c r="B304" s="9" t="s">
        <v>2492</v>
      </c>
      <c r="C304" s="10">
        <v>39.2838459</v>
      </c>
      <c r="D304" s="10">
        <v>-76.425567</v>
      </c>
      <c r="E304" s="9" t="s">
        <v>2493</v>
      </c>
      <c r="F304" s="9" t="s">
        <v>2494</v>
      </c>
      <c r="G304" s="9"/>
      <c r="H304" s="11"/>
      <c r="I304" s="9" t="s">
        <v>81</v>
      </c>
      <c r="J304" s="9" t="s">
        <v>2495</v>
      </c>
      <c r="K304" s="12" t="s">
        <v>2496</v>
      </c>
      <c r="L304" s="9" t="s">
        <v>2497</v>
      </c>
      <c r="M304" s="9">
        <v>63.48358028</v>
      </c>
      <c r="N304" s="10">
        <v>52.39154762</v>
      </c>
      <c r="O304" s="10" t="s">
        <v>2498</v>
      </c>
      <c r="P304" s="9">
        <v>9082026.0</v>
      </c>
      <c r="Q304" s="7" t="str">
        <f>IF(OR(ISBLANK(M304), ISBLANK(N304)), "", IF(N304 &lt; Sheet3!$B$6, "Insufficient Reviews", IF(M304 &gt;= Sheet3!$B$2, "Highly Reliable", IF(M304 &gt;= Sheet3!$B$3, "Reliable", IF(M304 &gt;= Sheet3!$B$4, "Mixed Reviews", "Low Reliability")))))</f>
        <v>Mixed Reviews</v>
      </c>
    </row>
    <row r="305">
      <c r="A305" s="3">
        <f t="shared" si="1"/>
        <v>304</v>
      </c>
      <c r="B305" s="9" t="s">
        <v>2499</v>
      </c>
      <c r="C305" s="10">
        <v>39.2700424</v>
      </c>
      <c r="D305" s="10">
        <v>-76.6707245</v>
      </c>
      <c r="E305" s="9" t="s">
        <v>2500</v>
      </c>
      <c r="F305" s="9" t="s">
        <v>2501</v>
      </c>
      <c r="G305" s="9" t="s">
        <v>2502</v>
      </c>
      <c r="H305" s="9" t="s">
        <v>312</v>
      </c>
      <c r="I305" s="9" t="s">
        <v>91</v>
      </c>
      <c r="J305" s="9" t="s">
        <v>2503</v>
      </c>
      <c r="K305" s="12" t="s">
        <v>2504</v>
      </c>
      <c r="L305" s="9" t="s">
        <v>2505</v>
      </c>
      <c r="M305" s="9">
        <v>61.74014833</v>
      </c>
      <c r="N305" s="10">
        <v>59.99386181</v>
      </c>
      <c r="O305" s="10" t="s">
        <v>2506</v>
      </c>
      <c r="P305" s="9">
        <v>9082026.0</v>
      </c>
      <c r="Q305" s="7" t="str">
        <f>IF(OR(ISBLANK(M305), ISBLANK(N305)), "", IF(N305 &lt; Sheet3!$B$6, "Insufficient Reviews", IF(M305 &gt;= Sheet3!$B$2, "Highly Reliable", IF(M305 &gt;= Sheet3!$B$3, "Reliable", IF(M305 &gt;= Sheet3!$B$4, "Mixed Reviews", "Low Reliability")))))</f>
        <v>Mixed Reviews</v>
      </c>
    </row>
    <row r="306">
      <c r="A306" s="3">
        <f t="shared" si="1"/>
        <v>305</v>
      </c>
      <c r="B306" s="9" t="s">
        <v>2507</v>
      </c>
      <c r="C306" s="10">
        <v>39.2738694</v>
      </c>
      <c r="D306" s="10">
        <v>-76.6724913</v>
      </c>
      <c r="E306" s="9" t="s">
        <v>2508</v>
      </c>
      <c r="F306" s="9" t="s">
        <v>2509</v>
      </c>
      <c r="G306" s="9" t="s">
        <v>2510</v>
      </c>
      <c r="H306" s="9" t="s">
        <v>135</v>
      </c>
      <c r="I306" s="9" t="s">
        <v>91</v>
      </c>
      <c r="J306" s="9" t="s">
        <v>2511</v>
      </c>
      <c r="K306" s="12" t="s">
        <v>2512</v>
      </c>
      <c r="L306" s="9" t="s">
        <v>2513</v>
      </c>
      <c r="M306" s="9">
        <v>69.66999595</v>
      </c>
      <c r="N306" s="10">
        <v>71.79416219</v>
      </c>
      <c r="O306" s="10" t="s">
        <v>2514</v>
      </c>
      <c r="P306" s="9">
        <v>9082026.0</v>
      </c>
      <c r="Q306" s="7" t="str">
        <f>IF(OR(ISBLANK(M306), ISBLANK(N306)), "", IF(N306 &lt; Sheet3!$B$6, "Insufficient Reviews", IF(M306 &gt;= Sheet3!$B$2, "Highly Reliable", IF(M306 &gt;= Sheet3!$B$3, "Reliable", IF(M306 &gt;= Sheet3!$B$4, "Mixed Reviews", "Low Reliability")))))</f>
        <v>Mixed Reviews</v>
      </c>
    </row>
    <row r="307">
      <c r="A307" s="3">
        <f t="shared" si="1"/>
        <v>306</v>
      </c>
      <c r="B307" s="9" t="s">
        <v>2515</v>
      </c>
      <c r="C307" s="10">
        <v>39.3578333</v>
      </c>
      <c r="D307" s="10">
        <v>-76.6877182</v>
      </c>
      <c r="E307" s="9" t="s">
        <v>2516</v>
      </c>
      <c r="F307" s="9" t="s">
        <v>2517</v>
      </c>
      <c r="G307" s="9" t="s">
        <v>2518</v>
      </c>
      <c r="H307" s="9" t="s">
        <v>135</v>
      </c>
      <c r="I307" s="9" t="s">
        <v>81</v>
      </c>
      <c r="J307" s="9" t="s">
        <v>2519</v>
      </c>
      <c r="K307" s="9"/>
      <c r="L307" s="9" t="s">
        <v>2520</v>
      </c>
      <c r="M307" s="9">
        <v>64.94141376</v>
      </c>
      <c r="N307" s="10">
        <v>33.89994293</v>
      </c>
      <c r="O307" s="10" t="s">
        <v>2521</v>
      </c>
      <c r="P307" s="9">
        <v>9082026.0</v>
      </c>
      <c r="Q307" s="7" t="str">
        <f>IF(OR(ISBLANK(M307), ISBLANK(N307)), "", IF(N307 &lt; Sheet3!$B$6, "Insufficient Reviews", IF(M307 &gt;= Sheet3!$B$2, "Highly Reliable", IF(M307 &gt;= Sheet3!$B$3, "Reliable", IF(M307 &gt;= Sheet3!$B$4, "Mixed Reviews", "Low Reliability")))))</f>
        <v>Insufficient Reviews</v>
      </c>
    </row>
    <row r="308">
      <c r="A308" s="3">
        <f t="shared" si="1"/>
        <v>307</v>
      </c>
      <c r="B308" s="9" t="s">
        <v>2522</v>
      </c>
      <c r="C308" s="10">
        <v>39.2793904</v>
      </c>
      <c r="D308" s="10">
        <v>-76.753537</v>
      </c>
      <c r="E308" s="9" t="s">
        <v>2523</v>
      </c>
      <c r="F308" s="9" t="s">
        <v>2524</v>
      </c>
      <c r="G308" s="9" t="s">
        <v>2525</v>
      </c>
      <c r="H308" s="9" t="s">
        <v>532</v>
      </c>
      <c r="I308" s="9" t="s">
        <v>35</v>
      </c>
      <c r="J308" s="9" t="s">
        <v>2526</v>
      </c>
      <c r="K308" s="12" t="s">
        <v>2527</v>
      </c>
      <c r="L308" s="9" t="s">
        <v>2528</v>
      </c>
      <c r="M308" s="9">
        <v>72.04224561</v>
      </c>
      <c r="N308" s="10">
        <v>91.75761902</v>
      </c>
      <c r="O308" s="10" t="s">
        <v>2529</v>
      </c>
      <c r="P308" s="9">
        <v>9082026.0</v>
      </c>
      <c r="Q308" s="7" t="str">
        <f>IF(OR(ISBLANK(M308), ISBLANK(N308)), "", IF(N308 &lt; Sheet3!$B$6, "Insufficient Reviews", IF(M308 &gt;= Sheet3!$B$2, "Highly Reliable", IF(M308 &gt;= Sheet3!$B$3, "Reliable", IF(M308 &gt;= Sheet3!$B$4, "Mixed Reviews", "Low Reliability")))))</f>
        <v>Reliable</v>
      </c>
    </row>
    <row r="309">
      <c r="A309" s="3">
        <f t="shared" si="1"/>
        <v>308</v>
      </c>
      <c r="B309" s="9" t="s">
        <v>2530</v>
      </c>
      <c r="C309" s="10">
        <v>39.3632117</v>
      </c>
      <c r="D309" s="10">
        <v>-76.7875254</v>
      </c>
      <c r="E309" s="9" t="s">
        <v>2531</v>
      </c>
      <c r="F309" s="9" t="s">
        <v>2532</v>
      </c>
      <c r="G309" s="9" t="s">
        <v>2533</v>
      </c>
      <c r="H309" s="9" t="s">
        <v>532</v>
      </c>
      <c r="I309" s="9" t="s">
        <v>35</v>
      </c>
      <c r="J309" s="9" t="s">
        <v>2534</v>
      </c>
      <c r="K309" s="12" t="s">
        <v>2535</v>
      </c>
      <c r="L309" s="9" t="s">
        <v>2536</v>
      </c>
      <c r="M309" s="9">
        <v>76.13034352</v>
      </c>
      <c r="N309" s="10">
        <v>94.95935148</v>
      </c>
      <c r="O309" s="10" t="s">
        <v>2537</v>
      </c>
      <c r="P309" s="9">
        <v>9082026.0</v>
      </c>
      <c r="Q309" s="7" t="str">
        <f>IF(OR(ISBLANK(M309), ISBLANK(N309)), "", IF(N309 &lt; Sheet3!$B$6, "Insufficient Reviews", IF(M309 &gt;= Sheet3!$B$2, "Highly Reliable", IF(M309 &gt;= Sheet3!$B$3, "Reliable", IF(M309 &gt;= Sheet3!$B$4, "Mixed Reviews", "Low Reliability")))))</f>
        <v>Reliable</v>
      </c>
    </row>
    <row r="310">
      <c r="A310" s="3">
        <f t="shared" si="1"/>
        <v>309</v>
      </c>
      <c r="B310" s="9" t="s">
        <v>2538</v>
      </c>
      <c r="C310" s="10">
        <v>39.354515</v>
      </c>
      <c r="D310" s="10">
        <v>-76.4746398</v>
      </c>
      <c r="E310" s="9" t="s">
        <v>2539</v>
      </c>
      <c r="F310" s="9" t="s">
        <v>2540</v>
      </c>
      <c r="G310" s="9" t="s">
        <v>2541</v>
      </c>
      <c r="H310" s="9" t="s">
        <v>2542</v>
      </c>
      <c r="I310" s="9" t="s">
        <v>91</v>
      </c>
      <c r="J310" s="9" t="s">
        <v>2543</v>
      </c>
      <c r="K310" s="12" t="s">
        <v>2544</v>
      </c>
      <c r="L310" s="9" t="s">
        <v>2545</v>
      </c>
      <c r="M310" s="9">
        <v>64.54049371</v>
      </c>
      <c r="N310" s="10">
        <v>92.81112362</v>
      </c>
      <c r="O310" s="10" t="s">
        <v>2546</v>
      </c>
      <c r="P310" s="9">
        <v>9082026.0</v>
      </c>
      <c r="Q310" s="7" t="str">
        <f>IF(OR(ISBLANK(M310), ISBLANK(N310)), "", IF(N310 &lt; Sheet3!$B$6, "Insufficient Reviews", IF(M310 &gt;= Sheet3!$B$2, "Highly Reliable", IF(M310 &gt;= Sheet3!$B$3, "Reliable", IF(M310 &gt;= Sheet3!$B$4, "Mixed Reviews", "Low Reliability")))))</f>
        <v>Mixed Reviews</v>
      </c>
    </row>
    <row r="311">
      <c r="A311" s="3">
        <f t="shared" si="1"/>
        <v>310</v>
      </c>
      <c r="B311" s="9" t="s">
        <v>2547</v>
      </c>
      <c r="C311" s="10">
        <v>39.2983136</v>
      </c>
      <c r="D311" s="10">
        <v>-76.5093513</v>
      </c>
      <c r="E311" s="9" t="s">
        <v>2548</v>
      </c>
      <c r="F311" s="9" t="s">
        <v>2549</v>
      </c>
      <c r="G311" s="9" t="s">
        <v>2550</v>
      </c>
      <c r="H311" s="9" t="s">
        <v>532</v>
      </c>
      <c r="I311" s="9" t="s">
        <v>203</v>
      </c>
      <c r="J311" s="9" t="s">
        <v>2551</v>
      </c>
      <c r="K311" s="12" t="s">
        <v>2552</v>
      </c>
      <c r="L311" s="9" t="s">
        <v>2553</v>
      </c>
      <c r="M311" s="9">
        <v>65.70133535</v>
      </c>
      <c r="N311" s="10">
        <v>70.26695479</v>
      </c>
      <c r="O311" s="10" t="s">
        <v>2554</v>
      </c>
      <c r="P311" s="9">
        <v>9082026.0</v>
      </c>
      <c r="Q311" s="7" t="str">
        <f>IF(OR(ISBLANK(M311), ISBLANK(N311)), "", IF(N311 &lt; Sheet3!$B$6, "Insufficient Reviews", IF(M311 &gt;= Sheet3!$B$2, "Highly Reliable", IF(M311 &gt;= Sheet3!$B$3, "Reliable", IF(M311 &gt;= Sheet3!$B$4, "Mixed Reviews", "Low Reliability")))))</f>
        <v>Mixed Reviews</v>
      </c>
    </row>
    <row r="312">
      <c r="A312" s="3">
        <f t="shared" si="1"/>
        <v>311</v>
      </c>
      <c r="B312" s="9" t="s">
        <v>2555</v>
      </c>
      <c r="C312" s="10">
        <v>39.4881608</v>
      </c>
      <c r="D312" s="10">
        <v>-76.656544</v>
      </c>
      <c r="E312" s="9" t="s">
        <v>2556</v>
      </c>
      <c r="F312" s="9" t="s">
        <v>2557</v>
      </c>
      <c r="G312" s="9"/>
      <c r="H312" s="11"/>
      <c r="I312" s="9" t="s">
        <v>27</v>
      </c>
      <c r="J312" s="9" t="s">
        <v>2558</v>
      </c>
      <c r="K312" s="12" t="s">
        <v>2559</v>
      </c>
      <c r="L312" s="9" t="s">
        <v>2560</v>
      </c>
      <c r="M312" s="9">
        <v>7.5</v>
      </c>
      <c r="N312" s="10">
        <v>31.86333333</v>
      </c>
      <c r="O312" s="10" t="s">
        <v>2561</v>
      </c>
      <c r="P312" s="9">
        <v>9082026.0</v>
      </c>
      <c r="Q312" s="7" t="str">
        <f>IF(OR(ISBLANK(M312), ISBLANK(N312)), "", IF(N312 &lt; Sheet3!$B$6, "Insufficient Reviews", IF(M312 &gt;= Sheet3!$B$2, "Highly Reliable", IF(M312 &gt;= Sheet3!$B$3, "Reliable", IF(M312 &gt;= Sheet3!$B$4, "Mixed Reviews", "Low Reliability")))))</f>
        <v>Insufficient Reviews</v>
      </c>
    </row>
    <row r="313">
      <c r="A313" s="3">
        <f t="shared" si="1"/>
        <v>312</v>
      </c>
      <c r="B313" s="9" t="s">
        <v>2562</v>
      </c>
      <c r="C313" s="10">
        <v>39.369892</v>
      </c>
      <c r="D313" s="10">
        <v>-76.7973617</v>
      </c>
      <c r="E313" s="9" t="s">
        <v>2563</v>
      </c>
      <c r="F313" s="9" t="s">
        <v>2564</v>
      </c>
      <c r="G313" s="9" t="s">
        <v>2565</v>
      </c>
      <c r="H313" s="9" t="s">
        <v>26</v>
      </c>
      <c r="I313" s="9" t="s">
        <v>203</v>
      </c>
      <c r="J313" s="9" t="s">
        <v>2566</v>
      </c>
      <c r="K313" s="12" t="s">
        <v>2567</v>
      </c>
      <c r="L313" s="9" t="s">
        <v>2568</v>
      </c>
      <c r="M313" s="9">
        <v>71.6521536</v>
      </c>
      <c r="N313" s="10">
        <v>60.56142413</v>
      </c>
      <c r="O313" s="10" t="s">
        <v>2569</v>
      </c>
      <c r="P313" s="9">
        <v>9082026.0</v>
      </c>
      <c r="Q313" s="7" t="str">
        <f>IF(OR(ISBLANK(M313), ISBLANK(N313)), "", IF(N313 &lt; Sheet3!$B$6, "Insufficient Reviews", IF(M313 &gt;= Sheet3!$B$2, "Highly Reliable", IF(M313 &gt;= Sheet3!$B$3, "Reliable", IF(M313 &gt;= Sheet3!$B$4, "Mixed Reviews", "Low Reliability")))))</f>
        <v>Reliable</v>
      </c>
    </row>
    <row r="314">
      <c r="A314" s="3">
        <f t="shared" si="1"/>
        <v>313</v>
      </c>
      <c r="B314" s="9" t="s">
        <v>2570</v>
      </c>
      <c r="C314" s="10">
        <v>39.3595768</v>
      </c>
      <c r="D314" s="10">
        <v>-76.7855099</v>
      </c>
      <c r="E314" s="9" t="s">
        <v>2571</v>
      </c>
      <c r="F314" s="9" t="s">
        <v>2572</v>
      </c>
      <c r="G314" s="9" t="s">
        <v>2573</v>
      </c>
      <c r="H314" s="9" t="s">
        <v>2574</v>
      </c>
      <c r="I314" s="9" t="s">
        <v>35</v>
      </c>
      <c r="J314" s="9" t="s">
        <v>2575</v>
      </c>
      <c r="K314" s="12" t="s">
        <v>2576</v>
      </c>
      <c r="L314" s="9" t="s">
        <v>2577</v>
      </c>
      <c r="M314" s="9">
        <v>75.79508702</v>
      </c>
      <c r="N314" s="10">
        <v>59.29451933</v>
      </c>
      <c r="O314" s="10" t="s">
        <v>2578</v>
      </c>
      <c r="P314" s="9">
        <v>9082026.0</v>
      </c>
      <c r="Q314" s="7" t="str">
        <f>IF(OR(ISBLANK(M314), ISBLANK(N314)), "", IF(N314 &lt; Sheet3!$B$6, "Insufficient Reviews", IF(M314 &gt;= Sheet3!$B$2, "Highly Reliable", IF(M314 &gt;= Sheet3!$B$3, "Reliable", IF(M314 &gt;= Sheet3!$B$4, "Mixed Reviews", "Low Reliability")))))</f>
        <v>Reliable</v>
      </c>
    </row>
    <row r="315">
      <c r="A315" s="3">
        <f t="shared" si="1"/>
        <v>314</v>
      </c>
      <c r="B315" s="9" t="s">
        <v>2579</v>
      </c>
      <c r="C315" s="10">
        <v>39.2565986</v>
      </c>
      <c r="D315" s="10">
        <v>-76.5249392</v>
      </c>
      <c r="E315" s="9" t="s">
        <v>2580</v>
      </c>
      <c r="F315" s="9" t="s">
        <v>2581</v>
      </c>
      <c r="G315" s="9" t="s">
        <v>2582</v>
      </c>
      <c r="H315" s="9" t="s">
        <v>126</v>
      </c>
      <c r="I315" s="9" t="s">
        <v>81</v>
      </c>
      <c r="J315" s="9" t="s">
        <v>2583</v>
      </c>
      <c r="K315" s="12" t="s">
        <v>2584</v>
      </c>
      <c r="L315" s="9" t="s">
        <v>2585</v>
      </c>
      <c r="M315" s="9">
        <v>77.86287972</v>
      </c>
      <c r="N315" s="10">
        <v>72.28120972</v>
      </c>
      <c r="O315" s="10" t="s">
        <v>2586</v>
      </c>
      <c r="P315" s="9">
        <v>9082026.0</v>
      </c>
      <c r="Q315" s="7" t="str">
        <f>IF(OR(ISBLANK(M315), ISBLANK(N315)), "", IF(N315 &lt; Sheet3!$B$6, "Insufficient Reviews", IF(M315 &gt;= Sheet3!$B$2, "Highly Reliable", IF(M315 &gt;= Sheet3!$B$3, "Reliable", IF(M315 &gt;= Sheet3!$B$4, "Mixed Reviews", "Low Reliability")))))</f>
        <v>Reliable</v>
      </c>
    </row>
    <row r="316">
      <c r="A316" s="3">
        <f t="shared" si="1"/>
        <v>315</v>
      </c>
      <c r="B316" s="9" t="s">
        <v>2587</v>
      </c>
      <c r="C316" s="10">
        <v>39.39667</v>
      </c>
      <c r="D316" s="10">
        <v>-76.860275</v>
      </c>
      <c r="E316" s="9" t="s">
        <v>2588</v>
      </c>
      <c r="F316" s="9" t="s">
        <v>2589</v>
      </c>
      <c r="G316" s="9"/>
      <c r="H316" s="11"/>
      <c r="I316" s="9" t="s">
        <v>91</v>
      </c>
      <c r="J316" s="9" t="s">
        <v>2590</v>
      </c>
      <c r="K316" s="12" t="s">
        <v>2591</v>
      </c>
      <c r="L316" s="9" t="s">
        <v>2592</v>
      </c>
      <c r="M316" s="9">
        <v>73.4764248</v>
      </c>
      <c r="N316" s="10">
        <v>71.7590003</v>
      </c>
      <c r="O316" s="10" t="s">
        <v>2593</v>
      </c>
      <c r="P316" s="9">
        <v>9082026.0</v>
      </c>
      <c r="Q316" s="7" t="str">
        <f>IF(OR(ISBLANK(M316), ISBLANK(N316)), "", IF(N316 &lt; Sheet3!$B$6, "Insufficient Reviews", IF(M316 &gt;= Sheet3!$B$2, "Highly Reliable", IF(M316 &gt;= Sheet3!$B$3, "Reliable", IF(M316 &gt;= Sheet3!$B$4, "Mixed Reviews", "Low Reliability")))))</f>
        <v>Reliable</v>
      </c>
    </row>
    <row r="317">
      <c r="A317" s="3">
        <f t="shared" si="1"/>
        <v>316</v>
      </c>
      <c r="B317" s="9" t="s">
        <v>2594</v>
      </c>
      <c r="C317" s="10">
        <v>39.4127188</v>
      </c>
      <c r="D317" s="10">
        <v>-76.4587632</v>
      </c>
      <c r="E317" s="9" t="s">
        <v>2595</v>
      </c>
      <c r="F317" s="9" t="s">
        <v>2596</v>
      </c>
      <c r="G317" s="9" t="s">
        <v>2597</v>
      </c>
      <c r="H317" s="9" t="s">
        <v>2598</v>
      </c>
      <c r="I317" s="9" t="s">
        <v>81</v>
      </c>
      <c r="J317" s="9" t="s">
        <v>2599</v>
      </c>
      <c r="K317" s="12" t="s">
        <v>2600</v>
      </c>
      <c r="L317" s="9" t="s">
        <v>2601</v>
      </c>
      <c r="M317" s="9">
        <v>74.40144576</v>
      </c>
      <c r="N317" s="10">
        <v>74.86626392</v>
      </c>
      <c r="O317" s="10" t="s">
        <v>2602</v>
      </c>
      <c r="P317" s="9">
        <v>9082026.0</v>
      </c>
      <c r="Q317" s="7" t="str">
        <f>IF(OR(ISBLANK(M317), ISBLANK(N317)), "", IF(N317 &lt; Sheet3!$B$6, "Insufficient Reviews", IF(M317 &gt;= Sheet3!$B$2, "Highly Reliable", IF(M317 &gt;= Sheet3!$B$3, "Reliable", IF(M317 &gt;= Sheet3!$B$4, "Mixed Reviews", "Low Reliability")))))</f>
        <v>Reliable</v>
      </c>
    </row>
    <row r="318">
      <c r="A318" s="3">
        <f t="shared" si="1"/>
        <v>317</v>
      </c>
      <c r="B318" s="9" t="s">
        <v>2603</v>
      </c>
      <c r="C318" s="10">
        <v>39.3119532</v>
      </c>
      <c r="D318" s="10">
        <v>-76.6732863</v>
      </c>
      <c r="E318" s="9" t="s">
        <v>2604</v>
      </c>
      <c r="F318" s="9" t="s">
        <v>2605</v>
      </c>
      <c r="G318" s="9" t="s">
        <v>2606</v>
      </c>
      <c r="H318" s="9" t="s">
        <v>135</v>
      </c>
      <c r="I318" s="9" t="s">
        <v>81</v>
      </c>
      <c r="J318" s="9" t="s">
        <v>2607</v>
      </c>
      <c r="K318" s="12" t="s">
        <v>2608</v>
      </c>
      <c r="L318" s="9" t="s">
        <v>2609</v>
      </c>
      <c r="M318" s="9">
        <v>35.89624554</v>
      </c>
      <c r="N318" s="10">
        <v>49.65692599</v>
      </c>
      <c r="O318" s="10" t="s">
        <v>2610</v>
      </c>
      <c r="P318" s="9">
        <v>9082026.0</v>
      </c>
      <c r="Q318" s="7" t="str">
        <f>IF(OR(ISBLANK(M318), ISBLANK(N318)), "", IF(N318 &lt; Sheet3!$B$6, "Insufficient Reviews", IF(M318 &gt;= Sheet3!$B$2, "Highly Reliable", IF(M318 &gt;= Sheet3!$B$3, "Reliable", IF(M318 &gt;= Sheet3!$B$4, "Mixed Reviews", "Low Reliability")))))</f>
        <v>Low Reliability</v>
      </c>
    </row>
    <row r="319">
      <c r="A319" s="3">
        <f t="shared" si="1"/>
        <v>318</v>
      </c>
      <c r="B319" s="9" t="s">
        <v>2611</v>
      </c>
      <c r="C319" s="10">
        <v>39.2955899</v>
      </c>
      <c r="D319" s="10">
        <v>-76.6245624</v>
      </c>
      <c r="E319" s="9" t="s">
        <v>2612</v>
      </c>
      <c r="F319" s="9" t="s">
        <v>2613</v>
      </c>
      <c r="G319" s="9"/>
      <c r="H319" s="11"/>
      <c r="I319" s="9" t="s">
        <v>81</v>
      </c>
      <c r="J319" s="9" t="s">
        <v>2614</v>
      </c>
      <c r="K319" s="12" t="s">
        <v>2615</v>
      </c>
      <c r="L319" s="9" t="s">
        <v>2616</v>
      </c>
      <c r="M319" s="9">
        <v>52.5</v>
      </c>
      <c r="N319" s="10">
        <v>47.15104919</v>
      </c>
      <c r="O319" s="10" t="s">
        <v>2617</v>
      </c>
      <c r="P319" s="9">
        <v>9082026.0</v>
      </c>
      <c r="Q319" s="7" t="str">
        <f>IF(OR(ISBLANK(M319), ISBLANK(N319)), "", IF(N319 &lt; Sheet3!$B$6, "Insufficient Reviews", IF(M319 &gt;= Sheet3!$B$2, "Highly Reliable", IF(M319 &gt;= Sheet3!$B$3, "Reliable", IF(M319 &gt;= Sheet3!$B$4, "Mixed Reviews", "Low Reliability")))))</f>
        <v>Low Reliability</v>
      </c>
    </row>
    <row r="320">
      <c r="A320" s="3">
        <f t="shared" si="1"/>
        <v>319</v>
      </c>
      <c r="B320" s="9" t="s">
        <v>2618</v>
      </c>
      <c r="C320" s="10">
        <v>39.2688408</v>
      </c>
      <c r="D320" s="10">
        <v>-76.7009153</v>
      </c>
      <c r="E320" s="9" t="s">
        <v>2619</v>
      </c>
      <c r="F320" s="9" t="s">
        <v>2620</v>
      </c>
      <c r="G320" s="9" t="s">
        <v>2621</v>
      </c>
      <c r="H320" s="9" t="s">
        <v>126</v>
      </c>
      <c r="I320" s="9" t="s">
        <v>81</v>
      </c>
      <c r="J320" s="9" t="s">
        <v>2622</v>
      </c>
      <c r="K320" s="12" t="s">
        <v>2623</v>
      </c>
      <c r="L320" s="9" t="s">
        <v>2624</v>
      </c>
      <c r="M320" s="9">
        <v>66.72974547</v>
      </c>
      <c r="N320" s="10">
        <v>70.79127568</v>
      </c>
      <c r="O320" s="10" t="s">
        <v>2625</v>
      </c>
      <c r="P320" s="9">
        <v>9082026.0</v>
      </c>
      <c r="Q320" s="7" t="str">
        <f>IF(OR(ISBLANK(M320), ISBLANK(N320)), "", IF(N320 &lt; Sheet3!$B$6, "Insufficient Reviews", IF(M320 &gt;= Sheet3!$B$2, "Highly Reliable", IF(M320 &gt;= Sheet3!$B$3, "Reliable", IF(M320 &gt;= Sheet3!$B$4, "Mixed Reviews", "Low Reliability")))))</f>
        <v>Mixed Reviews</v>
      </c>
    </row>
    <row r="321">
      <c r="A321" s="3">
        <f t="shared" si="1"/>
        <v>320</v>
      </c>
      <c r="B321" s="9" t="s">
        <v>2626</v>
      </c>
      <c r="C321" s="10">
        <v>39.3848761</v>
      </c>
      <c r="D321" s="10">
        <v>-76.6250588</v>
      </c>
      <c r="E321" s="9" t="s">
        <v>2627</v>
      </c>
      <c r="F321" s="9" t="s">
        <v>2628</v>
      </c>
      <c r="G321" s="9" t="s">
        <v>2629</v>
      </c>
      <c r="H321" s="9" t="s">
        <v>135</v>
      </c>
      <c r="I321" s="9" t="s">
        <v>81</v>
      </c>
      <c r="J321" s="9" t="s">
        <v>2630</v>
      </c>
      <c r="K321" s="12" t="s">
        <v>2631</v>
      </c>
      <c r="L321" s="9" t="s">
        <v>2632</v>
      </c>
      <c r="M321" s="9">
        <v>82.40804585</v>
      </c>
      <c r="N321" s="10">
        <v>73.16979323</v>
      </c>
      <c r="O321" s="10" t="s">
        <v>2633</v>
      </c>
      <c r="P321" s="9">
        <v>9082026.0</v>
      </c>
      <c r="Q321" s="7" t="str">
        <f>IF(OR(ISBLANK(M321), ISBLANK(N321)), "", IF(N321 &lt; Sheet3!$B$6, "Insufficient Reviews", IF(M321 &gt;= Sheet3!$B$2, "Highly Reliable", IF(M321 &gt;= Sheet3!$B$3, "Reliable", IF(M321 &gt;= Sheet3!$B$4, "Mixed Reviews", "Low Reliability")))))</f>
        <v>Highly Reliable</v>
      </c>
    </row>
    <row r="322">
      <c r="A322" s="3">
        <f t="shared" si="1"/>
        <v>321</v>
      </c>
      <c r="B322" s="9" t="s">
        <v>2634</v>
      </c>
      <c r="C322" s="10">
        <v>39.3885078</v>
      </c>
      <c r="D322" s="10">
        <v>-76.7392329</v>
      </c>
      <c r="E322" s="9" t="s">
        <v>2635</v>
      </c>
      <c r="F322" s="9" t="s">
        <v>2636</v>
      </c>
      <c r="G322" s="9"/>
      <c r="H322" s="9" t="s">
        <v>135</v>
      </c>
      <c r="I322" s="9" t="s">
        <v>91</v>
      </c>
      <c r="J322" s="9" t="s">
        <v>2637</v>
      </c>
      <c r="K322" s="12" t="s">
        <v>2638</v>
      </c>
      <c r="L322" s="9" t="s">
        <v>2639</v>
      </c>
      <c r="M322" s="9">
        <v>81.09981905</v>
      </c>
      <c r="N322" s="10">
        <v>71.97756157</v>
      </c>
      <c r="O322" s="10" t="s">
        <v>2640</v>
      </c>
      <c r="P322" s="9">
        <v>9082026.0</v>
      </c>
      <c r="Q322" s="7" t="str">
        <f>IF(OR(ISBLANK(M322), ISBLANK(N322)), "", IF(N322 &lt; Sheet3!$B$6, "Insufficient Reviews", IF(M322 &gt;= Sheet3!$B$2, "Highly Reliable", IF(M322 &gt;= Sheet3!$B$3, "Reliable", IF(M322 &gt;= Sheet3!$B$4, "Mixed Reviews", "Low Reliability")))))</f>
        <v>Reliable</v>
      </c>
    </row>
    <row r="323">
      <c r="A323" s="3">
        <f t="shared" si="1"/>
        <v>322</v>
      </c>
      <c r="B323" s="9" t="s">
        <v>2641</v>
      </c>
      <c r="C323" s="10">
        <v>39.3091586</v>
      </c>
      <c r="D323" s="10">
        <v>-76.7517113</v>
      </c>
      <c r="E323" s="9" t="s">
        <v>2642</v>
      </c>
      <c r="F323" s="9" t="s">
        <v>2643</v>
      </c>
      <c r="G323" s="9" t="s">
        <v>2644</v>
      </c>
      <c r="H323" s="9"/>
      <c r="I323" s="9" t="s">
        <v>91</v>
      </c>
      <c r="J323" s="9" t="s">
        <v>2645</v>
      </c>
      <c r="K323" s="12" t="s">
        <v>2646</v>
      </c>
      <c r="L323" s="9" t="s">
        <v>2647</v>
      </c>
      <c r="M323" s="9">
        <v>58.30414015</v>
      </c>
      <c r="N323" s="10">
        <v>53.67540196</v>
      </c>
      <c r="O323" s="10" t="s">
        <v>2648</v>
      </c>
      <c r="P323" s="9">
        <v>9082026.0</v>
      </c>
      <c r="Q323" s="7" t="str">
        <f>IF(OR(ISBLANK(M323), ISBLANK(N323)), "", IF(N323 &lt; Sheet3!$B$6, "Insufficient Reviews", IF(M323 &gt;= Sheet3!$B$2, "Highly Reliable", IF(M323 &gt;= Sheet3!$B$3, "Reliable", IF(M323 &gt;= Sheet3!$B$4, "Mixed Reviews", "Low Reliability")))))</f>
        <v>Low Reliability</v>
      </c>
    </row>
    <row r="324">
      <c r="A324" s="3">
        <f t="shared" si="1"/>
        <v>323</v>
      </c>
      <c r="B324" s="9" t="s">
        <v>2649</v>
      </c>
      <c r="C324" s="10">
        <v>39.2505908</v>
      </c>
      <c r="D324" s="10">
        <v>-76.6223693</v>
      </c>
      <c r="E324" s="9" t="s">
        <v>2650</v>
      </c>
      <c r="F324" s="9" t="s">
        <v>2651</v>
      </c>
      <c r="G324" s="9" t="s">
        <v>2652</v>
      </c>
      <c r="H324" s="9" t="s">
        <v>2653</v>
      </c>
      <c r="I324" s="9" t="s">
        <v>35</v>
      </c>
      <c r="J324" s="9" t="s">
        <v>2654</v>
      </c>
      <c r="K324" s="12" t="s">
        <v>2655</v>
      </c>
      <c r="L324" s="9" t="s">
        <v>2656</v>
      </c>
      <c r="M324" s="9">
        <v>84.07352203</v>
      </c>
      <c r="N324" s="10">
        <v>75.86094625</v>
      </c>
      <c r="O324" s="10" t="s">
        <v>2657</v>
      </c>
      <c r="P324" s="9">
        <v>9082026.0</v>
      </c>
      <c r="Q324" s="7" t="str">
        <f>IF(OR(ISBLANK(M324), ISBLANK(N324)), "", IF(N324 &lt; Sheet3!$B$6, "Insufficient Reviews", IF(M324 &gt;= Sheet3!$B$2, "Highly Reliable", IF(M324 &gt;= Sheet3!$B$3, "Reliable", IF(M324 &gt;= Sheet3!$B$4, "Mixed Reviews", "Low Reliability")))))</f>
        <v>Highly Reliable</v>
      </c>
    </row>
    <row r="325">
      <c r="A325" s="3">
        <f t="shared" si="1"/>
        <v>324</v>
      </c>
      <c r="B325" s="9" t="s">
        <v>2658</v>
      </c>
      <c r="C325" s="10">
        <v>39.2493867</v>
      </c>
      <c r="D325" s="10">
        <v>-76.6275409</v>
      </c>
      <c r="E325" s="9" t="s">
        <v>2659</v>
      </c>
      <c r="F325" s="9" t="s">
        <v>2660</v>
      </c>
      <c r="G325" s="9" t="s">
        <v>2661</v>
      </c>
      <c r="H325" s="9" t="s">
        <v>62</v>
      </c>
      <c r="I325" s="9" t="s">
        <v>81</v>
      </c>
      <c r="J325" s="9" t="s">
        <v>2662</v>
      </c>
      <c r="K325" s="12" t="s">
        <v>2663</v>
      </c>
      <c r="L325" s="9" t="s">
        <v>2664</v>
      </c>
      <c r="M325" s="9">
        <v>57.67694019</v>
      </c>
      <c r="N325" s="10">
        <v>48.58012138</v>
      </c>
      <c r="O325" s="10" t="s">
        <v>2665</v>
      </c>
      <c r="P325" s="9">
        <v>9082026.0</v>
      </c>
      <c r="Q325" s="7" t="str">
        <f>IF(OR(ISBLANK(M325), ISBLANK(N325)), "", IF(N325 &lt; Sheet3!$B$6, "Insufficient Reviews", IF(M325 &gt;= Sheet3!$B$2, "Highly Reliable", IF(M325 &gt;= Sheet3!$B$3, "Reliable", IF(M325 &gt;= Sheet3!$B$4, "Mixed Reviews", "Low Reliability")))))</f>
        <v>Low Reliability</v>
      </c>
    </row>
    <row r="326">
      <c r="A326" s="3">
        <f t="shared" si="1"/>
        <v>325</v>
      </c>
      <c r="B326" s="9" t="s">
        <v>2666</v>
      </c>
      <c r="C326" s="10">
        <v>39.4495648</v>
      </c>
      <c r="D326" s="10">
        <v>-76.8190099</v>
      </c>
      <c r="E326" s="9" t="s">
        <v>2667</v>
      </c>
      <c r="F326" s="9" t="s">
        <v>2668</v>
      </c>
      <c r="G326" s="9" t="s">
        <v>2669</v>
      </c>
      <c r="H326" s="9" t="s">
        <v>135</v>
      </c>
      <c r="I326" s="9" t="s">
        <v>91</v>
      </c>
      <c r="J326" s="9" t="s">
        <v>2670</v>
      </c>
      <c r="K326" s="12" t="s">
        <v>2671</v>
      </c>
      <c r="L326" s="9" t="s">
        <v>2672</v>
      </c>
      <c r="M326" s="9">
        <v>81.39763777</v>
      </c>
      <c r="N326" s="10">
        <v>72.90765789</v>
      </c>
      <c r="O326" s="10" t="s">
        <v>2673</v>
      </c>
      <c r="P326" s="9">
        <v>9082026.0</v>
      </c>
      <c r="Q326" s="7" t="str">
        <f>IF(OR(ISBLANK(M326), ISBLANK(N326)), "", IF(N326 &lt; Sheet3!$B$6, "Insufficient Reviews", IF(M326 &gt;= Sheet3!$B$2, "Highly Reliable", IF(M326 &gt;= Sheet3!$B$3, "Reliable", IF(M326 &gt;= Sheet3!$B$4, "Mixed Reviews", "Low Reliability")))))</f>
        <v>Reliable</v>
      </c>
    </row>
    <row r="327">
      <c r="A327" s="3">
        <f t="shared" si="1"/>
        <v>326</v>
      </c>
      <c r="B327" s="9" t="s">
        <v>2674</v>
      </c>
      <c r="C327" s="10">
        <v>39.3488099</v>
      </c>
      <c r="D327" s="10">
        <v>-76.489298</v>
      </c>
      <c r="E327" s="9" t="s">
        <v>2082</v>
      </c>
      <c r="F327" s="9" t="s">
        <v>2675</v>
      </c>
      <c r="G327" s="9"/>
      <c r="H327" s="9" t="s">
        <v>2676</v>
      </c>
      <c r="I327" s="9" t="s">
        <v>81</v>
      </c>
      <c r="J327" s="9" t="s">
        <v>2677</v>
      </c>
      <c r="K327" s="12" t="s">
        <v>2678</v>
      </c>
      <c r="L327" s="9" t="s">
        <v>2679</v>
      </c>
      <c r="M327" s="9">
        <v>76.5</v>
      </c>
      <c r="N327" s="10">
        <v>35.6627623</v>
      </c>
      <c r="O327" s="10" t="s">
        <v>2680</v>
      </c>
      <c r="P327" s="9">
        <v>9082026.0</v>
      </c>
      <c r="Q327" s="7" t="str">
        <f>IF(OR(ISBLANK(M327), ISBLANK(N327)), "", IF(N327 &lt; Sheet3!$B$6, "Insufficient Reviews", IF(M327 &gt;= Sheet3!$B$2, "Highly Reliable", IF(M327 &gt;= Sheet3!$B$3, "Reliable", IF(M327 &gt;= Sheet3!$B$4, "Mixed Reviews", "Low Reliability")))))</f>
        <v>Insufficient Reviews</v>
      </c>
    </row>
    <row r="328">
      <c r="A328" s="3">
        <f t="shared" si="1"/>
        <v>327</v>
      </c>
      <c r="B328" s="9" t="s">
        <v>2681</v>
      </c>
      <c r="C328" s="10">
        <v>39.2813377</v>
      </c>
      <c r="D328" s="10">
        <v>-76.6134109</v>
      </c>
      <c r="E328" s="9" t="s">
        <v>2682</v>
      </c>
      <c r="F328" s="9" t="s">
        <v>2683</v>
      </c>
      <c r="G328" s="9" t="s">
        <v>2684</v>
      </c>
      <c r="H328" s="9" t="s">
        <v>2685</v>
      </c>
      <c r="I328" s="9" t="s">
        <v>81</v>
      </c>
      <c r="J328" s="9" t="s">
        <v>2686</v>
      </c>
      <c r="K328" s="12" t="s">
        <v>2687</v>
      </c>
      <c r="L328" s="9" t="s">
        <v>2688</v>
      </c>
      <c r="M328" s="9">
        <v>62.99908611</v>
      </c>
      <c r="N328" s="10">
        <v>56.18434097</v>
      </c>
      <c r="O328" s="10" t="s">
        <v>2689</v>
      </c>
      <c r="P328" s="9">
        <v>9082026.0</v>
      </c>
      <c r="Q328" s="7" t="str">
        <f>IF(OR(ISBLANK(M328), ISBLANK(N328)), "", IF(N328 &lt; Sheet3!$B$6, "Insufficient Reviews", IF(M328 &gt;= Sheet3!$B$2, "Highly Reliable", IF(M328 &gt;= Sheet3!$B$3, "Reliable", IF(M328 &gt;= Sheet3!$B$4, "Mixed Reviews", "Low Reliability")))))</f>
        <v>Mixed Reviews</v>
      </c>
    </row>
    <row r="329">
      <c r="A329" s="3">
        <f t="shared" si="1"/>
        <v>328</v>
      </c>
      <c r="B329" s="9" t="s">
        <v>2690</v>
      </c>
      <c r="C329" s="10">
        <v>39.3133257</v>
      </c>
      <c r="D329" s="10">
        <v>-76.5914118</v>
      </c>
      <c r="E329" s="9" t="s">
        <v>2691</v>
      </c>
      <c r="F329" s="9" t="s">
        <v>2692</v>
      </c>
      <c r="G329" s="9" t="s">
        <v>2693</v>
      </c>
      <c r="H329" s="9" t="s">
        <v>2694</v>
      </c>
      <c r="I329" s="9" t="s">
        <v>35</v>
      </c>
      <c r="J329" s="9" t="s">
        <v>2695</v>
      </c>
      <c r="K329" s="12" t="s">
        <v>2696</v>
      </c>
      <c r="L329" s="9" t="s">
        <v>2697</v>
      </c>
      <c r="M329" s="9">
        <v>66.3</v>
      </c>
      <c r="N329" s="10">
        <v>44.10162023</v>
      </c>
      <c r="O329" s="10" t="s">
        <v>2698</v>
      </c>
      <c r="P329" s="9">
        <v>9082026.0</v>
      </c>
      <c r="Q329" s="7" t="str">
        <f>IF(OR(ISBLANK(M329), ISBLANK(N329)), "", IF(N329 &lt; Sheet3!$B$6, "Insufficient Reviews", IF(M329 &gt;= Sheet3!$B$2, "Highly Reliable", IF(M329 &gt;= Sheet3!$B$3, "Reliable", IF(M329 &gt;= Sheet3!$B$4, "Mixed Reviews", "Low Reliability")))))</f>
        <v>Mixed Reviews</v>
      </c>
    </row>
    <row r="330">
      <c r="A330" s="3">
        <f t="shared" si="1"/>
        <v>329</v>
      </c>
      <c r="B330" s="9" t="s">
        <v>2699</v>
      </c>
      <c r="C330" s="10">
        <v>39.4769897</v>
      </c>
      <c r="D330" s="10">
        <v>-76.6414631</v>
      </c>
      <c r="E330" s="9" t="s">
        <v>2700</v>
      </c>
      <c r="F330" s="9" t="s">
        <v>2701</v>
      </c>
      <c r="G330" s="9" t="s">
        <v>2702</v>
      </c>
      <c r="H330" s="9" t="s">
        <v>532</v>
      </c>
      <c r="I330" s="9" t="s">
        <v>35</v>
      </c>
      <c r="J330" s="9" t="s">
        <v>2703</v>
      </c>
      <c r="K330" s="12" t="s">
        <v>2704</v>
      </c>
      <c r="L330" s="9" t="s">
        <v>2705</v>
      </c>
      <c r="M330" s="9">
        <v>83.84151144</v>
      </c>
      <c r="N330" s="10">
        <v>95.34515704</v>
      </c>
      <c r="O330" s="10" t="s">
        <v>2706</v>
      </c>
      <c r="P330" s="9">
        <v>9082026.0</v>
      </c>
      <c r="Q330" s="7" t="str">
        <f>IF(OR(ISBLANK(M330), ISBLANK(N330)), "", IF(N330 &lt; Sheet3!$B$6, "Insufficient Reviews", IF(M330 &gt;= Sheet3!$B$2, "Highly Reliable", IF(M330 &gt;= Sheet3!$B$3, "Reliable", IF(M330 &gt;= Sheet3!$B$4, "Mixed Reviews", "Low Reliability")))))</f>
        <v>Highly Reliable</v>
      </c>
    </row>
    <row r="331">
      <c r="A331" s="3">
        <f t="shared" si="1"/>
        <v>330</v>
      </c>
      <c r="B331" s="9" t="s">
        <v>2707</v>
      </c>
      <c r="C331" s="10">
        <v>39.3100023</v>
      </c>
      <c r="D331" s="10">
        <v>-76.587401</v>
      </c>
      <c r="E331" s="9" t="s">
        <v>2708</v>
      </c>
      <c r="F331" s="9" t="s">
        <v>2709</v>
      </c>
      <c r="G331" s="9"/>
      <c r="H331" s="11"/>
      <c r="I331" s="9" t="s">
        <v>35</v>
      </c>
      <c r="J331" s="9" t="s">
        <v>2710</v>
      </c>
      <c r="K331" s="9"/>
      <c r="L331" s="9" t="s">
        <v>2711</v>
      </c>
      <c r="M331" s="9">
        <v>10.5</v>
      </c>
      <c r="N331" s="10">
        <v>16.27666667</v>
      </c>
      <c r="O331" s="10" t="s">
        <v>2712</v>
      </c>
      <c r="P331" s="9">
        <v>9082026.0</v>
      </c>
      <c r="Q331" s="7" t="str">
        <f>IF(OR(ISBLANK(M331), ISBLANK(N331)), "", IF(N331 &lt; Sheet3!$B$6, "Insufficient Reviews", IF(M331 &gt;= Sheet3!$B$2, "Highly Reliable", IF(M331 &gt;= Sheet3!$B$3, "Reliable", IF(M331 &gt;= Sheet3!$B$4, "Mixed Reviews", "Low Reliability")))))</f>
        <v>Insufficient Reviews</v>
      </c>
    </row>
    <row r="332">
      <c r="A332" s="3">
        <f t="shared" si="1"/>
        <v>331</v>
      </c>
      <c r="B332" s="9" t="s">
        <v>2713</v>
      </c>
      <c r="C332" s="10">
        <v>39.3437455</v>
      </c>
      <c r="D332" s="10">
        <v>-76.5691183</v>
      </c>
      <c r="E332" s="9" t="s">
        <v>2714</v>
      </c>
      <c r="F332" s="9" t="s">
        <v>2715</v>
      </c>
      <c r="G332" s="9" t="s">
        <v>2716</v>
      </c>
      <c r="H332" s="9" t="s">
        <v>135</v>
      </c>
      <c r="I332" s="9" t="s">
        <v>91</v>
      </c>
      <c r="J332" s="9" t="s">
        <v>2717</v>
      </c>
      <c r="K332" s="12" t="s">
        <v>2718</v>
      </c>
      <c r="L332" s="9" t="s">
        <v>2719</v>
      </c>
      <c r="M332" s="9">
        <v>71.67548759</v>
      </c>
      <c r="N332" s="10">
        <v>72.50941115</v>
      </c>
      <c r="O332" s="10" t="s">
        <v>2720</v>
      </c>
      <c r="P332" s="9">
        <v>9082026.0</v>
      </c>
      <c r="Q332" s="7" t="str">
        <f>IF(OR(ISBLANK(M332), ISBLANK(N332)), "", IF(N332 &lt; Sheet3!$B$6, "Insufficient Reviews", IF(M332 &gt;= Sheet3!$B$2, "Highly Reliable", IF(M332 &gt;= Sheet3!$B$3, "Reliable", IF(M332 &gt;= Sheet3!$B$4, "Mixed Reviews", "Low Reliability")))))</f>
        <v>Reliable</v>
      </c>
    </row>
    <row r="333">
      <c r="A333" s="3">
        <f t="shared" si="1"/>
        <v>332</v>
      </c>
      <c r="B333" s="9" t="s">
        <v>2721</v>
      </c>
      <c r="C333" s="10">
        <v>39.4221607</v>
      </c>
      <c r="D333" s="10">
        <v>-76.6277454</v>
      </c>
      <c r="E333" s="9" t="s">
        <v>2722</v>
      </c>
      <c r="F333" s="9" t="s">
        <v>2723</v>
      </c>
      <c r="G333" s="9"/>
      <c r="H333" s="9" t="s">
        <v>135</v>
      </c>
      <c r="I333" s="9" t="s">
        <v>91</v>
      </c>
      <c r="J333" s="9" t="s">
        <v>2724</v>
      </c>
      <c r="K333" s="12" t="s">
        <v>2725</v>
      </c>
      <c r="L333" s="9" t="s">
        <v>2726</v>
      </c>
      <c r="M333" s="9">
        <v>75.95937827</v>
      </c>
      <c r="N333" s="10">
        <v>69.33670693</v>
      </c>
      <c r="O333" s="10" t="s">
        <v>2727</v>
      </c>
      <c r="P333" s="9">
        <v>9082026.0</v>
      </c>
      <c r="Q333" s="7" t="str">
        <f>IF(OR(ISBLANK(M333), ISBLANK(N333)), "", IF(N333 &lt; Sheet3!$B$6, "Insufficient Reviews", IF(M333 &gt;= Sheet3!$B$2, "Highly Reliable", IF(M333 &gt;= Sheet3!$B$3, "Reliable", IF(M333 &gt;= Sheet3!$B$4, "Mixed Reviews", "Low Reliability")))))</f>
        <v>Reliable</v>
      </c>
    </row>
    <row r="334">
      <c r="A334" s="3">
        <f t="shared" si="1"/>
        <v>333</v>
      </c>
      <c r="B334" s="9" t="s">
        <v>2728</v>
      </c>
      <c r="C334" s="10">
        <v>39.3737968</v>
      </c>
      <c r="D334" s="10">
        <v>-76.797993</v>
      </c>
      <c r="E334" s="9" t="s">
        <v>2729</v>
      </c>
      <c r="F334" s="9" t="s">
        <v>2730</v>
      </c>
      <c r="G334" s="9"/>
      <c r="H334" s="11"/>
      <c r="I334" s="9" t="s">
        <v>81</v>
      </c>
      <c r="J334" s="9" t="s">
        <v>2731</v>
      </c>
      <c r="K334" s="12" t="s">
        <v>2732</v>
      </c>
      <c r="L334" s="9" t="s">
        <v>2733</v>
      </c>
      <c r="M334" s="10">
        <v>55.96194891</v>
      </c>
      <c r="N334" s="10">
        <v>54.08301845</v>
      </c>
      <c r="O334" s="9" t="s">
        <v>2734</v>
      </c>
      <c r="P334" s="9">
        <v>9082026.0</v>
      </c>
      <c r="Q334" s="7" t="str">
        <f>IF(OR(ISBLANK(M334), ISBLANK(N334)), "", IF(N334 &lt; Sheet3!$B$6, "Insufficient Reviews", IF(M334 &gt;= Sheet3!$B$2, "Highly Reliable", IF(M334 &gt;= Sheet3!$B$3, "Reliable", IF(M334 &gt;= Sheet3!$B$4, "Mixed Reviews", "Low Reliability")))))</f>
        <v>Low Reliability</v>
      </c>
    </row>
    <row r="335">
      <c r="A335" s="3">
        <f t="shared" si="1"/>
        <v>334</v>
      </c>
      <c r="B335" s="9" t="s">
        <v>2735</v>
      </c>
      <c r="C335" s="10">
        <v>39.4836826</v>
      </c>
      <c r="D335" s="10">
        <v>-76.6443212</v>
      </c>
      <c r="E335" s="9" t="s">
        <v>2736</v>
      </c>
      <c r="F335" s="9" t="s">
        <v>2737</v>
      </c>
      <c r="G335" s="9"/>
      <c r="H335" s="9" t="s">
        <v>135</v>
      </c>
      <c r="I335" s="9" t="s">
        <v>91</v>
      </c>
      <c r="J335" s="9" t="s">
        <v>2738</v>
      </c>
      <c r="K335" s="12" t="s">
        <v>2739</v>
      </c>
      <c r="L335" s="9" t="s">
        <v>2740</v>
      </c>
      <c r="M335" s="9">
        <v>78.45193475</v>
      </c>
      <c r="N335" s="10">
        <v>65.26372825</v>
      </c>
      <c r="O335" s="10" t="s">
        <v>2741</v>
      </c>
      <c r="P335" s="9">
        <v>9082026.0</v>
      </c>
      <c r="Q335" s="7" t="str">
        <f>IF(OR(ISBLANK(M335), ISBLANK(N335)), "", IF(N335 &lt; Sheet3!$B$6, "Insufficient Reviews", IF(M335 &gt;= Sheet3!$B$2, "Highly Reliable", IF(M335 &gt;= Sheet3!$B$3, "Reliable", IF(M335 &gt;= Sheet3!$B$4, "Mixed Reviews", "Low Reliability")))))</f>
        <v>Reliable</v>
      </c>
    </row>
    <row r="336">
      <c r="A336" s="3">
        <f t="shared" si="1"/>
        <v>335</v>
      </c>
      <c r="B336" s="9" t="s">
        <v>2742</v>
      </c>
      <c r="C336" s="10">
        <v>39.3246893</v>
      </c>
      <c r="D336" s="10">
        <v>-76.6838998</v>
      </c>
      <c r="E336" s="9" t="s">
        <v>2743</v>
      </c>
      <c r="F336" s="9" t="s">
        <v>2744</v>
      </c>
      <c r="G336" s="9" t="s">
        <v>2745</v>
      </c>
      <c r="H336" s="9"/>
      <c r="I336" s="9" t="s">
        <v>81</v>
      </c>
      <c r="J336" s="9" t="s">
        <v>2746</v>
      </c>
      <c r="K336" s="9"/>
      <c r="L336" s="9" t="s">
        <v>2747</v>
      </c>
      <c r="M336" s="9">
        <v>72.24279256</v>
      </c>
      <c r="N336" s="10">
        <v>31.81302968</v>
      </c>
      <c r="O336" s="10" t="s">
        <v>2748</v>
      </c>
      <c r="P336" s="9">
        <v>9082026.0</v>
      </c>
      <c r="Q336" s="7" t="str">
        <f>IF(OR(ISBLANK(M336), ISBLANK(N336)), "", IF(N336 &lt; Sheet3!$B$6, "Insufficient Reviews", IF(M336 &gt;= Sheet3!$B$2, "Highly Reliable", IF(M336 &gt;= Sheet3!$B$3, "Reliable", IF(M336 &gt;= Sheet3!$B$4, "Mixed Reviews", "Low Reliability")))))</f>
        <v>Insufficient Reviews</v>
      </c>
    </row>
    <row r="337">
      <c r="A337" s="3">
        <f t="shared" si="1"/>
        <v>336</v>
      </c>
      <c r="B337" s="9" t="s">
        <v>2749</v>
      </c>
      <c r="C337" s="10">
        <v>39.2446369</v>
      </c>
      <c r="D337" s="10">
        <v>-76.6606497</v>
      </c>
      <c r="E337" s="9" t="s">
        <v>2750</v>
      </c>
      <c r="F337" s="9" t="s">
        <v>2751</v>
      </c>
      <c r="G337" s="9" t="s">
        <v>2752</v>
      </c>
      <c r="H337" s="9" t="s">
        <v>26</v>
      </c>
      <c r="I337" s="9" t="s">
        <v>81</v>
      </c>
      <c r="J337" s="9" t="s">
        <v>2753</v>
      </c>
      <c r="K337" s="12" t="s">
        <v>2241</v>
      </c>
      <c r="L337" s="9" t="s">
        <v>2754</v>
      </c>
      <c r="M337" s="9">
        <v>25.5</v>
      </c>
      <c r="N337" s="10">
        <v>35.6627623</v>
      </c>
      <c r="O337" s="10" t="s">
        <v>2680</v>
      </c>
      <c r="P337" s="9">
        <v>9082026.0</v>
      </c>
      <c r="Q337" s="7" t="str">
        <f>IF(OR(ISBLANK(M337), ISBLANK(N337)), "", IF(N337 &lt; Sheet3!$B$6, "Insufficient Reviews", IF(M337 &gt;= Sheet3!$B$2, "Highly Reliable", IF(M337 &gt;= Sheet3!$B$3, "Reliable", IF(M337 &gt;= Sheet3!$B$4, "Mixed Reviews", "Low Reliability")))))</f>
        <v>Insufficient Reviews</v>
      </c>
    </row>
    <row r="338">
      <c r="A338" s="3">
        <f t="shared" si="1"/>
        <v>337</v>
      </c>
      <c r="B338" s="9" t="s">
        <v>2755</v>
      </c>
      <c r="C338" s="10">
        <v>39.3646861</v>
      </c>
      <c r="D338" s="10">
        <v>-76.7501434</v>
      </c>
      <c r="E338" s="9" t="s">
        <v>2756</v>
      </c>
      <c r="F338" s="9" t="s">
        <v>2757</v>
      </c>
      <c r="G338" s="9" t="s">
        <v>2758</v>
      </c>
      <c r="H338" s="9" t="s">
        <v>135</v>
      </c>
      <c r="I338" s="9" t="s">
        <v>91</v>
      </c>
      <c r="J338" s="9" t="s">
        <v>2759</v>
      </c>
      <c r="K338" s="12" t="s">
        <v>2760</v>
      </c>
      <c r="L338" s="9" t="s">
        <v>2761</v>
      </c>
      <c r="M338" s="9">
        <v>70.06758322</v>
      </c>
      <c r="N338" s="10">
        <v>69.80528428</v>
      </c>
      <c r="O338" s="10" t="s">
        <v>2762</v>
      </c>
      <c r="P338" s="9">
        <v>9082026.0</v>
      </c>
      <c r="Q338" s="7" t="str">
        <f>IF(OR(ISBLANK(M338), ISBLANK(N338)), "", IF(N338 &lt; Sheet3!$B$6, "Insufficient Reviews", IF(M338 &gt;= Sheet3!$B$2, "Highly Reliable", IF(M338 &gt;= Sheet3!$B$3, "Reliable", IF(M338 &gt;= Sheet3!$B$4, "Mixed Reviews", "Low Reliability")))))</f>
        <v>Reliable</v>
      </c>
    </row>
    <row r="339">
      <c r="A339" s="3">
        <f t="shared" si="1"/>
        <v>338</v>
      </c>
      <c r="B339" s="9" t="s">
        <v>2763</v>
      </c>
      <c r="C339" s="10">
        <v>39.2397005</v>
      </c>
      <c r="D339" s="10">
        <v>-76.5066104</v>
      </c>
      <c r="E339" s="9" t="s">
        <v>2764</v>
      </c>
      <c r="F339" s="9" t="s">
        <v>2765</v>
      </c>
      <c r="G339" s="9"/>
      <c r="H339" s="9" t="s">
        <v>2766</v>
      </c>
      <c r="I339" s="9" t="s">
        <v>81</v>
      </c>
      <c r="J339" s="9" t="s">
        <v>2767</v>
      </c>
      <c r="K339" s="12" t="s">
        <v>2768</v>
      </c>
      <c r="L339" s="9" t="s">
        <v>2769</v>
      </c>
      <c r="M339" s="9">
        <v>63.01336788</v>
      </c>
      <c r="N339" s="10">
        <v>71.20348721</v>
      </c>
      <c r="O339" s="10" t="s">
        <v>2770</v>
      </c>
      <c r="P339" s="9">
        <v>9082026.0</v>
      </c>
      <c r="Q339" s="7" t="str">
        <f>IF(OR(ISBLANK(M339), ISBLANK(N339)), "", IF(N339 &lt; Sheet3!$B$6, "Insufficient Reviews", IF(M339 &gt;= Sheet3!$B$2, "Highly Reliable", IF(M339 &gt;= Sheet3!$B$3, "Reliable", IF(M339 &gt;= Sheet3!$B$4, "Mixed Reviews", "Low Reliability")))))</f>
        <v>Mixed Reviews</v>
      </c>
    </row>
    <row r="340">
      <c r="A340" s="3">
        <f t="shared" si="1"/>
        <v>339</v>
      </c>
      <c r="B340" s="9" t="s">
        <v>2771</v>
      </c>
      <c r="C340" s="10">
        <v>39.2690296</v>
      </c>
      <c r="D340" s="10">
        <v>-76.6720293</v>
      </c>
      <c r="E340" s="9" t="s">
        <v>2772</v>
      </c>
      <c r="F340" s="9" t="s">
        <v>2773</v>
      </c>
      <c r="G340" s="9" t="s">
        <v>2774</v>
      </c>
      <c r="H340" s="9" t="s">
        <v>2775</v>
      </c>
      <c r="I340" s="9" t="s">
        <v>81</v>
      </c>
      <c r="J340" s="9" t="s">
        <v>2776</v>
      </c>
      <c r="K340" s="12" t="s">
        <v>2241</v>
      </c>
      <c r="L340" s="9" t="s">
        <v>2777</v>
      </c>
      <c r="M340" s="9">
        <v>55.5</v>
      </c>
      <c r="N340" s="10">
        <v>44.87233595</v>
      </c>
      <c r="O340" s="10" t="s">
        <v>2778</v>
      </c>
      <c r="P340" s="9">
        <v>9082026.0</v>
      </c>
      <c r="Q340" s="7" t="str">
        <f>IF(OR(ISBLANK(M340), ISBLANK(N340)), "", IF(N340 &lt; Sheet3!$B$6, "Insufficient Reviews", IF(M340 &gt;= Sheet3!$B$2, "Highly Reliable", IF(M340 &gt;= Sheet3!$B$3, "Reliable", IF(M340 &gt;= Sheet3!$B$4, "Mixed Reviews", "Low Reliability")))))</f>
        <v>Low Reliability</v>
      </c>
    </row>
    <row r="341">
      <c r="A341" s="3">
        <f t="shared" si="1"/>
        <v>340</v>
      </c>
      <c r="B341" s="9" t="s">
        <v>2779</v>
      </c>
      <c r="C341" s="10">
        <v>39.2847064</v>
      </c>
      <c r="D341" s="10">
        <v>-76.620486</v>
      </c>
      <c r="E341" s="9" t="s">
        <v>2780</v>
      </c>
      <c r="F341" s="9" t="s">
        <v>2781</v>
      </c>
      <c r="G341" s="9"/>
      <c r="H341" s="9" t="s">
        <v>135</v>
      </c>
      <c r="I341" s="9" t="s">
        <v>81</v>
      </c>
      <c r="J341" s="9" t="s">
        <v>2782</v>
      </c>
      <c r="K341" s="12" t="s">
        <v>2783</v>
      </c>
      <c r="L341" s="9" t="s">
        <v>2784</v>
      </c>
      <c r="M341" s="9">
        <v>16.5</v>
      </c>
      <c r="N341" s="10">
        <v>31.83333333</v>
      </c>
      <c r="O341" s="10" t="s">
        <v>290</v>
      </c>
      <c r="P341" s="9">
        <v>9082026.0</v>
      </c>
      <c r="Q341" s="7" t="str">
        <f>IF(OR(ISBLANK(M341), ISBLANK(N341)), "", IF(N341 &lt; Sheet3!$B$6, "Insufficient Reviews", IF(M341 &gt;= Sheet3!$B$2, "Highly Reliable", IF(M341 &gt;= Sheet3!$B$3, "Reliable", IF(M341 &gt;= Sheet3!$B$4, "Mixed Reviews", "Low Reliability")))))</f>
        <v>Insufficient Reviews</v>
      </c>
    </row>
    <row r="342">
      <c r="A342" s="3">
        <f t="shared" si="1"/>
        <v>341</v>
      </c>
      <c r="B342" s="9" t="s">
        <v>2785</v>
      </c>
      <c r="C342" s="10">
        <v>39.4842102</v>
      </c>
      <c r="D342" s="10">
        <v>-76.6265687</v>
      </c>
      <c r="E342" s="9" t="s">
        <v>2786</v>
      </c>
      <c r="F342" s="9" t="s">
        <v>2787</v>
      </c>
      <c r="G342" s="9" t="s">
        <v>2788</v>
      </c>
      <c r="H342" s="9"/>
      <c r="I342" s="9" t="s">
        <v>81</v>
      </c>
      <c r="J342" s="9" t="s">
        <v>2789</v>
      </c>
      <c r="K342" s="12" t="s">
        <v>2790</v>
      </c>
      <c r="L342" s="9" t="s">
        <v>2791</v>
      </c>
      <c r="M342" s="9">
        <v>72.49204133</v>
      </c>
      <c r="N342" s="10">
        <v>57.71971113</v>
      </c>
      <c r="O342" s="10" t="s">
        <v>2792</v>
      </c>
      <c r="P342" s="9">
        <v>9082026.0</v>
      </c>
      <c r="Q342" s="7" t="str">
        <f>IF(OR(ISBLANK(M342), ISBLANK(N342)), "", IF(N342 &lt; Sheet3!$B$6, "Insufficient Reviews", IF(M342 &gt;= Sheet3!$B$2, "Highly Reliable", IF(M342 &gt;= Sheet3!$B$3, "Reliable", IF(M342 &gt;= Sheet3!$B$4, "Mixed Reviews", "Low Reliability")))))</f>
        <v>Reliable</v>
      </c>
    </row>
    <row r="343">
      <c r="A343" s="3">
        <f t="shared" si="1"/>
        <v>342</v>
      </c>
      <c r="B343" s="9" t="s">
        <v>2793</v>
      </c>
      <c r="C343" s="10">
        <v>39.506399</v>
      </c>
      <c r="D343" s="10">
        <v>-76.5039283</v>
      </c>
      <c r="E343" s="9" t="s">
        <v>2794</v>
      </c>
      <c r="F343" s="9" t="s">
        <v>2787</v>
      </c>
      <c r="G343" s="9" t="s">
        <v>2795</v>
      </c>
      <c r="H343" s="9" t="s">
        <v>2796</v>
      </c>
      <c r="I343" s="9" t="s">
        <v>81</v>
      </c>
      <c r="J343" s="9" t="s">
        <v>2797</v>
      </c>
      <c r="K343" s="12" t="s">
        <v>2798</v>
      </c>
      <c r="L343" s="9" t="s">
        <v>2799</v>
      </c>
      <c r="M343" s="9">
        <v>44.5264516</v>
      </c>
      <c r="N343" s="10">
        <v>57.36100938</v>
      </c>
      <c r="O343" s="10" t="s">
        <v>2800</v>
      </c>
      <c r="P343" s="9">
        <v>9082026.0</v>
      </c>
      <c r="Q343" s="7" t="str">
        <f>IF(OR(ISBLANK(M343), ISBLANK(N343)), "", IF(N343 &lt; Sheet3!$B$6, "Insufficient Reviews", IF(M343 &gt;= Sheet3!$B$2, "Highly Reliable", IF(M343 &gt;= Sheet3!$B$3, "Reliable", IF(M343 &gt;= Sheet3!$B$4, "Mixed Reviews", "Low Reliability")))))</f>
        <v>Low Reliability</v>
      </c>
    </row>
    <row r="344">
      <c r="A344" s="3">
        <f t="shared" si="1"/>
        <v>343</v>
      </c>
      <c r="B344" s="9" t="s">
        <v>2801</v>
      </c>
      <c r="C344" s="10">
        <v>39.456006</v>
      </c>
      <c r="D344" s="10">
        <v>-76.616</v>
      </c>
      <c r="E344" s="9" t="s">
        <v>2802</v>
      </c>
      <c r="F344" s="9" t="s">
        <v>2803</v>
      </c>
      <c r="G344" s="9" t="s">
        <v>2804</v>
      </c>
      <c r="H344" s="9" t="s">
        <v>1944</v>
      </c>
      <c r="I344" s="9" t="s">
        <v>27</v>
      </c>
      <c r="J344" s="9" t="s">
        <v>2805</v>
      </c>
      <c r="K344" s="12" t="s">
        <v>2806</v>
      </c>
      <c r="L344" s="9" t="s">
        <v>2807</v>
      </c>
      <c r="M344" s="9">
        <v>77.18880171</v>
      </c>
      <c r="N344" s="10">
        <v>72.23222568</v>
      </c>
      <c r="O344" s="10" t="s">
        <v>2808</v>
      </c>
      <c r="P344" s="9">
        <v>9082026.0</v>
      </c>
      <c r="Q344" s="7" t="str">
        <f>IF(OR(ISBLANK(M344), ISBLANK(N344)), "", IF(N344 &lt; Sheet3!$B$6, "Insufficient Reviews", IF(M344 &gt;= Sheet3!$B$2, "Highly Reliable", IF(M344 &gt;= Sheet3!$B$3, "Reliable", IF(M344 &gt;= Sheet3!$B$4, "Mixed Reviews", "Low Reliability")))))</f>
        <v>Reliable</v>
      </c>
    </row>
    <row r="345">
      <c r="A345" s="3">
        <f t="shared" si="1"/>
        <v>344</v>
      </c>
      <c r="B345" s="9" t="s">
        <v>2809</v>
      </c>
      <c r="C345" s="10">
        <v>39.3335166</v>
      </c>
      <c r="D345" s="10">
        <v>-76.7498971</v>
      </c>
      <c r="E345" s="9" t="s">
        <v>2810</v>
      </c>
      <c r="F345" s="9" t="s">
        <v>2811</v>
      </c>
      <c r="G345" s="9" t="s">
        <v>2812</v>
      </c>
      <c r="H345" s="9" t="s">
        <v>2813</v>
      </c>
      <c r="I345" s="9" t="s">
        <v>91</v>
      </c>
      <c r="J345" s="9" t="s">
        <v>2814</v>
      </c>
      <c r="K345" s="12" t="s">
        <v>2815</v>
      </c>
      <c r="L345" s="9" t="s">
        <v>2816</v>
      </c>
      <c r="M345" s="9">
        <v>66.8971077</v>
      </c>
      <c r="N345" s="10">
        <v>52.93934045</v>
      </c>
      <c r="O345" s="10" t="s">
        <v>2817</v>
      </c>
      <c r="P345" s="9">
        <v>9082026.0</v>
      </c>
      <c r="Q345" s="7" t="str">
        <f>IF(OR(ISBLANK(M345), ISBLANK(N345)), "", IF(N345 &lt; Sheet3!$B$6, "Insufficient Reviews", IF(M345 &gt;= Sheet3!$B$2, "Highly Reliable", IF(M345 &gt;= Sheet3!$B$3, "Reliable", IF(M345 &gt;= Sheet3!$B$4, "Mixed Reviews", "Low Reliability")))))</f>
        <v>Mixed Reviews</v>
      </c>
    </row>
    <row r="346">
      <c r="A346" s="3">
        <f t="shared" si="1"/>
        <v>345</v>
      </c>
      <c r="B346" s="9" t="s">
        <v>2818</v>
      </c>
      <c r="C346" s="10">
        <v>39.3569068</v>
      </c>
      <c r="D346" s="10">
        <v>-76.4710006</v>
      </c>
      <c r="E346" s="9" t="s">
        <v>2819</v>
      </c>
      <c r="F346" s="9" t="s">
        <v>2820</v>
      </c>
      <c r="G346" s="9"/>
      <c r="H346" s="9" t="s">
        <v>303</v>
      </c>
      <c r="I346" s="9" t="s">
        <v>91</v>
      </c>
      <c r="J346" s="9" t="s">
        <v>2821</v>
      </c>
      <c r="K346" s="9"/>
      <c r="L346" s="9" t="s">
        <v>2822</v>
      </c>
      <c r="M346" s="9">
        <v>71.90954385</v>
      </c>
      <c r="N346" s="10">
        <v>53.91382988</v>
      </c>
      <c r="O346" s="10" t="s">
        <v>2823</v>
      </c>
      <c r="P346" s="9">
        <v>9082026.0</v>
      </c>
      <c r="Q346" s="7" t="str">
        <f>IF(OR(ISBLANK(M346), ISBLANK(N346)), "", IF(N346 &lt; Sheet3!$B$6, "Insufficient Reviews", IF(M346 &gt;= Sheet3!$B$2, "Highly Reliable", IF(M346 &gt;= Sheet3!$B$3, "Reliable", IF(M346 &gt;= Sheet3!$B$4, "Mixed Reviews", "Low Reliability")))))</f>
        <v>Reliable</v>
      </c>
    </row>
    <row r="347">
      <c r="A347" s="3">
        <f t="shared" si="1"/>
        <v>346</v>
      </c>
      <c r="B347" s="9" t="s">
        <v>2824</v>
      </c>
      <c r="C347" s="10">
        <v>39.2925318</v>
      </c>
      <c r="D347" s="10">
        <v>-76.6009688</v>
      </c>
      <c r="E347" s="9" t="s">
        <v>2825</v>
      </c>
      <c r="F347" s="9" t="s">
        <v>2826</v>
      </c>
      <c r="G347" s="9"/>
      <c r="H347" s="9" t="s">
        <v>2827</v>
      </c>
      <c r="I347" s="9" t="s">
        <v>91</v>
      </c>
      <c r="J347" s="9" t="s">
        <v>2828</v>
      </c>
      <c r="K347" s="12" t="s">
        <v>2829</v>
      </c>
      <c r="L347" s="9" t="s">
        <v>2830</v>
      </c>
      <c r="M347" s="9">
        <v>66.54456702</v>
      </c>
      <c r="N347" s="10">
        <v>71.6552371</v>
      </c>
      <c r="O347" s="10" t="s">
        <v>2831</v>
      </c>
      <c r="P347" s="9">
        <v>9082026.0</v>
      </c>
      <c r="Q347" s="7" t="str">
        <f>IF(OR(ISBLANK(M347), ISBLANK(N347)), "", IF(N347 &lt; Sheet3!$B$6, "Insufficient Reviews", IF(M347 &gt;= Sheet3!$B$2, "Highly Reliable", IF(M347 &gt;= Sheet3!$B$3, "Reliable", IF(M347 &gt;= Sheet3!$B$4, "Mixed Reviews", "Low Reliability")))))</f>
        <v>Mixed Reviews</v>
      </c>
    </row>
    <row r="348">
      <c r="A348" s="3">
        <f t="shared" si="1"/>
        <v>347</v>
      </c>
      <c r="B348" s="9" t="s">
        <v>2832</v>
      </c>
      <c r="C348" s="10">
        <v>39.3175199</v>
      </c>
      <c r="D348" s="10">
        <v>-76.6568915</v>
      </c>
      <c r="E348" s="9" t="s">
        <v>2833</v>
      </c>
      <c r="F348" s="9" t="s">
        <v>2834</v>
      </c>
      <c r="G348" s="9" t="s">
        <v>2835</v>
      </c>
      <c r="H348" s="9" t="s">
        <v>43</v>
      </c>
      <c r="I348" s="9" t="s">
        <v>91</v>
      </c>
      <c r="J348" s="9" t="s">
        <v>2836</v>
      </c>
      <c r="K348" s="12" t="s">
        <v>2837</v>
      </c>
      <c r="L348" s="9" t="s">
        <v>2838</v>
      </c>
      <c r="M348" s="9">
        <v>74.89218179</v>
      </c>
      <c r="N348" s="10">
        <v>55.2703545</v>
      </c>
      <c r="O348" s="10" t="s">
        <v>2839</v>
      </c>
      <c r="P348" s="9">
        <v>9082026.0</v>
      </c>
      <c r="Q348" s="7" t="str">
        <f>IF(OR(ISBLANK(M348), ISBLANK(N348)), "", IF(N348 &lt; Sheet3!$B$6, "Insufficient Reviews", IF(M348 &gt;= Sheet3!$B$2, "Highly Reliable", IF(M348 &gt;= Sheet3!$B$3, "Reliable", IF(M348 &gt;= Sheet3!$B$4, "Mixed Reviews", "Low Reliability")))))</f>
        <v>Reliable</v>
      </c>
    </row>
    <row r="349">
      <c r="A349" s="3">
        <f t="shared" si="1"/>
        <v>348</v>
      </c>
      <c r="B349" s="9" t="s">
        <v>2840</v>
      </c>
      <c r="C349" s="10">
        <v>39.4065007</v>
      </c>
      <c r="D349" s="10">
        <v>-76.5974152</v>
      </c>
      <c r="E349" s="9" t="s">
        <v>2841</v>
      </c>
      <c r="F349" s="9" t="s">
        <v>2842</v>
      </c>
      <c r="G349" s="9" t="s">
        <v>2843</v>
      </c>
      <c r="H349" s="9" t="s">
        <v>135</v>
      </c>
      <c r="I349" s="9" t="s">
        <v>81</v>
      </c>
      <c r="J349" s="9" t="s">
        <v>2844</v>
      </c>
      <c r="K349" s="12" t="s">
        <v>2845</v>
      </c>
      <c r="L349" s="9" t="s">
        <v>2846</v>
      </c>
      <c r="M349" s="9">
        <v>80.83073621</v>
      </c>
      <c r="N349" s="10">
        <v>95.48578127</v>
      </c>
      <c r="O349" s="10" t="s">
        <v>2847</v>
      </c>
      <c r="P349" s="9">
        <v>9082026.0</v>
      </c>
      <c r="Q349" s="7" t="str">
        <f>IF(OR(ISBLANK(M349), ISBLANK(N349)), "", IF(N349 &lt; Sheet3!$B$6, "Insufficient Reviews", IF(M349 &gt;= Sheet3!$B$2, "Highly Reliable", IF(M349 &gt;= Sheet3!$B$3, "Reliable", IF(M349 &gt;= Sheet3!$B$4, "Mixed Reviews", "Low Reliability")))))</f>
        <v>Reliable</v>
      </c>
    </row>
    <row r="350">
      <c r="A350" s="3">
        <f t="shared" si="1"/>
        <v>349</v>
      </c>
      <c r="B350" s="9" t="s">
        <v>2848</v>
      </c>
      <c r="C350" s="10">
        <v>39.2436841</v>
      </c>
      <c r="D350" s="10">
        <v>-76.4513089</v>
      </c>
      <c r="E350" s="9" t="s">
        <v>2849</v>
      </c>
      <c r="F350" s="9" t="s">
        <v>2850</v>
      </c>
      <c r="G350" s="9" t="s">
        <v>2851</v>
      </c>
      <c r="H350" s="9"/>
      <c r="I350" s="9" t="s">
        <v>27</v>
      </c>
      <c r="J350" s="9" t="s">
        <v>2852</v>
      </c>
      <c r="K350" s="12" t="s">
        <v>2853</v>
      </c>
      <c r="L350" s="9" t="s">
        <v>2854</v>
      </c>
      <c r="M350" s="9">
        <v>75.15600943</v>
      </c>
      <c r="N350" s="10">
        <v>92.97789059</v>
      </c>
      <c r="O350" s="10" t="s">
        <v>2855</v>
      </c>
      <c r="P350" s="9">
        <v>9082026.0</v>
      </c>
      <c r="Q350" s="7" t="str">
        <f>IF(OR(ISBLANK(M350), ISBLANK(N350)), "", IF(N350 &lt; Sheet3!$B$6, "Insufficient Reviews", IF(M350 &gt;= Sheet3!$B$2, "Highly Reliable", IF(M350 &gt;= Sheet3!$B$3, "Reliable", IF(M350 &gt;= Sheet3!$B$4, "Mixed Reviews", "Low Reliability")))))</f>
        <v>Reliable</v>
      </c>
    </row>
    <row r="351">
      <c r="A351" s="3">
        <f t="shared" si="1"/>
        <v>350</v>
      </c>
      <c r="B351" s="9" t="s">
        <v>2856</v>
      </c>
      <c r="C351" s="10">
        <v>39.2937539</v>
      </c>
      <c r="D351" s="10">
        <v>-76.6892574</v>
      </c>
      <c r="E351" s="9" t="s">
        <v>2857</v>
      </c>
      <c r="F351" s="9" t="s">
        <v>2858</v>
      </c>
      <c r="G351" s="9" t="s">
        <v>2859</v>
      </c>
      <c r="H351" s="9" t="s">
        <v>2417</v>
      </c>
      <c r="I351" s="9" t="s">
        <v>35</v>
      </c>
      <c r="J351" s="9" t="s">
        <v>2860</v>
      </c>
      <c r="K351" s="12" t="s">
        <v>2861</v>
      </c>
      <c r="L351" s="9" t="s">
        <v>2862</v>
      </c>
      <c r="M351" s="9">
        <v>81.11173963</v>
      </c>
      <c r="N351" s="10">
        <v>72.49439601</v>
      </c>
      <c r="O351" s="10" t="s">
        <v>2720</v>
      </c>
      <c r="P351" s="9">
        <v>9082026.0</v>
      </c>
      <c r="Q351" s="7" t="str">
        <f>IF(OR(ISBLANK(M351), ISBLANK(N351)), "", IF(N351 &lt; Sheet3!$B$6, "Insufficient Reviews", IF(M351 &gt;= Sheet3!$B$2, "Highly Reliable", IF(M351 &gt;= Sheet3!$B$3, "Reliable", IF(M351 &gt;= Sheet3!$B$4, "Mixed Reviews", "Low Reliability")))))</f>
        <v>Reliable</v>
      </c>
    </row>
    <row r="352">
      <c r="A352" s="3">
        <f t="shared" si="1"/>
        <v>351</v>
      </c>
      <c r="B352" s="9" t="s">
        <v>2863</v>
      </c>
      <c r="C352" s="10">
        <v>39.3303654</v>
      </c>
      <c r="D352" s="10">
        <v>-76.6003354</v>
      </c>
      <c r="E352" s="9" t="s">
        <v>2864</v>
      </c>
      <c r="F352" s="9" t="s">
        <v>2865</v>
      </c>
      <c r="G352" s="9" t="s">
        <v>2866</v>
      </c>
      <c r="H352" s="9" t="s">
        <v>2598</v>
      </c>
      <c r="I352" s="9" t="s">
        <v>81</v>
      </c>
      <c r="J352" s="9" t="s">
        <v>2867</v>
      </c>
      <c r="K352" s="12" t="s">
        <v>2868</v>
      </c>
      <c r="L352" s="9" t="s">
        <v>2869</v>
      </c>
      <c r="M352" s="9">
        <v>68.02930435</v>
      </c>
      <c r="N352" s="10">
        <v>58.58518189</v>
      </c>
      <c r="O352" s="10" t="s">
        <v>2870</v>
      </c>
      <c r="P352" s="9">
        <v>9082026.0</v>
      </c>
      <c r="Q352" s="7" t="str">
        <f>IF(OR(ISBLANK(M352), ISBLANK(N352)), "", IF(N352 &lt; Sheet3!$B$6, "Insufficient Reviews", IF(M352 &gt;= Sheet3!$B$2, "Highly Reliable", IF(M352 &gt;= Sheet3!$B$3, "Reliable", IF(M352 &gt;= Sheet3!$B$4, "Mixed Reviews", "Low Reliability")))))</f>
        <v>Mixed Reviews</v>
      </c>
    </row>
    <row r="353">
      <c r="A353" s="3">
        <f t="shared" si="1"/>
        <v>352</v>
      </c>
      <c r="B353" s="9" t="s">
        <v>2871</v>
      </c>
      <c r="C353" s="10">
        <v>39.3691352</v>
      </c>
      <c r="D353" s="10">
        <v>-76.6935276</v>
      </c>
      <c r="E353" s="9" t="s">
        <v>2872</v>
      </c>
      <c r="F353" s="9" t="s">
        <v>2873</v>
      </c>
      <c r="G353" s="9" t="s">
        <v>2874</v>
      </c>
      <c r="H353" s="9" t="s">
        <v>2875</v>
      </c>
      <c r="I353" s="9" t="s">
        <v>27</v>
      </c>
      <c r="J353" s="9" t="s">
        <v>2876</v>
      </c>
      <c r="K353" s="12" t="s">
        <v>2877</v>
      </c>
      <c r="L353" s="9" t="s">
        <v>2878</v>
      </c>
      <c r="M353" s="9">
        <v>83.26910581</v>
      </c>
      <c r="N353" s="10">
        <v>77.58432186</v>
      </c>
      <c r="O353" s="10" t="s">
        <v>2879</v>
      </c>
      <c r="P353" s="9">
        <v>9082026.0</v>
      </c>
      <c r="Q353" s="7" t="str">
        <f>IF(OR(ISBLANK(M353), ISBLANK(N353)), "", IF(N353 &lt; Sheet3!$B$6, "Insufficient Reviews", IF(M353 &gt;= Sheet3!$B$2, "Highly Reliable", IF(M353 &gt;= Sheet3!$B$3, "Reliable", IF(M353 &gt;= Sheet3!$B$4, "Mixed Reviews", "Low Reliability")))))</f>
        <v>Highly Reliable</v>
      </c>
    </row>
    <row r="354">
      <c r="A354" s="3">
        <f t="shared" si="1"/>
        <v>353</v>
      </c>
      <c r="B354" s="9" t="s">
        <v>2880</v>
      </c>
      <c r="C354" s="10">
        <v>39.2882706</v>
      </c>
      <c r="D354" s="10">
        <v>-76.7669551</v>
      </c>
      <c r="E354" s="9" t="s">
        <v>2881</v>
      </c>
      <c r="F354" s="9" t="s">
        <v>2882</v>
      </c>
      <c r="G354" s="9" t="s">
        <v>2883</v>
      </c>
      <c r="H354" s="9" t="s">
        <v>2884</v>
      </c>
      <c r="I354" s="9" t="s">
        <v>91</v>
      </c>
      <c r="J354" s="9" t="s">
        <v>2885</v>
      </c>
      <c r="K354" s="12" t="s">
        <v>2886</v>
      </c>
      <c r="L354" s="9" t="s">
        <v>2887</v>
      </c>
      <c r="M354" s="9">
        <v>77.0644395</v>
      </c>
      <c r="N354" s="10">
        <v>56.55361923</v>
      </c>
      <c r="O354" s="10" t="s">
        <v>2888</v>
      </c>
      <c r="P354" s="9">
        <v>9082026.0</v>
      </c>
      <c r="Q354" s="7" t="str">
        <f>IF(OR(ISBLANK(M354), ISBLANK(N354)), "", IF(N354 &lt; Sheet3!$B$6, "Insufficient Reviews", IF(M354 &gt;= Sheet3!$B$2, "Highly Reliable", IF(M354 &gt;= Sheet3!$B$3, "Reliable", IF(M354 &gt;= Sheet3!$B$4, "Mixed Reviews", "Low Reliability")))))</f>
        <v>Reliable</v>
      </c>
    </row>
    <row r="355">
      <c r="A355" s="3">
        <f t="shared" si="1"/>
        <v>354</v>
      </c>
      <c r="B355" s="9" t="s">
        <v>2889</v>
      </c>
      <c r="C355" s="10">
        <v>39.2967039</v>
      </c>
      <c r="D355" s="10">
        <v>-76.6448309</v>
      </c>
      <c r="E355" s="9" t="s">
        <v>2890</v>
      </c>
      <c r="F355" s="9" t="s">
        <v>2891</v>
      </c>
      <c r="G355" s="9" t="s">
        <v>2892</v>
      </c>
      <c r="H355" s="9"/>
      <c r="I355" s="9" t="s">
        <v>81</v>
      </c>
      <c r="J355" s="9" t="s">
        <v>2893</v>
      </c>
      <c r="K355" s="9"/>
      <c r="L355" s="9" t="s">
        <v>2894</v>
      </c>
      <c r="M355" s="9">
        <v>10.5</v>
      </c>
      <c r="N355" s="10">
        <v>16.36666667</v>
      </c>
      <c r="O355" s="10" t="s">
        <v>2895</v>
      </c>
      <c r="P355" s="9">
        <v>9082026.0</v>
      </c>
      <c r="Q355" s="7" t="str">
        <f>IF(OR(ISBLANK(M355), ISBLANK(N355)), "", IF(N355 &lt; Sheet3!$B$6, "Insufficient Reviews", IF(M355 &gt;= Sheet3!$B$2, "Highly Reliable", IF(M355 &gt;= Sheet3!$B$3, "Reliable", IF(M355 &gt;= Sheet3!$B$4, "Mixed Reviews", "Low Reliability")))))</f>
        <v>Insufficient Reviews</v>
      </c>
    </row>
    <row r="356">
      <c r="A356" s="3">
        <f t="shared" si="1"/>
        <v>355</v>
      </c>
      <c r="B356" s="9" t="s">
        <v>2896</v>
      </c>
      <c r="C356" s="10">
        <v>39.3583337</v>
      </c>
      <c r="D356" s="10">
        <v>-76.610273</v>
      </c>
      <c r="E356" s="9" t="s">
        <v>2897</v>
      </c>
      <c r="F356" s="9" t="s">
        <v>2898</v>
      </c>
      <c r="G356" s="9" t="s">
        <v>2899</v>
      </c>
      <c r="H356" s="9"/>
      <c r="I356" s="9" t="s">
        <v>81</v>
      </c>
      <c r="J356" s="9" t="s">
        <v>2900</v>
      </c>
      <c r="K356" s="9"/>
      <c r="L356" s="9" t="s">
        <v>2901</v>
      </c>
      <c r="M356" s="9">
        <v>80.5763952</v>
      </c>
      <c r="N356" s="10">
        <v>35.12869243</v>
      </c>
      <c r="O356" s="10" t="s">
        <v>2902</v>
      </c>
      <c r="P356" s="9">
        <v>9082026.0</v>
      </c>
      <c r="Q356" s="7" t="str">
        <f>IF(OR(ISBLANK(M356), ISBLANK(N356)), "", IF(N356 &lt; Sheet3!$B$6, "Insufficient Reviews", IF(M356 &gt;= Sheet3!$B$2, "Highly Reliable", IF(M356 &gt;= Sheet3!$B$3, "Reliable", IF(M356 &gt;= Sheet3!$B$4, "Mixed Reviews", "Low Reliability")))))</f>
        <v>Insufficient Reviews</v>
      </c>
    </row>
    <row r="357">
      <c r="A357" s="3">
        <f t="shared" si="1"/>
        <v>356</v>
      </c>
      <c r="B357" s="9" t="s">
        <v>2903</v>
      </c>
      <c r="C357" s="10">
        <v>39.3149933</v>
      </c>
      <c r="D357" s="10">
        <v>-76.4650582</v>
      </c>
      <c r="E357" s="9" t="s">
        <v>2904</v>
      </c>
      <c r="F357" s="9" t="s">
        <v>2905</v>
      </c>
      <c r="G357" s="9" t="s">
        <v>2906</v>
      </c>
      <c r="H357" s="9"/>
      <c r="I357" s="9" t="s">
        <v>81</v>
      </c>
      <c r="J357" s="9" t="s">
        <v>2907</v>
      </c>
      <c r="K357" s="12" t="s">
        <v>2908</v>
      </c>
      <c r="L357" s="9" t="s">
        <v>2909</v>
      </c>
      <c r="M357" s="9">
        <v>58.29620161</v>
      </c>
      <c r="N357" s="10">
        <v>57.54409409</v>
      </c>
      <c r="O357" s="10" t="s">
        <v>2910</v>
      </c>
      <c r="P357" s="9">
        <v>9082026.0</v>
      </c>
      <c r="Q357" s="7" t="str">
        <f>IF(OR(ISBLANK(M357), ISBLANK(N357)), "", IF(N357 &lt; Sheet3!$B$6, "Insufficient Reviews", IF(M357 &gt;= Sheet3!$B$2, "Highly Reliable", IF(M357 &gt;= Sheet3!$B$3, "Reliable", IF(M357 &gt;= Sheet3!$B$4, "Mixed Reviews", "Low Reliability")))))</f>
        <v>Low Reliability</v>
      </c>
    </row>
    <row r="358">
      <c r="A358" s="3">
        <f t="shared" si="1"/>
        <v>357</v>
      </c>
      <c r="B358" s="9" t="s">
        <v>2911</v>
      </c>
      <c r="C358" s="10">
        <v>39.3104491</v>
      </c>
      <c r="D358" s="10">
        <v>-76.4739358</v>
      </c>
      <c r="E358" s="9" t="s">
        <v>2912</v>
      </c>
      <c r="F358" s="9" t="s">
        <v>2913</v>
      </c>
      <c r="G358" s="9" t="s">
        <v>2914</v>
      </c>
      <c r="H358" s="9" t="s">
        <v>532</v>
      </c>
      <c r="I358" s="9" t="s">
        <v>27</v>
      </c>
      <c r="J358" s="9" t="s">
        <v>2915</v>
      </c>
      <c r="K358" s="12" t="s">
        <v>2916</v>
      </c>
      <c r="L358" s="9" t="s">
        <v>2917</v>
      </c>
      <c r="M358" s="9">
        <v>78.93175438</v>
      </c>
      <c r="N358" s="10">
        <v>95.53076413</v>
      </c>
      <c r="O358" s="10" t="s">
        <v>2918</v>
      </c>
      <c r="P358" s="9">
        <v>9082026.0</v>
      </c>
      <c r="Q358" s="7" t="str">
        <f>IF(OR(ISBLANK(M358), ISBLANK(N358)), "", IF(N358 &lt; Sheet3!$B$6, "Insufficient Reviews", IF(M358 &gt;= Sheet3!$B$2, "Highly Reliable", IF(M358 &gt;= Sheet3!$B$3, "Reliable", IF(M358 &gt;= Sheet3!$B$4, "Mixed Reviews", "Low Reliability")))))</f>
        <v>Reliable</v>
      </c>
    </row>
    <row r="359">
      <c r="A359" s="3">
        <f t="shared" si="1"/>
        <v>358</v>
      </c>
      <c r="B359" s="9" t="s">
        <v>2919</v>
      </c>
      <c r="C359" s="10">
        <v>39.3487155</v>
      </c>
      <c r="D359" s="10">
        <v>-76.5386278</v>
      </c>
      <c r="E359" s="9" t="s">
        <v>2920</v>
      </c>
      <c r="F359" s="9" t="s">
        <v>2921</v>
      </c>
      <c r="G359" s="9" t="s">
        <v>2922</v>
      </c>
      <c r="H359" s="9" t="s">
        <v>26</v>
      </c>
      <c r="I359" s="9" t="s">
        <v>81</v>
      </c>
      <c r="J359" s="9" t="s">
        <v>2923</v>
      </c>
      <c r="K359" s="12" t="s">
        <v>2241</v>
      </c>
      <c r="L359" s="9" t="s">
        <v>2924</v>
      </c>
      <c r="M359" s="9">
        <v>84.02151571</v>
      </c>
      <c r="N359" s="10">
        <v>72.08167319</v>
      </c>
      <c r="O359" s="10" t="s">
        <v>2925</v>
      </c>
      <c r="P359" s="9">
        <v>9082026.0</v>
      </c>
      <c r="Q359" s="7" t="str">
        <f>IF(OR(ISBLANK(M359), ISBLANK(N359)), "", IF(N359 &lt; Sheet3!$B$6, "Insufficient Reviews", IF(M359 &gt;= Sheet3!$B$2, "Highly Reliable", IF(M359 &gt;= Sheet3!$B$3, "Reliable", IF(M359 &gt;= Sheet3!$B$4, "Mixed Reviews", "Low Reliability")))))</f>
        <v>Highly Reliable</v>
      </c>
    </row>
    <row r="360">
      <c r="A360" s="3">
        <f t="shared" si="1"/>
        <v>359</v>
      </c>
      <c r="B360" s="9" t="s">
        <v>2926</v>
      </c>
      <c r="C360" s="10">
        <v>39.3153593</v>
      </c>
      <c r="D360" s="10">
        <v>-76.4491275</v>
      </c>
      <c r="E360" s="9" t="s">
        <v>2927</v>
      </c>
      <c r="F360" s="9" t="s">
        <v>2928</v>
      </c>
      <c r="G360" s="9" t="s">
        <v>2929</v>
      </c>
      <c r="H360" s="9" t="s">
        <v>2598</v>
      </c>
      <c r="I360" s="9" t="s">
        <v>81</v>
      </c>
      <c r="J360" s="9" t="s">
        <v>2930</v>
      </c>
      <c r="K360" s="12" t="s">
        <v>2931</v>
      </c>
      <c r="L360" s="9" t="s">
        <v>2932</v>
      </c>
      <c r="M360" s="9">
        <v>87.7496781</v>
      </c>
      <c r="N360" s="10">
        <v>61.7542064</v>
      </c>
      <c r="O360" s="10" t="s">
        <v>2933</v>
      </c>
      <c r="P360" s="9">
        <v>9082026.0</v>
      </c>
      <c r="Q360" s="7" t="str">
        <f>IF(OR(ISBLANK(M360), ISBLANK(N360)), "", IF(N360 &lt; Sheet3!$B$6, "Insufficient Reviews", IF(M360 &gt;= Sheet3!$B$2, "Highly Reliable", IF(M360 &gt;= Sheet3!$B$3, "Reliable", IF(M360 &gt;= Sheet3!$B$4, "Mixed Reviews", "Low Reliability")))))</f>
        <v>Highly Reliable</v>
      </c>
    </row>
    <row r="361">
      <c r="A361" s="3">
        <f t="shared" si="1"/>
        <v>360</v>
      </c>
      <c r="B361" s="9" t="s">
        <v>2934</v>
      </c>
      <c r="C361" s="10">
        <v>39.3070282</v>
      </c>
      <c r="D361" s="10">
        <v>-76.4757749</v>
      </c>
      <c r="E361" s="9" t="s">
        <v>2935</v>
      </c>
      <c r="F361" s="9" t="s">
        <v>2936</v>
      </c>
      <c r="G361" s="9" t="s">
        <v>2937</v>
      </c>
      <c r="H361" s="9" t="s">
        <v>2938</v>
      </c>
      <c r="I361" s="9" t="s">
        <v>91</v>
      </c>
      <c r="J361" s="9" t="s">
        <v>2939</v>
      </c>
      <c r="K361" s="9"/>
      <c r="L361" s="9" t="s">
        <v>2940</v>
      </c>
      <c r="M361" s="9">
        <v>9.0</v>
      </c>
      <c r="N361" s="10">
        <v>16.32166667</v>
      </c>
      <c r="O361" s="10" t="s">
        <v>2895</v>
      </c>
      <c r="P361" s="9">
        <v>9082026.0</v>
      </c>
      <c r="Q361" s="7" t="str">
        <f>IF(OR(ISBLANK(M361), ISBLANK(N361)), "", IF(N361 &lt; Sheet3!$B$6, "Insufficient Reviews", IF(M361 &gt;= Sheet3!$B$2, "Highly Reliable", IF(M361 &gt;= Sheet3!$B$3, "Reliable", IF(M361 &gt;= Sheet3!$B$4, "Mixed Reviews", "Low Reliability")))))</f>
        <v>Insufficient Reviews</v>
      </c>
    </row>
    <row r="362">
      <c r="A362" s="3">
        <f t="shared" si="1"/>
        <v>361</v>
      </c>
      <c r="B362" s="9" t="s">
        <v>2941</v>
      </c>
      <c r="C362" s="10">
        <v>39.2941715</v>
      </c>
      <c r="D362" s="10">
        <v>-76.7159069</v>
      </c>
      <c r="E362" s="9" t="s">
        <v>2942</v>
      </c>
      <c r="F362" s="9" t="s">
        <v>2943</v>
      </c>
      <c r="G362" s="9" t="s">
        <v>2944</v>
      </c>
      <c r="H362" s="9" t="s">
        <v>1476</v>
      </c>
      <c r="I362" s="9" t="s">
        <v>81</v>
      </c>
      <c r="J362" s="9" t="s">
        <v>2945</v>
      </c>
      <c r="K362" s="12" t="s">
        <v>2946</v>
      </c>
      <c r="L362" s="9" t="s">
        <v>2947</v>
      </c>
      <c r="M362" s="9">
        <v>51.34476191</v>
      </c>
      <c r="N362" s="10">
        <v>59.90253707</v>
      </c>
      <c r="O362" s="10" t="s">
        <v>2948</v>
      </c>
      <c r="P362" s="9">
        <v>9082026.0</v>
      </c>
      <c r="Q362" s="7" t="str">
        <f>IF(OR(ISBLANK(M362), ISBLANK(N362)), "", IF(N362 &lt; Sheet3!$B$6, "Insufficient Reviews", IF(M362 &gt;= Sheet3!$B$2, "Highly Reliable", IF(M362 &gt;= Sheet3!$B$3, "Reliable", IF(M362 &gt;= Sheet3!$B$4, "Mixed Reviews", "Low Reliability")))))</f>
        <v>Low Reliability</v>
      </c>
    </row>
    <row r="363">
      <c r="A363" s="3">
        <f t="shared" si="1"/>
        <v>362</v>
      </c>
      <c r="B363" s="9" t="s">
        <v>2949</v>
      </c>
      <c r="C363" s="10">
        <v>39.2496853</v>
      </c>
      <c r="D363" s="10">
        <v>-76.6228415</v>
      </c>
      <c r="E363" s="9" t="s">
        <v>2950</v>
      </c>
      <c r="F363" s="9" t="s">
        <v>2951</v>
      </c>
      <c r="G363" s="11"/>
      <c r="H363" s="9" t="s">
        <v>62</v>
      </c>
      <c r="I363" s="9" t="s">
        <v>91</v>
      </c>
      <c r="J363" s="9" t="s">
        <v>2952</v>
      </c>
      <c r="K363" s="12" t="s">
        <v>2953</v>
      </c>
      <c r="L363" s="9" t="s">
        <v>2954</v>
      </c>
      <c r="M363" s="10">
        <v>57.20642351</v>
      </c>
      <c r="N363" s="10">
        <v>61.62295488</v>
      </c>
      <c r="O363" s="9" t="s">
        <v>2955</v>
      </c>
      <c r="P363" s="9">
        <v>9082026.0</v>
      </c>
      <c r="Q363" s="7" t="str">
        <f>IF(OR(ISBLANK(M363), ISBLANK(N363)), "", IF(N363 &lt; Sheet3!$B$6, "Insufficient Reviews", IF(M363 &gt;= Sheet3!$B$2, "Highly Reliable", IF(M363 &gt;= Sheet3!$B$3, "Reliable", IF(M363 &gt;= Sheet3!$B$4, "Mixed Reviews", "Low Reliability")))))</f>
        <v>Low Reliability</v>
      </c>
    </row>
    <row r="364">
      <c r="A364" s="3">
        <f t="shared" si="1"/>
        <v>363</v>
      </c>
      <c r="B364" s="9" t="s">
        <v>2956</v>
      </c>
      <c r="C364" s="10">
        <v>39.3530746</v>
      </c>
      <c r="D364" s="10">
        <v>-76.5316219</v>
      </c>
      <c r="E364" s="9" t="s">
        <v>2957</v>
      </c>
      <c r="F364" s="9" t="s">
        <v>2958</v>
      </c>
      <c r="G364" s="9" t="s">
        <v>2959</v>
      </c>
      <c r="H364" s="9" t="s">
        <v>135</v>
      </c>
      <c r="I364" s="9" t="s">
        <v>81</v>
      </c>
      <c r="J364" s="9" t="s">
        <v>2960</v>
      </c>
      <c r="K364" s="9"/>
      <c r="L364" s="9" t="s">
        <v>2961</v>
      </c>
      <c r="M364" s="9">
        <v>65.94632593</v>
      </c>
      <c r="N364" s="10">
        <v>36.30413375</v>
      </c>
      <c r="O364" s="10" t="s">
        <v>2962</v>
      </c>
      <c r="P364" s="9">
        <v>9082026.0</v>
      </c>
      <c r="Q364" s="7" t="str">
        <f>IF(OR(ISBLANK(M364), ISBLANK(N364)), "", IF(N364 &lt; Sheet3!$B$6, "Insufficient Reviews", IF(M364 &gt;= Sheet3!$B$2, "Highly Reliable", IF(M364 &gt;= Sheet3!$B$3, "Reliable", IF(M364 &gt;= Sheet3!$B$4, "Mixed Reviews", "Low Reliability")))))</f>
        <v>Insufficient Reviews</v>
      </c>
    </row>
    <row r="365">
      <c r="A365" s="3">
        <f t="shared" si="1"/>
        <v>364</v>
      </c>
      <c r="B365" s="9" t="s">
        <v>2963</v>
      </c>
      <c r="C365" s="10">
        <v>39.2895848</v>
      </c>
      <c r="D365" s="10">
        <v>-76.6377867</v>
      </c>
      <c r="E365" s="9" t="s">
        <v>2964</v>
      </c>
      <c r="F365" s="9" t="s">
        <v>2965</v>
      </c>
      <c r="G365" s="9"/>
      <c r="H365" s="9" t="s">
        <v>135</v>
      </c>
      <c r="I365" s="9" t="s">
        <v>91</v>
      </c>
      <c r="J365" s="9" t="s">
        <v>2966</v>
      </c>
      <c r="K365" s="12" t="s">
        <v>2967</v>
      </c>
      <c r="L365" s="9" t="s">
        <v>2968</v>
      </c>
      <c r="M365" s="9">
        <v>46.93214674</v>
      </c>
      <c r="N365" s="10">
        <v>71.10568607</v>
      </c>
      <c r="O365" s="10" t="s">
        <v>2969</v>
      </c>
      <c r="P365" s="9">
        <v>9082026.0</v>
      </c>
      <c r="Q365" s="7" t="str">
        <f>IF(OR(ISBLANK(M365), ISBLANK(N365)), "", IF(N365 &lt; Sheet3!$B$6, "Insufficient Reviews", IF(M365 &gt;= Sheet3!$B$2, "Highly Reliable", IF(M365 &gt;= Sheet3!$B$3, "Reliable", IF(M365 &gt;= Sheet3!$B$4, "Mixed Reviews", "Low Reliability")))))</f>
        <v>Low Reliability</v>
      </c>
    </row>
    <row r="366">
      <c r="A366" s="3">
        <f t="shared" si="1"/>
        <v>365</v>
      </c>
      <c r="B366" s="9" t="s">
        <v>2970</v>
      </c>
      <c r="C366" s="10">
        <v>39.4002903</v>
      </c>
      <c r="D366" s="10">
        <v>-76.5731076</v>
      </c>
      <c r="E366" s="9" t="s">
        <v>2971</v>
      </c>
      <c r="F366" s="9" t="s">
        <v>2972</v>
      </c>
      <c r="G366" s="11"/>
      <c r="H366" s="9" t="s">
        <v>2973</v>
      </c>
      <c r="I366" s="9" t="s">
        <v>91</v>
      </c>
      <c r="J366" s="9" t="s">
        <v>2974</v>
      </c>
      <c r="K366" s="9"/>
      <c r="L366" s="9" t="s">
        <v>2975</v>
      </c>
      <c r="M366" s="9">
        <v>80.61681443</v>
      </c>
      <c r="N366" s="10">
        <v>64.30934988</v>
      </c>
      <c r="O366" s="10" t="s">
        <v>2976</v>
      </c>
      <c r="P366" s="9">
        <v>9082026.0</v>
      </c>
      <c r="Q366" s="7" t="str">
        <f>IF(OR(ISBLANK(M366), ISBLANK(N366)), "", IF(N366 &lt; Sheet3!$B$6, "Insufficient Reviews", IF(M366 &gt;= Sheet3!$B$2, "Highly Reliable", IF(M366 &gt;= Sheet3!$B$3, "Reliable", IF(M366 &gt;= Sheet3!$B$4, "Mixed Reviews", "Low Reliability")))))</f>
        <v>Reliable</v>
      </c>
    </row>
    <row r="367">
      <c r="A367" s="3">
        <f t="shared" si="1"/>
        <v>366</v>
      </c>
      <c r="B367" s="9" t="s">
        <v>2977</v>
      </c>
      <c r="C367" s="10">
        <v>39.4622882</v>
      </c>
      <c r="D367" s="10">
        <v>-76.8278385</v>
      </c>
      <c r="E367" s="9" t="s">
        <v>2978</v>
      </c>
      <c r="F367" s="9" t="s">
        <v>2979</v>
      </c>
      <c r="G367" s="9" t="s">
        <v>2980</v>
      </c>
      <c r="H367" s="9" t="s">
        <v>2775</v>
      </c>
      <c r="I367" s="9" t="s">
        <v>91</v>
      </c>
      <c r="J367" s="9" t="s">
        <v>2981</v>
      </c>
      <c r="K367" s="12" t="s">
        <v>2982</v>
      </c>
      <c r="L367" s="9" t="s">
        <v>2983</v>
      </c>
      <c r="M367" s="9">
        <v>82.0740733</v>
      </c>
      <c r="N367" s="10">
        <v>72.4635045</v>
      </c>
      <c r="O367" s="10" t="s">
        <v>2984</v>
      </c>
      <c r="P367" s="9">
        <v>9082026.0</v>
      </c>
      <c r="Q367" s="7" t="str">
        <f>IF(OR(ISBLANK(M367), ISBLANK(N367)), "", IF(N367 &lt; Sheet3!$B$6, "Insufficient Reviews", IF(M367 &gt;= Sheet3!$B$2, "Highly Reliable", IF(M367 &gt;= Sheet3!$B$3, "Reliable", IF(M367 &gt;= Sheet3!$B$4, "Mixed Reviews", "Low Reliability")))))</f>
        <v>Highly Reliable</v>
      </c>
    </row>
    <row r="368">
      <c r="A368" s="3">
        <f t="shared" si="1"/>
        <v>367</v>
      </c>
      <c r="B368" s="9" t="s">
        <v>2985</v>
      </c>
      <c r="C368" s="10">
        <v>39.2363306</v>
      </c>
      <c r="D368" s="10">
        <v>-76.5027513</v>
      </c>
      <c r="E368" s="9" t="s">
        <v>2986</v>
      </c>
      <c r="F368" s="9" t="s">
        <v>2987</v>
      </c>
      <c r="G368" s="9" t="s">
        <v>2988</v>
      </c>
      <c r="H368" s="9" t="s">
        <v>532</v>
      </c>
      <c r="I368" s="9" t="s">
        <v>35</v>
      </c>
      <c r="J368" s="9" t="s">
        <v>2989</v>
      </c>
      <c r="K368" s="12" t="s">
        <v>2990</v>
      </c>
      <c r="L368" s="9" t="s">
        <v>2991</v>
      </c>
      <c r="M368" s="9">
        <v>76.48590998</v>
      </c>
      <c r="N368" s="10">
        <v>93.21082124</v>
      </c>
      <c r="O368" s="10" t="s">
        <v>2992</v>
      </c>
      <c r="P368" s="9">
        <v>9082026.0</v>
      </c>
      <c r="Q368" s="7" t="str">
        <f>IF(OR(ISBLANK(M368), ISBLANK(N368)), "", IF(N368 &lt; Sheet3!$B$6, "Insufficient Reviews", IF(M368 &gt;= Sheet3!$B$2, "Highly Reliable", IF(M368 &gt;= Sheet3!$B$3, "Reliable", IF(M368 &gt;= Sheet3!$B$4, "Mixed Reviews", "Low Reliability")))))</f>
        <v>Reliable</v>
      </c>
    </row>
    <row r="369">
      <c r="A369" s="3">
        <f t="shared" si="1"/>
        <v>368</v>
      </c>
      <c r="B369" s="9" t="s">
        <v>2993</v>
      </c>
      <c r="C369" s="10">
        <v>39.2768479</v>
      </c>
      <c r="D369" s="10">
        <v>-76.7337296</v>
      </c>
      <c r="E369" s="9" t="s">
        <v>2994</v>
      </c>
      <c r="F369" s="9" t="s">
        <v>2995</v>
      </c>
      <c r="G369" s="9" t="s">
        <v>2996</v>
      </c>
      <c r="H369" s="9" t="s">
        <v>2997</v>
      </c>
      <c r="I369" s="9" t="s">
        <v>91</v>
      </c>
      <c r="J369" s="9" t="s">
        <v>2998</v>
      </c>
      <c r="K369" s="12" t="s">
        <v>2999</v>
      </c>
      <c r="L369" s="9" t="s">
        <v>3000</v>
      </c>
      <c r="M369" s="9">
        <v>57.26663367</v>
      </c>
      <c r="N369" s="10">
        <v>67.05542318</v>
      </c>
      <c r="O369" s="10" t="s">
        <v>3001</v>
      </c>
      <c r="P369" s="9">
        <v>9082026.0</v>
      </c>
      <c r="Q369" s="7" t="str">
        <f>IF(OR(ISBLANK(M369), ISBLANK(N369)), "", IF(N369 &lt; Sheet3!$B$6, "Insufficient Reviews", IF(M369 &gt;= Sheet3!$B$2, "Highly Reliable", IF(M369 &gt;= Sheet3!$B$3, "Reliable", IF(M369 &gt;= Sheet3!$B$4, "Mixed Reviews", "Low Reliability")))))</f>
        <v>Low Reliability</v>
      </c>
    </row>
    <row r="370">
      <c r="A370" s="3">
        <f t="shared" si="1"/>
        <v>369</v>
      </c>
      <c r="B370" s="9" t="s">
        <v>3002</v>
      </c>
      <c r="C370" s="10">
        <v>39.3234144</v>
      </c>
      <c r="D370" s="10">
        <v>-76.6807263</v>
      </c>
      <c r="E370" s="9" t="s">
        <v>3003</v>
      </c>
      <c r="F370" s="9" t="s">
        <v>3004</v>
      </c>
      <c r="G370" s="9" t="s">
        <v>3005</v>
      </c>
      <c r="H370" s="9" t="s">
        <v>3006</v>
      </c>
      <c r="I370" s="9" t="s">
        <v>35</v>
      </c>
      <c r="J370" s="9" t="s">
        <v>3007</v>
      </c>
      <c r="K370" s="12" t="s">
        <v>3008</v>
      </c>
      <c r="L370" s="9" t="s">
        <v>3009</v>
      </c>
      <c r="M370" s="9">
        <v>66.9</v>
      </c>
      <c r="N370" s="10">
        <v>50.64333333</v>
      </c>
      <c r="O370" s="10" t="s">
        <v>3010</v>
      </c>
      <c r="P370" s="9">
        <v>9082026.0</v>
      </c>
      <c r="Q370" s="7" t="str">
        <f>IF(OR(ISBLANK(M370), ISBLANK(N370)), "", IF(N370 &lt; Sheet3!$B$6, "Insufficient Reviews", IF(M370 &gt;= Sheet3!$B$2, "Highly Reliable", IF(M370 &gt;= Sheet3!$B$3, "Reliable", IF(M370 &gt;= Sheet3!$B$4, "Mixed Reviews", "Low Reliability")))))</f>
        <v>Mixed Reviews</v>
      </c>
    </row>
    <row r="371">
      <c r="A371" s="3">
        <f t="shared" si="1"/>
        <v>370</v>
      </c>
      <c r="B371" s="9" t="s">
        <v>3011</v>
      </c>
      <c r="C371" s="10">
        <v>39.3316672</v>
      </c>
      <c r="D371" s="10">
        <v>-76.6980218</v>
      </c>
      <c r="E371" s="9" t="s">
        <v>3012</v>
      </c>
      <c r="F371" s="9" t="s">
        <v>3013</v>
      </c>
      <c r="G371" s="9"/>
      <c r="H371" s="9" t="s">
        <v>53</v>
      </c>
      <c r="I371" s="9" t="s">
        <v>35</v>
      </c>
      <c r="J371" s="9" t="s">
        <v>3014</v>
      </c>
      <c r="K371" s="9"/>
      <c r="L371" s="9" t="s">
        <v>3015</v>
      </c>
      <c r="M371" s="9">
        <v>70.13430571</v>
      </c>
      <c r="N371" s="10">
        <v>55.21741739</v>
      </c>
      <c r="O371" s="10" t="s">
        <v>3016</v>
      </c>
      <c r="P371" s="9">
        <v>9082026.0</v>
      </c>
      <c r="Q371" s="7" t="str">
        <f>IF(OR(ISBLANK(M371), ISBLANK(N371)), "", IF(N371 &lt; Sheet3!$B$6, "Insufficient Reviews", IF(M371 &gt;= Sheet3!$B$2, "Highly Reliable", IF(M371 &gt;= Sheet3!$B$3, "Reliable", IF(M371 &gt;= Sheet3!$B$4, "Mixed Reviews", "Low Reliability")))))</f>
        <v>Reliable</v>
      </c>
    </row>
    <row r="372">
      <c r="A372" s="3">
        <f t="shared" si="1"/>
        <v>371</v>
      </c>
      <c r="B372" s="9" t="s">
        <v>3017</v>
      </c>
      <c r="C372" s="10">
        <v>39.3686262</v>
      </c>
      <c r="D372" s="10">
        <v>-76.6502807</v>
      </c>
      <c r="E372" s="9" t="s">
        <v>3018</v>
      </c>
      <c r="F372" s="9" t="s">
        <v>3019</v>
      </c>
      <c r="G372" s="9" t="s">
        <v>3020</v>
      </c>
      <c r="H372" s="9" t="s">
        <v>126</v>
      </c>
      <c r="I372" s="9" t="s">
        <v>27</v>
      </c>
      <c r="J372" s="9" t="s">
        <v>3021</v>
      </c>
      <c r="K372" s="12" t="s">
        <v>3022</v>
      </c>
      <c r="L372" s="9" t="s">
        <v>3023</v>
      </c>
      <c r="M372" s="9">
        <v>79.06238494</v>
      </c>
      <c r="N372" s="10">
        <v>62.95845356</v>
      </c>
      <c r="O372" s="10" t="s">
        <v>3024</v>
      </c>
      <c r="P372" s="9">
        <v>9082026.0</v>
      </c>
      <c r="Q372" s="7" t="str">
        <f>IF(OR(ISBLANK(M372), ISBLANK(N372)), "", IF(N372 &lt; Sheet3!$B$6, "Insufficient Reviews", IF(M372 &gt;= Sheet3!$B$2, "Highly Reliable", IF(M372 &gt;= Sheet3!$B$3, "Reliable", IF(M372 &gt;= Sheet3!$B$4, "Mixed Reviews", "Low Reliability")))))</f>
        <v>Reliable</v>
      </c>
    </row>
    <row r="373">
      <c r="A373" s="3">
        <f t="shared" si="1"/>
        <v>372</v>
      </c>
      <c r="B373" s="9" t="s">
        <v>3025</v>
      </c>
      <c r="C373" s="10">
        <v>39.2917787</v>
      </c>
      <c r="D373" s="10">
        <v>-76.6437459</v>
      </c>
      <c r="E373" s="9" t="s">
        <v>3026</v>
      </c>
      <c r="F373" s="9" t="s">
        <v>3027</v>
      </c>
      <c r="G373" s="9"/>
      <c r="H373" s="11"/>
      <c r="I373" s="9" t="s">
        <v>81</v>
      </c>
      <c r="J373" s="9" t="s">
        <v>3028</v>
      </c>
      <c r="K373" s="9"/>
      <c r="L373" s="9" t="s">
        <v>3029</v>
      </c>
      <c r="M373" s="9">
        <v>53.80800512</v>
      </c>
      <c r="N373" s="10">
        <v>35.81415929</v>
      </c>
      <c r="O373" s="10" t="s">
        <v>3030</v>
      </c>
      <c r="P373" s="9">
        <v>9082026.0</v>
      </c>
      <c r="Q373" s="7" t="str">
        <f>IF(OR(ISBLANK(M373), ISBLANK(N373)), "", IF(N373 &lt; Sheet3!$B$6, "Insufficient Reviews", IF(M373 &gt;= Sheet3!$B$2, "Highly Reliable", IF(M373 &gt;= Sheet3!$B$3, "Reliable", IF(M373 &gt;= Sheet3!$B$4, "Mixed Reviews", "Low Reliability")))))</f>
        <v>Insufficient Reviews</v>
      </c>
    </row>
    <row r="374">
      <c r="A374" s="3">
        <f t="shared" si="1"/>
        <v>373</v>
      </c>
      <c r="B374" s="9" t="s">
        <v>3031</v>
      </c>
      <c r="C374" s="10">
        <v>39.3553692</v>
      </c>
      <c r="D374" s="10">
        <v>-76.4731834</v>
      </c>
      <c r="E374" s="9" t="s">
        <v>3032</v>
      </c>
      <c r="F374" s="9" t="s">
        <v>3033</v>
      </c>
      <c r="G374" s="11"/>
      <c r="H374" s="9" t="s">
        <v>135</v>
      </c>
      <c r="I374" s="9" t="s">
        <v>91</v>
      </c>
      <c r="J374" s="9" t="s">
        <v>3034</v>
      </c>
      <c r="K374" s="12" t="s">
        <v>3035</v>
      </c>
      <c r="L374" s="9" t="s">
        <v>3036</v>
      </c>
      <c r="M374" s="9">
        <v>73.84294253</v>
      </c>
      <c r="N374" s="10">
        <v>72.31717855</v>
      </c>
      <c r="O374" s="10" t="s">
        <v>3037</v>
      </c>
      <c r="P374" s="9">
        <v>9082026.0</v>
      </c>
      <c r="Q374" s="7" t="str">
        <f>IF(OR(ISBLANK(M374), ISBLANK(N374)), "", IF(N374 &lt; Sheet3!$B$6, "Insufficient Reviews", IF(M374 &gt;= Sheet3!$B$2, "Highly Reliable", IF(M374 &gt;= Sheet3!$B$3, "Reliable", IF(M374 &gt;= Sheet3!$B$4, "Mixed Reviews", "Low Reliability")))))</f>
        <v>Reliable</v>
      </c>
    </row>
    <row r="375">
      <c r="A375" s="3">
        <f t="shared" si="1"/>
        <v>374</v>
      </c>
      <c r="B375" s="9" t="s">
        <v>3038</v>
      </c>
      <c r="C375" s="10">
        <v>39.2874393</v>
      </c>
      <c r="D375" s="10">
        <v>-76.7194267</v>
      </c>
      <c r="E375" s="9" t="s">
        <v>3039</v>
      </c>
      <c r="F375" s="9" t="s">
        <v>3040</v>
      </c>
      <c r="G375" s="9"/>
      <c r="H375" s="9" t="s">
        <v>135</v>
      </c>
      <c r="I375" s="9" t="s">
        <v>91</v>
      </c>
      <c r="J375" s="9" t="s">
        <v>3041</v>
      </c>
      <c r="K375" s="12" t="s">
        <v>3042</v>
      </c>
      <c r="L375" s="9" t="s">
        <v>3043</v>
      </c>
      <c r="M375" s="9">
        <v>72.13124922</v>
      </c>
      <c r="N375" s="10">
        <v>72.13806414</v>
      </c>
      <c r="O375" s="10" t="s">
        <v>3044</v>
      </c>
      <c r="P375" s="9">
        <v>9082026.0</v>
      </c>
      <c r="Q375" s="7" t="str">
        <f>IF(OR(ISBLANK(M375), ISBLANK(N375)), "", IF(N375 &lt; Sheet3!$B$6, "Insufficient Reviews", IF(M375 &gt;= Sheet3!$B$2, "Highly Reliable", IF(M375 &gt;= Sheet3!$B$3, "Reliable", IF(M375 &gt;= Sheet3!$B$4, "Mixed Reviews", "Low Reliability")))))</f>
        <v>Reliable</v>
      </c>
    </row>
    <row r="376">
      <c r="A376" s="3">
        <f t="shared" si="1"/>
        <v>375</v>
      </c>
      <c r="B376" s="9" t="s">
        <v>3045</v>
      </c>
      <c r="C376" s="10">
        <v>39.340883</v>
      </c>
      <c r="D376" s="10">
        <v>-76.7515547</v>
      </c>
      <c r="E376" s="9" t="s">
        <v>3046</v>
      </c>
      <c r="F376" s="9" t="s">
        <v>3047</v>
      </c>
      <c r="G376" s="9"/>
      <c r="H376" s="11"/>
      <c r="I376" s="9" t="s">
        <v>91</v>
      </c>
      <c r="J376" s="9" t="s">
        <v>3048</v>
      </c>
      <c r="K376" s="9"/>
      <c r="L376" s="9" t="s">
        <v>3049</v>
      </c>
      <c r="M376" s="9">
        <v>52.5</v>
      </c>
      <c r="N376" s="10">
        <v>29.68931431</v>
      </c>
      <c r="O376" s="10" t="s">
        <v>3050</v>
      </c>
      <c r="P376" s="9">
        <v>9082026.0</v>
      </c>
      <c r="Q376" s="7" t="str">
        <f>IF(OR(ISBLANK(M376), ISBLANK(N376)), "", IF(N376 &lt; Sheet3!$B$6, "Insufficient Reviews", IF(M376 &gt;= Sheet3!$B$2, "Highly Reliable", IF(M376 &gt;= Sheet3!$B$3, "Reliable", IF(M376 &gt;= Sheet3!$B$4, "Mixed Reviews", "Low Reliability")))))</f>
        <v>Insufficient Reviews</v>
      </c>
    </row>
    <row r="377">
      <c r="A377" s="3">
        <f t="shared" si="1"/>
        <v>376</v>
      </c>
      <c r="B377" s="9" t="s">
        <v>3051</v>
      </c>
      <c r="C377" s="10">
        <v>39.3420581</v>
      </c>
      <c r="D377" s="10">
        <v>-76.5066649</v>
      </c>
      <c r="E377" s="9" t="s">
        <v>3052</v>
      </c>
      <c r="F377" s="9" t="s">
        <v>3053</v>
      </c>
      <c r="G377" s="9" t="s">
        <v>3054</v>
      </c>
      <c r="H377" s="9" t="s">
        <v>3055</v>
      </c>
      <c r="I377" s="9" t="s">
        <v>91</v>
      </c>
      <c r="J377" s="9" t="s">
        <v>3056</v>
      </c>
      <c r="K377" s="12" t="s">
        <v>3057</v>
      </c>
      <c r="L377" s="9" t="s">
        <v>3058</v>
      </c>
      <c r="M377" s="9">
        <v>76.05548244</v>
      </c>
      <c r="N377" s="10">
        <v>56.20291318</v>
      </c>
      <c r="O377" s="10" t="s">
        <v>3059</v>
      </c>
      <c r="P377" s="9">
        <v>9082026.0</v>
      </c>
      <c r="Q377" s="7" t="str">
        <f>IF(OR(ISBLANK(M377), ISBLANK(N377)), "", IF(N377 &lt; Sheet3!$B$6, "Insufficient Reviews", IF(M377 &gt;= Sheet3!$B$2, "Highly Reliable", IF(M377 &gt;= Sheet3!$B$3, "Reliable", IF(M377 &gt;= Sheet3!$B$4, "Mixed Reviews", "Low Reliability")))))</f>
        <v>Reliable</v>
      </c>
    </row>
    <row r="378">
      <c r="A378" s="3">
        <f t="shared" si="1"/>
        <v>377</v>
      </c>
      <c r="B378" s="9" t="s">
        <v>3060</v>
      </c>
      <c r="C378" s="10">
        <v>39.4202548</v>
      </c>
      <c r="D378" s="10">
        <v>-76.8094858</v>
      </c>
      <c r="E378" s="9" t="s">
        <v>3061</v>
      </c>
      <c r="F378" s="9" t="s">
        <v>3062</v>
      </c>
      <c r="G378" s="9" t="s">
        <v>3063</v>
      </c>
      <c r="H378" s="9" t="s">
        <v>3064</v>
      </c>
      <c r="I378" s="9" t="s">
        <v>91</v>
      </c>
      <c r="J378" s="9" t="s">
        <v>3065</v>
      </c>
      <c r="K378" s="12" t="s">
        <v>3057</v>
      </c>
      <c r="L378" s="9" t="s">
        <v>3066</v>
      </c>
      <c r="M378" s="9">
        <v>77.55746581</v>
      </c>
      <c r="N378" s="10">
        <v>51.83996924</v>
      </c>
      <c r="O378" s="10" t="s">
        <v>3067</v>
      </c>
      <c r="P378" s="9">
        <v>9082026.0</v>
      </c>
      <c r="Q378" s="7" t="str">
        <f>IF(OR(ISBLANK(M378), ISBLANK(N378)), "", IF(N378 &lt; Sheet3!$B$6, "Insufficient Reviews", IF(M378 &gt;= Sheet3!$B$2, "Highly Reliable", IF(M378 &gt;= Sheet3!$B$3, "Reliable", IF(M378 &gt;= Sheet3!$B$4, "Mixed Reviews", "Low Reliability")))))</f>
        <v>Reliable</v>
      </c>
    </row>
    <row r="379">
      <c r="A379" s="3">
        <f t="shared" si="1"/>
        <v>378</v>
      </c>
      <c r="B379" s="9" t="s">
        <v>3068</v>
      </c>
      <c r="C379" s="10">
        <v>39.3513539</v>
      </c>
      <c r="D379" s="10">
        <v>-76.6117004</v>
      </c>
      <c r="E379" s="9" t="s">
        <v>3069</v>
      </c>
      <c r="F379" s="9" t="s">
        <v>3070</v>
      </c>
      <c r="G379" s="11"/>
      <c r="H379" s="9" t="s">
        <v>126</v>
      </c>
      <c r="I379" s="9" t="s">
        <v>81</v>
      </c>
      <c r="J379" s="9" t="s">
        <v>3071</v>
      </c>
      <c r="K379" s="9"/>
      <c r="L379" s="9" t="s">
        <v>3072</v>
      </c>
      <c r="M379" s="9">
        <v>46.89668421</v>
      </c>
      <c r="N379" s="10">
        <v>33.73230299</v>
      </c>
      <c r="O379" s="10" t="s">
        <v>3073</v>
      </c>
      <c r="P379" s="9">
        <v>9082026.0</v>
      </c>
      <c r="Q379" s="7" t="str">
        <f>IF(OR(ISBLANK(M379), ISBLANK(N379)), "", IF(N379 &lt; Sheet3!$B$6, "Insufficient Reviews", IF(M379 &gt;= Sheet3!$B$2, "Highly Reliable", IF(M379 &gt;= Sheet3!$B$3, "Reliable", IF(M379 &gt;= Sheet3!$B$4, "Mixed Reviews", "Low Reliability")))))</f>
        <v>Insufficient Reviews</v>
      </c>
    </row>
    <row r="380">
      <c r="A380" s="3">
        <f t="shared" si="1"/>
        <v>379</v>
      </c>
      <c r="B380" s="9" t="s">
        <v>3074</v>
      </c>
      <c r="C380" s="10">
        <v>39.2972361</v>
      </c>
      <c r="D380" s="10">
        <v>-76.6149972</v>
      </c>
      <c r="E380" s="9" t="s">
        <v>3075</v>
      </c>
      <c r="F380" s="9" t="s">
        <v>3076</v>
      </c>
      <c r="G380" s="9" t="s">
        <v>3077</v>
      </c>
      <c r="H380" s="9" t="s">
        <v>3078</v>
      </c>
      <c r="I380" s="9" t="s">
        <v>27</v>
      </c>
      <c r="J380" s="9" t="s">
        <v>3079</v>
      </c>
      <c r="K380" s="12" t="s">
        <v>3080</v>
      </c>
      <c r="L380" s="9" t="s">
        <v>3081</v>
      </c>
      <c r="M380" s="9">
        <v>83.25133889</v>
      </c>
      <c r="N380" s="10">
        <v>74.35893336</v>
      </c>
      <c r="O380" s="10" t="s">
        <v>3082</v>
      </c>
      <c r="P380" s="9">
        <v>9082026.0</v>
      </c>
      <c r="Q380" s="7" t="str">
        <f>IF(OR(ISBLANK(M380), ISBLANK(N380)), "", IF(N380 &lt; Sheet3!$B$6, "Insufficient Reviews", IF(M380 &gt;= Sheet3!$B$2, "Highly Reliable", IF(M380 &gt;= Sheet3!$B$3, "Reliable", IF(M380 &gt;= Sheet3!$B$4, "Mixed Reviews", "Low Reliability")))))</f>
        <v>Highly Reliable</v>
      </c>
    </row>
    <row r="381">
      <c r="A381" s="3">
        <f t="shared" si="1"/>
        <v>380</v>
      </c>
      <c r="B381" s="9" t="s">
        <v>3083</v>
      </c>
      <c r="C381" s="10">
        <v>39.4477423</v>
      </c>
      <c r="D381" s="10">
        <v>-76.5172021</v>
      </c>
      <c r="E381" s="9" t="s">
        <v>3084</v>
      </c>
      <c r="F381" s="9" t="s">
        <v>3085</v>
      </c>
      <c r="G381" s="9" t="s">
        <v>3086</v>
      </c>
      <c r="H381" s="9" t="s">
        <v>135</v>
      </c>
      <c r="I381" s="9" t="s">
        <v>81</v>
      </c>
      <c r="J381" s="9" t="s">
        <v>3087</v>
      </c>
      <c r="K381" s="12" t="s">
        <v>3088</v>
      </c>
      <c r="L381" s="9" t="s">
        <v>3089</v>
      </c>
      <c r="M381" s="9">
        <v>77.70355459</v>
      </c>
      <c r="N381" s="10">
        <v>73.24014602</v>
      </c>
      <c r="O381" s="10" t="s">
        <v>3090</v>
      </c>
      <c r="P381" s="9">
        <v>9082026.0</v>
      </c>
      <c r="Q381" s="7" t="str">
        <f>IF(OR(ISBLANK(M381), ISBLANK(N381)), "", IF(N381 &lt; Sheet3!$B$6, "Insufficient Reviews", IF(M381 &gt;= Sheet3!$B$2, "Highly Reliable", IF(M381 &gt;= Sheet3!$B$3, "Reliable", IF(M381 &gt;= Sheet3!$B$4, "Mixed Reviews", "Low Reliability")))))</f>
        <v>Reliable</v>
      </c>
    </row>
    <row r="382">
      <c r="A382" s="3">
        <f t="shared" si="1"/>
        <v>381</v>
      </c>
      <c r="B382" s="9" t="s">
        <v>3091</v>
      </c>
      <c r="C382" s="10">
        <v>39.329304</v>
      </c>
      <c r="D382" s="10">
        <v>-76.6923919</v>
      </c>
      <c r="E382" s="9" t="s">
        <v>3092</v>
      </c>
      <c r="F382" s="9" t="s">
        <v>3093</v>
      </c>
      <c r="G382" s="11"/>
      <c r="H382" s="11"/>
      <c r="I382" s="9" t="s">
        <v>81</v>
      </c>
      <c r="J382" s="9" t="s">
        <v>3094</v>
      </c>
      <c r="K382" s="9"/>
      <c r="L382" s="9" t="s">
        <v>3095</v>
      </c>
      <c r="M382" s="9">
        <v>7.5</v>
      </c>
      <c r="N382" s="10">
        <v>14.91166667</v>
      </c>
      <c r="O382" s="10" t="s">
        <v>3096</v>
      </c>
      <c r="P382" s="9">
        <v>9082026.0</v>
      </c>
      <c r="Q382" s="7" t="str">
        <f>IF(OR(ISBLANK(M382), ISBLANK(N382)), "", IF(N382 &lt; Sheet3!$B$6, "Insufficient Reviews", IF(M382 &gt;= Sheet3!$B$2, "Highly Reliable", IF(M382 &gt;= Sheet3!$B$3, "Reliable", IF(M382 &gt;= Sheet3!$B$4, "Mixed Reviews", "Low Reliability")))))</f>
        <v>Insufficient Reviews</v>
      </c>
    </row>
    <row r="383">
      <c r="A383" s="3">
        <f t="shared" si="1"/>
        <v>382</v>
      </c>
      <c r="B383" s="9" t="s">
        <v>3097</v>
      </c>
      <c r="C383" s="10">
        <v>39.2791347</v>
      </c>
      <c r="D383" s="10">
        <v>-76.5003607</v>
      </c>
      <c r="E383" s="9" t="s">
        <v>3098</v>
      </c>
      <c r="F383" s="9" t="s">
        <v>3099</v>
      </c>
      <c r="G383" s="9" t="s">
        <v>3100</v>
      </c>
      <c r="H383" s="9" t="s">
        <v>43</v>
      </c>
      <c r="I383" s="9" t="s">
        <v>91</v>
      </c>
      <c r="J383" s="9" t="s">
        <v>3101</v>
      </c>
      <c r="K383" s="12" t="s">
        <v>3102</v>
      </c>
      <c r="L383" s="9" t="s">
        <v>3103</v>
      </c>
      <c r="M383" s="9">
        <v>75.14137277</v>
      </c>
      <c r="N383" s="10">
        <v>64.87424068</v>
      </c>
      <c r="O383" s="10" t="s">
        <v>3104</v>
      </c>
      <c r="P383" s="9">
        <v>9082026.0</v>
      </c>
      <c r="Q383" s="7" t="str">
        <f>IF(OR(ISBLANK(M383), ISBLANK(N383)), "", IF(N383 &lt; Sheet3!$B$6, "Insufficient Reviews", IF(M383 &gt;= Sheet3!$B$2, "Highly Reliable", IF(M383 &gt;= Sheet3!$B$3, "Reliable", IF(M383 &gt;= Sheet3!$B$4, "Mixed Reviews", "Low Reliability")))))</f>
        <v>Reliable</v>
      </c>
    </row>
    <row r="384">
      <c r="A384" s="3">
        <f t="shared" si="1"/>
        <v>383</v>
      </c>
      <c r="B384" s="9" t="s">
        <v>3105</v>
      </c>
      <c r="C384" s="10">
        <v>39.3312283</v>
      </c>
      <c r="D384" s="10">
        <v>-76.5439857</v>
      </c>
      <c r="E384" s="9" t="s">
        <v>3106</v>
      </c>
      <c r="F384" s="9" t="s">
        <v>3107</v>
      </c>
      <c r="G384" s="9" t="s">
        <v>3108</v>
      </c>
      <c r="H384" s="9" t="s">
        <v>532</v>
      </c>
      <c r="I384" s="9" t="s">
        <v>91</v>
      </c>
      <c r="J384" s="9" t="s">
        <v>3109</v>
      </c>
      <c r="K384" s="12" t="s">
        <v>3110</v>
      </c>
      <c r="L384" s="9" t="s">
        <v>3111</v>
      </c>
      <c r="M384" s="9">
        <v>70.26723625</v>
      </c>
      <c r="N384" s="10">
        <v>56.17152943</v>
      </c>
      <c r="O384" s="10" t="s">
        <v>3112</v>
      </c>
      <c r="P384" s="9">
        <v>9082026.0</v>
      </c>
      <c r="Q384" s="7" t="str">
        <f>IF(OR(ISBLANK(M384), ISBLANK(N384)), "", IF(N384 &lt; Sheet3!$B$6, "Insufficient Reviews", IF(M384 &gt;= Sheet3!$B$2, "Highly Reliable", IF(M384 &gt;= Sheet3!$B$3, "Reliable", IF(M384 &gt;= Sheet3!$B$4, "Mixed Reviews", "Low Reliability")))))</f>
        <v>Reliable</v>
      </c>
    </row>
    <row r="385">
      <c r="A385" s="3">
        <f t="shared" si="1"/>
        <v>384</v>
      </c>
      <c r="B385" s="9" t="s">
        <v>3113</v>
      </c>
      <c r="C385" s="10">
        <v>39.3322827</v>
      </c>
      <c r="D385" s="10">
        <v>-76.4814526</v>
      </c>
      <c r="E385" s="9" t="s">
        <v>3114</v>
      </c>
      <c r="F385" s="9" t="s">
        <v>3115</v>
      </c>
      <c r="G385" s="9" t="s">
        <v>3116</v>
      </c>
      <c r="H385" s="9" t="s">
        <v>3117</v>
      </c>
      <c r="I385" s="9" t="s">
        <v>81</v>
      </c>
      <c r="J385" s="9" t="s">
        <v>3118</v>
      </c>
      <c r="K385" s="12" t="s">
        <v>3119</v>
      </c>
      <c r="L385" s="9" t="s">
        <v>3120</v>
      </c>
      <c r="M385" s="9">
        <v>73.34168526</v>
      </c>
      <c r="N385" s="10">
        <v>66.62785178</v>
      </c>
      <c r="O385" s="10" t="s">
        <v>3121</v>
      </c>
      <c r="P385" s="9">
        <v>9082026.0</v>
      </c>
      <c r="Q385" s="7" t="str">
        <f>IF(OR(ISBLANK(M385), ISBLANK(N385)), "", IF(N385 &lt; Sheet3!$B$6, "Insufficient Reviews", IF(M385 &gt;= Sheet3!$B$2, "Highly Reliable", IF(M385 &gt;= Sheet3!$B$3, "Reliable", IF(M385 &gt;= Sheet3!$B$4, "Mixed Reviews", "Low Reliability")))))</f>
        <v>Reliable</v>
      </c>
    </row>
    <row r="386">
      <c r="A386" s="3">
        <f t="shared" si="1"/>
        <v>385</v>
      </c>
      <c r="B386" s="9" t="s">
        <v>3122</v>
      </c>
      <c r="C386" s="10">
        <v>39.3574107</v>
      </c>
      <c r="D386" s="10">
        <v>-76.5837654</v>
      </c>
      <c r="E386" s="9" t="s">
        <v>3123</v>
      </c>
      <c r="F386" s="9" t="s">
        <v>3124</v>
      </c>
      <c r="G386" s="9"/>
      <c r="H386" s="9" t="s">
        <v>135</v>
      </c>
      <c r="I386" s="9" t="s">
        <v>91</v>
      </c>
      <c r="J386" s="9" t="s">
        <v>3125</v>
      </c>
      <c r="K386" s="9"/>
      <c r="L386" s="9" t="s">
        <v>3126</v>
      </c>
      <c r="M386" s="9">
        <v>64.11490406</v>
      </c>
      <c r="N386" s="10">
        <v>54.03507692</v>
      </c>
      <c r="O386" s="10" t="s">
        <v>3127</v>
      </c>
      <c r="P386" s="9">
        <v>9082026.0</v>
      </c>
      <c r="Q386" s="7" t="str">
        <f>IF(OR(ISBLANK(M386), ISBLANK(N386)), "", IF(N386 &lt; Sheet3!$B$6, "Insufficient Reviews", IF(M386 &gt;= Sheet3!$B$2, "Highly Reliable", IF(M386 &gt;= Sheet3!$B$3, "Reliable", IF(M386 &gt;= Sheet3!$B$4, "Mixed Reviews", "Low Reliability")))))</f>
        <v>Mixed Reviews</v>
      </c>
    </row>
    <row r="387">
      <c r="A387" s="3">
        <f t="shared" si="1"/>
        <v>386</v>
      </c>
      <c r="B387" s="9" t="s">
        <v>3128</v>
      </c>
      <c r="C387" s="10">
        <v>39.3595266</v>
      </c>
      <c r="D387" s="10">
        <v>-76.6112145</v>
      </c>
      <c r="E387" s="9" t="s">
        <v>3129</v>
      </c>
      <c r="F387" s="9" t="s">
        <v>3130</v>
      </c>
      <c r="G387" s="9"/>
      <c r="H387" s="9" t="s">
        <v>2417</v>
      </c>
      <c r="I387" s="9" t="s">
        <v>35</v>
      </c>
      <c r="J387" s="9" t="s">
        <v>3131</v>
      </c>
      <c r="K387" s="12" t="s">
        <v>3132</v>
      </c>
      <c r="L387" s="9" t="s">
        <v>3133</v>
      </c>
      <c r="M387" s="9">
        <v>84.16708681</v>
      </c>
      <c r="N387" s="10">
        <v>73.83012951</v>
      </c>
      <c r="O387" s="10" t="s">
        <v>3134</v>
      </c>
      <c r="P387" s="9">
        <v>9082026.0</v>
      </c>
      <c r="Q387" s="7" t="str">
        <f>IF(OR(ISBLANK(M387), ISBLANK(N387)), "", IF(N387 &lt; Sheet3!$B$6, "Insufficient Reviews", IF(M387 &gt;= Sheet3!$B$2, "Highly Reliable", IF(M387 &gt;= Sheet3!$B$3, "Reliable", IF(M387 &gt;= Sheet3!$B$4, "Mixed Reviews", "Low Reliability")))))</f>
        <v>Highly Reliable</v>
      </c>
    </row>
    <row r="388">
      <c r="A388" s="3">
        <f t="shared" si="1"/>
        <v>387</v>
      </c>
      <c r="B388" s="9" t="s">
        <v>3135</v>
      </c>
      <c r="C388" s="10">
        <v>39.2887439</v>
      </c>
      <c r="D388" s="10">
        <v>-76.6491481</v>
      </c>
      <c r="E388" s="9" t="s">
        <v>3136</v>
      </c>
      <c r="F388" s="9" t="s">
        <v>3137</v>
      </c>
      <c r="G388" s="9" t="s">
        <v>3138</v>
      </c>
      <c r="H388" s="9" t="s">
        <v>135</v>
      </c>
      <c r="I388" s="9" t="s">
        <v>91</v>
      </c>
      <c r="J388" s="9" t="s">
        <v>3139</v>
      </c>
      <c r="K388" s="12" t="s">
        <v>3140</v>
      </c>
      <c r="L388" s="9" t="s">
        <v>3141</v>
      </c>
      <c r="M388" s="9">
        <v>49.51449059</v>
      </c>
      <c r="N388" s="10">
        <v>70.6059584</v>
      </c>
      <c r="O388" s="10" t="s">
        <v>3142</v>
      </c>
      <c r="P388" s="9">
        <v>9082026.0</v>
      </c>
      <c r="Q388" s="7" t="str">
        <f>IF(OR(ISBLANK(M388), ISBLANK(N388)), "", IF(N388 &lt; Sheet3!$B$6, "Insufficient Reviews", IF(M388 &gt;= Sheet3!$B$2, "Highly Reliable", IF(M388 &gt;= Sheet3!$B$3, "Reliable", IF(M388 &gt;= Sheet3!$B$4, "Mixed Reviews", "Low Reliability")))))</f>
        <v>Low Reliability</v>
      </c>
    </row>
    <row r="389">
      <c r="A389" s="3">
        <f t="shared" si="1"/>
        <v>388</v>
      </c>
      <c r="B389" s="9" t="s">
        <v>3143</v>
      </c>
      <c r="C389" s="10">
        <v>39.3917127</v>
      </c>
      <c r="D389" s="10">
        <v>-76.6239849</v>
      </c>
      <c r="E389" s="9" t="s">
        <v>3144</v>
      </c>
      <c r="F389" s="9" t="s">
        <v>3145</v>
      </c>
      <c r="G389" s="9" t="s">
        <v>3146</v>
      </c>
      <c r="H389" s="9" t="s">
        <v>135</v>
      </c>
      <c r="I389" s="9" t="s">
        <v>91</v>
      </c>
      <c r="J389" s="9" t="s">
        <v>3147</v>
      </c>
      <c r="K389" s="12" t="s">
        <v>3148</v>
      </c>
      <c r="L389" s="9" t="s">
        <v>3149</v>
      </c>
      <c r="M389" s="9">
        <v>70.74361737</v>
      </c>
      <c r="N389" s="10">
        <v>92.8728428</v>
      </c>
      <c r="O389" s="10" t="s">
        <v>3150</v>
      </c>
      <c r="P389" s="9">
        <v>9082026.0</v>
      </c>
      <c r="Q389" s="7" t="str">
        <f>IF(OR(ISBLANK(M389), ISBLANK(N389)), "", IF(N389 &lt; Sheet3!$B$6, "Insufficient Reviews", IF(M389 &gt;= Sheet3!$B$2, "Highly Reliable", IF(M389 &gt;= Sheet3!$B$3, "Reliable", IF(M389 &gt;= Sheet3!$B$4, "Mixed Reviews", "Low Reliability")))))</f>
        <v>Reliable</v>
      </c>
    </row>
    <row r="390">
      <c r="A390" s="3">
        <f t="shared" si="1"/>
        <v>389</v>
      </c>
      <c r="B390" s="9" t="s">
        <v>3151</v>
      </c>
      <c r="C390" s="10">
        <v>39.3099999</v>
      </c>
      <c r="D390" s="10">
        <v>-76.661891</v>
      </c>
      <c r="E390" s="9" t="s">
        <v>3152</v>
      </c>
      <c r="F390" s="9" t="s">
        <v>3153</v>
      </c>
      <c r="G390" s="9"/>
      <c r="H390" s="11"/>
      <c r="I390" s="9" t="s">
        <v>81</v>
      </c>
      <c r="J390" s="9" t="s">
        <v>3154</v>
      </c>
      <c r="K390" s="9"/>
      <c r="L390" s="9" t="s">
        <v>3155</v>
      </c>
      <c r="M390" s="9">
        <v>69.24828268</v>
      </c>
      <c r="N390" s="10">
        <v>36.19176194</v>
      </c>
      <c r="O390" s="10" t="s">
        <v>3156</v>
      </c>
      <c r="P390" s="9">
        <v>9082026.0</v>
      </c>
      <c r="Q390" s="7" t="str">
        <f>IF(OR(ISBLANK(M390), ISBLANK(N390)), "", IF(N390 &lt; Sheet3!$B$6, "Insufficient Reviews", IF(M390 &gt;= Sheet3!$B$2, "Highly Reliable", IF(M390 &gt;= Sheet3!$B$3, "Reliable", IF(M390 &gt;= Sheet3!$B$4, "Mixed Reviews", "Low Reliability")))))</f>
        <v>Insufficient Reviews</v>
      </c>
    </row>
    <row r="391">
      <c r="A391" s="3">
        <f t="shared" si="1"/>
        <v>390</v>
      </c>
      <c r="B391" s="9" t="s">
        <v>3157</v>
      </c>
      <c r="C391" s="10">
        <v>39.3077507</v>
      </c>
      <c r="D391" s="10">
        <v>-76.6094055</v>
      </c>
      <c r="E391" s="9" t="s">
        <v>3158</v>
      </c>
      <c r="F391" s="9" t="s">
        <v>3159</v>
      </c>
      <c r="G391" s="9" t="s">
        <v>3160</v>
      </c>
      <c r="H391" s="9"/>
      <c r="I391" s="9" t="s">
        <v>27</v>
      </c>
      <c r="J391" s="9" t="s">
        <v>3161</v>
      </c>
      <c r="K391" s="9"/>
      <c r="L391" s="9" t="s">
        <v>3162</v>
      </c>
      <c r="M391" s="9">
        <v>73.48939992</v>
      </c>
      <c r="N391" s="10">
        <v>64.18797779</v>
      </c>
      <c r="O391" s="10" t="s">
        <v>3163</v>
      </c>
      <c r="P391" s="9">
        <v>9082026.0</v>
      </c>
      <c r="Q391" s="7" t="str">
        <f>IF(OR(ISBLANK(M391), ISBLANK(N391)), "", IF(N391 &lt; Sheet3!$B$6, "Insufficient Reviews", IF(M391 &gt;= Sheet3!$B$2, "Highly Reliable", IF(M391 &gt;= Sheet3!$B$3, "Reliable", IF(M391 &gt;= Sheet3!$B$4, "Mixed Reviews", "Low Reliability")))))</f>
        <v>Reliable</v>
      </c>
    </row>
    <row r="392">
      <c r="A392" s="3">
        <f t="shared" si="1"/>
        <v>391</v>
      </c>
      <c r="B392" s="9" t="s">
        <v>3164</v>
      </c>
      <c r="C392" s="10">
        <v>39.3159206</v>
      </c>
      <c r="D392" s="10">
        <v>-76.6511307</v>
      </c>
      <c r="E392" s="9" t="s">
        <v>3165</v>
      </c>
      <c r="F392" s="9" t="s">
        <v>3166</v>
      </c>
      <c r="G392" s="11"/>
      <c r="H392" s="11"/>
      <c r="I392" s="9" t="s">
        <v>27</v>
      </c>
      <c r="J392" s="9" t="s">
        <v>3167</v>
      </c>
      <c r="K392" s="9"/>
      <c r="L392" s="9" t="s">
        <v>3168</v>
      </c>
      <c r="M392" s="9">
        <v>10.5</v>
      </c>
      <c r="N392" s="10">
        <v>16.42666667</v>
      </c>
      <c r="O392" s="10" t="s">
        <v>2456</v>
      </c>
      <c r="P392" s="9">
        <v>9082026.0</v>
      </c>
      <c r="Q392" s="7" t="str">
        <f>IF(OR(ISBLANK(M392), ISBLANK(N392)), "", IF(N392 &lt; Sheet3!$B$6, "Insufficient Reviews", IF(M392 &gt;= Sheet3!$B$2, "Highly Reliable", IF(M392 &gt;= Sheet3!$B$3, "Reliable", IF(M392 &gt;= Sheet3!$B$4, "Mixed Reviews", "Low Reliability")))))</f>
        <v>Insufficient Reviews</v>
      </c>
    </row>
    <row r="393">
      <c r="A393" s="3">
        <f t="shared" si="1"/>
        <v>392</v>
      </c>
      <c r="B393" s="9" t="s">
        <v>3169</v>
      </c>
      <c r="C393" s="10">
        <v>39.3564896</v>
      </c>
      <c r="D393" s="10">
        <v>-76.5582606</v>
      </c>
      <c r="E393" s="9" t="s">
        <v>3170</v>
      </c>
      <c r="F393" s="9" t="s">
        <v>3171</v>
      </c>
      <c r="G393" s="9" t="s">
        <v>3172</v>
      </c>
      <c r="H393" s="9" t="s">
        <v>2417</v>
      </c>
      <c r="I393" s="9" t="s">
        <v>35</v>
      </c>
      <c r="J393" s="9" t="s">
        <v>3173</v>
      </c>
      <c r="K393" s="12" t="s">
        <v>3174</v>
      </c>
      <c r="L393" s="9" t="s">
        <v>3175</v>
      </c>
      <c r="M393" s="9">
        <v>83.04880433</v>
      </c>
      <c r="N393" s="10">
        <v>73.68112816</v>
      </c>
      <c r="O393" s="10" t="s">
        <v>3176</v>
      </c>
      <c r="P393" s="9">
        <v>9082026.0</v>
      </c>
      <c r="Q393" s="7" t="str">
        <f>IF(OR(ISBLANK(M393), ISBLANK(N393)), "", IF(N393 &lt; Sheet3!$B$6, "Insufficient Reviews", IF(M393 &gt;= Sheet3!$B$2, "Highly Reliable", IF(M393 &gt;= Sheet3!$B$3, "Reliable", IF(M393 &gt;= Sheet3!$B$4, "Mixed Reviews", "Low Reliability")))))</f>
        <v>Highly Reliable</v>
      </c>
    </row>
    <row r="394">
      <c r="A394" s="3">
        <f t="shared" si="1"/>
        <v>393</v>
      </c>
      <c r="B394" s="9" t="s">
        <v>3177</v>
      </c>
      <c r="C394" s="10">
        <v>39.33232</v>
      </c>
      <c r="D394" s="10">
        <v>-76.635067</v>
      </c>
      <c r="E394" s="9" t="s">
        <v>3178</v>
      </c>
      <c r="F394" s="9" t="s">
        <v>3179</v>
      </c>
      <c r="G394" s="9"/>
      <c r="H394" s="9" t="s">
        <v>2417</v>
      </c>
      <c r="I394" s="9" t="s">
        <v>35</v>
      </c>
      <c r="J394" s="9" t="s">
        <v>3180</v>
      </c>
      <c r="K394" s="12" t="s">
        <v>3181</v>
      </c>
      <c r="L394" s="9" t="s">
        <v>3182</v>
      </c>
      <c r="M394" s="9">
        <v>84.58806617</v>
      </c>
      <c r="N394" s="10">
        <v>75.64108863</v>
      </c>
      <c r="O394" s="10" t="s">
        <v>3183</v>
      </c>
      <c r="P394" s="9">
        <v>9082026.0</v>
      </c>
      <c r="Q394" s="7" t="str">
        <f>IF(OR(ISBLANK(M394), ISBLANK(N394)), "", IF(N394 &lt; Sheet3!$B$6, "Insufficient Reviews", IF(M394 &gt;= Sheet3!$B$2, "Highly Reliable", IF(M394 &gt;= Sheet3!$B$3, "Reliable", IF(M394 &gt;= Sheet3!$B$4, "Mixed Reviews", "Low Reliability")))))</f>
        <v>Highly Reliable</v>
      </c>
    </row>
    <row r="395">
      <c r="A395" s="3">
        <f t="shared" si="1"/>
        <v>394</v>
      </c>
      <c r="B395" s="9" t="s">
        <v>3184</v>
      </c>
      <c r="C395" s="10">
        <v>39.422963</v>
      </c>
      <c r="D395" s="10">
        <v>-76.5648802</v>
      </c>
      <c r="E395" s="9" t="s">
        <v>3185</v>
      </c>
      <c r="F395" s="9" t="s">
        <v>3186</v>
      </c>
      <c r="G395" s="9" t="s">
        <v>3187</v>
      </c>
      <c r="H395" s="9" t="s">
        <v>53</v>
      </c>
      <c r="I395" s="9" t="s">
        <v>81</v>
      </c>
      <c r="J395" s="9" t="s">
        <v>3188</v>
      </c>
      <c r="K395" s="12" t="s">
        <v>3189</v>
      </c>
      <c r="L395" s="9" t="s">
        <v>3190</v>
      </c>
      <c r="M395" s="9">
        <v>76.5</v>
      </c>
      <c r="N395" s="10">
        <v>39.49219126</v>
      </c>
      <c r="O395" s="10" t="s">
        <v>3191</v>
      </c>
      <c r="P395" s="9">
        <v>9082026.0</v>
      </c>
      <c r="Q395" s="7" t="str">
        <f>IF(OR(ISBLANK(M395), ISBLANK(N395)), "", IF(N395 &lt; Sheet3!$B$6, "Insufficient Reviews", IF(M395 &gt;= Sheet3!$B$2, "Highly Reliable", IF(M395 &gt;= Sheet3!$B$3, "Reliable", IF(M395 &gt;= Sheet3!$B$4, "Mixed Reviews", "Low Reliability")))))</f>
        <v>Insufficient Reviews</v>
      </c>
    </row>
    <row r="396">
      <c r="A396" s="3">
        <f t="shared" si="1"/>
        <v>395</v>
      </c>
      <c r="B396" s="9" t="s">
        <v>3192</v>
      </c>
      <c r="C396" s="10">
        <v>39.2837309</v>
      </c>
      <c r="D396" s="10">
        <v>-76.6152315</v>
      </c>
      <c r="E396" s="9" t="s">
        <v>3193</v>
      </c>
      <c r="F396" s="9" t="s">
        <v>3194</v>
      </c>
      <c r="G396" s="9"/>
      <c r="H396" s="11"/>
      <c r="I396" s="9" t="s">
        <v>81</v>
      </c>
      <c r="J396" s="9" t="s">
        <v>3195</v>
      </c>
      <c r="K396" s="9"/>
      <c r="L396" s="9" t="s">
        <v>3196</v>
      </c>
      <c r="M396" s="9">
        <v>52.29760166</v>
      </c>
      <c r="N396" s="10">
        <v>46.98531044</v>
      </c>
      <c r="O396" s="10" t="s">
        <v>3197</v>
      </c>
      <c r="P396" s="9">
        <v>9082026.0</v>
      </c>
      <c r="Q396" s="7" t="str">
        <f>IF(OR(ISBLANK(M396), ISBLANK(N396)), "", IF(N396 &lt; Sheet3!$B$6, "Insufficient Reviews", IF(M396 &gt;= Sheet3!$B$2, "Highly Reliable", IF(M396 &gt;= Sheet3!$B$3, "Reliable", IF(M396 &gt;= Sheet3!$B$4, "Mixed Reviews", "Low Reliability")))))</f>
        <v>Low Reliability</v>
      </c>
    </row>
    <row r="397">
      <c r="A397" s="3">
        <f t="shared" si="1"/>
        <v>396</v>
      </c>
      <c r="B397" s="9" t="s">
        <v>3198</v>
      </c>
      <c r="C397" s="10">
        <v>39.348677</v>
      </c>
      <c r="D397" s="10">
        <v>-76.676012</v>
      </c>
      <c r="E397" s="9" t="s">
        <v>3199</v>
      </c>
      <c r="F397" s="9" t="s">
        <v>3200</v>
      </c>
      <c r="G397" s="9"/>
      <c r="H397" s="9" t="s">
        <v>3064</v>
      </c>
      <c r="I397" s="9" t="s">
        <v>91</v>
      </c>
      <c r="J397" s="9" t="s">
        <v>3201</v>
      </c>
      <c r="K397" s="9"/>
      <c r="L397" s="9" t="s">
        <v>3202</v>
      </c>
      <c r="M397" s="9">
        <v>46.7274783</v>
      </c>
      <c r="N397" s="10">
        <v>45.72440453</v>
      </c>
      <c r="O397" s="10" t="s">
        <v>3203</v>
      </c>
      <c r="P397" s="9">
        <v>9082026.0</v>
      </c>
      <c r="Q397" s="7" t="str">
        <f>IF(OR(ISBLANK(M397), ISBLANK(N397)), "", IF(N397 &lt; Sheet3!$B$6, "Insufficient Reviews", IF(M397 &gt;= Sheet3!$B$2, "Highly Reliable", IF(M397 &gt;= Sheet3!$B$3, "Reliable", IF(M397 &gt;= Sheet3!$B$4, "Mixed Reviews", "Low Reliability")))))</f>
        <v>Low Reliability</v>
      </c>
    </row>
    <row r="398">
      <c r="A398" s="3">
        <f t="shared" si="1"/>
        <v>397</v>
      </c>
      <c r="B398" s="9" t="s">
        <v>3204</v>
      </c>
      <c r="C398" s="10">
        <v>39.3397604</v>
      </c>
      <c r="D398" s="10">
        <v>-76.5728176</v>
      </c>
      <c r="E398" s="9" t="s">
        <v>3205</v>
      </c>
      <c r="F398" s="9" t="s">
        <v>3206</v>
      </c>
      <c r="G398" s="9" t="s">
        <v>3207</v>
      </c>
      <c r="H398" s="9" t="s">
        <v>3208</v>
      </c>
      <c r="I398" s="9" t="s">
        <v>44</v>
      </c>
      <c r="J398" s="9" t="s">
        <v>3209</v>
      </c>
      <c r="K398" s="12" t="s">
        <v>3210</v>
      </c>
      <c r="L398" s="9" t="s">
        <v>3211</v>
      </c>
      <c r="M398" s="9">
        <v>70.76523957</v>
      </c>
      <c r="N398" s="10">
        <v>84.95206362</v>
      </c>
      <c r="O398" s="10" t="s">
        <v>3212</v>
      </c>
      <c r="P398" s="9">
        <v>9082026.0</v>
      </c>
      <c r="Q398" s="7" t="str">
        <f>IF(OR(ISBLANK(M398), ISBLANK(N398)), "", IF(N398 &lt; Sheet3!$B$6, "Insufficient Reviews", IF(M398 &gt;= Sheet3!$B$2, "Highly Reliable", IF(M398 &gt;= Sheet3!$B$3, "Reliable", IF(M398 &gt;= Sheet3!$B$4, "Mixed Reviews", "Low Reliability")))))</f>
        <v>Reliable</v>
      </c>
    </row>
    <row r="399">
      <c r="A399" s="3">
        <f t="shared" si="1"/>
        <v>398</v>
      </c>
      <c r="B399" s="9" t="s">
        <v>3213</v>
      </c>
      <c r="C399" s="10">
        <v>39.2954442</v>
      </c>
      <c r="D399" s="10">
        <v>-76.6448522</v>
      </c>
      <c r="E399" s="9" t="s">
        <v>3214</v>
      </c>
      <c r="F399" s="9" t="s">
        <v>3215</v>
      </c>
      <c r="G399" s="11"/>
      <c r="H399" s="9" t="s">
        <v>3216</v>
      </c>
      <c r="I399" s="9" t="s">
        <v>81</v>
      </c>
      <c r="J399" s="9" t="s">
        <v>3217</v>
      </c>
      <c r="K399" s="9"/>
      <c r="L399" s="9" t="s">
        <v>3218</v>
      </c>
      <c r="M399" s="9">
        <v>58.52930855</v>
      </c>
      <c r="N399" s="10">
        <v>40.87971358</v>
      </c>
      <c r="O399" s="10" t="s">
        <v>3219</v>
      </c>
      <c r="P399" s="9">
        <v>9082026.0</v>
      </c>
      <c r="Q399" s="7" t="str">
        <f>IF(OR(ISBLANK(M399), ISBLANK(N399)), "", IF(N399 &lt; Sheet3!$B$6, "Insufficient Reviews", IF(M399 &gt;= Sheet3!$B$2, "Highly Reliable", IF(M399 &gt;= Sheet3!$B$3, "Reliable", IF(M399 &gt;= Sheet3!$B$4, "Mixed Reviews", "Low Reliability")))))</f>
        <v>Low Reliability</v>
      </c>
    </row>
    <row r="400">
      <c r="A400" s="3">
        <f t="shared" si="1"/>
        <v>399</v>
      </c>
      <c r="B400" s="9" t="s">
        <v>3220</v>
      </c>
      <c r="C400" s="10">
        <v>39.3258845</v>
      </c>
      <c r="D400" s="10">
        <v>-76.6951522</v>
      </c>
      <c r="E400" s="9" t="s">
        <v>3221</v>
      </c>
      <c r="F400" s="9" t="s">
        <v>3222</v>
      </c>
      <c r="G400" s="9" t="s">
        <v>3223</v>
      </c>
      <c r="H400" s="9" t="s">
        <v>3224</v>
      </c>
      <c r="I400" s="9" t="s">
        <v>81</v>
      </c>
      <c r="J400" s="9" t="s">
        <v>3225</v>
      </c>
      <c r="K400" s="12" t="s">
        <v>3226</v>
      </c>
      <c r="L400" s="9" t="s">
        <v>3227</v>
      </c>
      <c r="M400" s="9">
        <v>82.98861661</v>
      </c>
      <c r="N400" s="10">
        <v>46.95517337</v>
      </c>
      <c r="O400" s="10" t="s">
        <v>3228</v>
      </c>
      <c r="P400" s="9">
        <v>9082026.0</v>
      </c>
      <c r="Q400" s="7" t="str">
        <f>IF(OR(ISBLANK(M400), ISBLANK(N400)), "", IF(N400 &lt; Sheet3!$B$6, "Insufficient Reviews", IF(M400 &gt;= Sheet3!$B$2, "Highly Reliable", IF(M400 &gt;= Sheet3!$B$3, "Reliable", IF(M400 &gt;= Sheet3!$B$4, "Mixed Reviews", "Low Reliability")))))</f>
        <v>Highly Reliable</v>
      </c>
    </row>
    <row r="401">
      <c r="A401" s="3">
        <f t="shared" si="1"/>
        <v>400</v>
      </c>
      <c r="B401" s="9" t="s">
        <v>3229</v>
      </c>
      <c r="C401" s="10">
        <v>39.297147</v>
      </c>
      <c r="D401" s="10">
        <v>-76.6553192</v>
      </c>
      <c r="E401" s="9" t="s">
        <v>3230</v>
      </c>
      <c r="F401" s="9" t="s">
        <v>3231</v>
      </c>
      <c r="G401" s="9"/>
      <c r="H401" s="9" t="s">
        <v>135</v>
      </c>
      <c r="I401" s="9" t="s">
        <v>91</v>
      </c>
      <c r="J401" s="9" t="s">
        <v>3232</v>
      </c>
      <c r="K401" s="12" t="s">
        <v>3233</v>
      </c>
      <c r="L401" s="9" t="s">
        <v>3234</v>
      </c>
      <c r="M401" s="9">
        <v>67.62307454</v>
      </c>
      <c r="N401" s="10">
        <v>46.51814532</v>
      </c>
      <c r="O401" s="10" t="s">
        <v>3235</v>
      </c>
      <c r="P401" s="9">
        <v>9082026.0</v>
      </c>
      <c r="Q401" s="7" t="str">
        <f>IF(OR(ISBLANK(M401), ISBLANK(N401)), "", IF(N401 &lt; Sheet3!$B$6, "Insufficient Reviews", IF(M401 &gt;= Sheet3!$B$2, "Highly Reliable", IF(M401 &gt;= Sheet3!$B$3, "Reliable", IF(M401 &gt;= Sheet3!$B$4, "Mixed Reviews", "Low Reliability")))))</f>
        <v>Mixed Reviews</v>
      </c>
    </row>
    <row r="402">
      <c r="A402" s="3">
        <f t="shared" si="1"/>
        <v>401</v>
      </c>
      <c r="B402" s="9" t="s">
        <v>3236</v>
      </c>
      <c r="C402" s="10">
        <v>39.3003332</v>
      </c>
      <c r="D402" s="10">
        <v>-76.6425686</v>
      </c>
      <c r="E402" s="9" t="s">
        <v>3237</v>
      </c>
      <c r="F402" s="9" t="s">
        <v>3238</v>
      </c>
      <c r="G402" s="9"/>
      <c r="H402" s="11"/>
      <c r="I402" s="9" t="s">
        <v>81</v>
      </c>
      <c r="J402" s="9" t="s">
        <v>3239</v>
      </c>
      <c r="K402" s="9"/>
      <c r="L402" s="9" t="s">
        <v>3240</v>
      </c>
      <c r="M402" s="9">
        <v>62.88223711</v>
      </c>
      <c r="N402" s="10">
        <v>47.8141653</v>
      </c>
      <c r="O402" s="10" t="s">
        <v>3241</v>
      </c>
      <c r="P402" s="9">
        <v>9082026.0</v>
      </c>
      <c r="Q402" s="7" t="str">
        <f>IF(OR(ISBLANK(M402), ISBLANK(N402)), "", IF(N402 &lt; Sheet3!$B$6, "Insufficient Reviews", IF(M402 &gt;= Sheet3!$B$2, "Highly Reliable", IF(M402 &gt;= Sheet3!$B$3, "Reliable", IF(M402 &gt;= Sheet3!$B$4, "Mixed Reviews", "Low Reliability")))))</f>
        <v>Mixed Reviews</v>
      </c>
    </row>
    <row r="403">
      <c r="A403" s="3">
        <f t="shared" si="1"/>
        <v>402</v>
      </c>
      <c r="B403" s="9" t="s">
        <v>3242</v>
      </c>
      <c r="C403" s="10">
        <v>39.2830153</v>
      </c>
      <c r="D403" s="10">
        <v>-76.5758411</v>
      </c>
      <c r="E403" s="9" t="s">
        <v>3243</v>
      </c>
      <c r="F403" s="9" t="s">
        <v>3244</v>
      </c>
      <c r="G403" s="9" t="s">
        <v>3245</v>
      </c>
      <c r="H403" s="9" t="s">
        <v>3246</v>
      </c>
      <c r="I403" s="9" t="s">
        <v>71</v>
      </c>
      <c r="J403" s="9" t="s">
        <v>3247</v>
      </c>
      <c r="K403" s="12" t="s">
        <v>3248</v>
      </c>
      <c r="L403" s="9" t="s">
        <v>3249</v>
      </c>
      <c r="M403" s="9">
        <v>79.63751614</v>
      </c>
      <c r="N403" s="10">
        <v>68.38323112</v>
      </c>
      <c r="O403" s="10" t="s">
        <v>3250</v>
      </c>
      <c r="P403" s="9">
        <v>9082026.0</v>
      </c>
      <c r="Q403" s="7" t="str">
        <f>IF(OR(ISBLANK(M403), ISBLANK(N403)), "", IF(N403 &lt; Sheet3!$B$6, "Insufficient Reviews", IF(M403 &gt;= Sheet3!$B$2, "Highly Reliable", IF(M403 &gt;= Sheet3!$B$3, "Reliable", IF(M403 &gt;= Sheet3!$B$4, "Mixed Reviews", "Low Reliability")))))</f>
        <v>Reliable</v>
      </c>
    </row>
    <row r="404">
      <c r="A404" s="3">
        <f t="shared" si="1"/>
        <v>403</v>
      </c>
      <c r="B404" s="9" t="s">
        <v>3251</v>
      </c>
      <c r="C404" s="10">
        <v>39.3671342</v>
      </c>
      <c r="D404" s="10">
        <v>-76.7155454</v>
      </c>
      <c r="E404" s="9" t="s">
        <v>3252</v>
      </c>
      <c r="F404" s="9" t="s">
        <v>3253</v>
      </c>
      <c r="G404" s="9"/>
      <c r="H404" s="11"/>
      <c r="I404" s="9" t="s">
        <v>91</v>
      </c>
      <c r="J404" s="9" t="s">
        <v>3254</v>
      </c>
      <c r="K404" s="9"/>
      <c r="L404" s="9" t="s">
        <v>3255</v>
      </c>
      <c r="M404" s="9">
        <v>72.97171165</v>
      </c>
      <c r="N404" s="10">
        <v>30.13390339</v>
      </c>
      <c r="O404" s="10" t="s">
        <v>3256</v>
      </c>
      <c r="P404" s="9">
        <v>9082026.0</v>
      </c>
      <c r="Q404" s="7" t="str">
        <f>IF(OR(ISBLANK(M404), ISBLANK(N404)), "", IF(N404 &lt; Sheet3!$B$6, "Insufficient Reviews", IF(M404 &gt;= Sheet3!$B$2, "Highly Reliable", IF(M404 &gt;= Sheet3!$B$3, "Reliable", IF(M404 &gt;= Sheet3!$B$4, "Mixed Reviews", "Low Reliability")))))</f>
        <v>Insufficient Reviews</v>
      </c>
    </row>
    <row r="405">
      <c r="A405" s="3">
        <f t="shared" si="1"/>
        <v>404</v>
      </c>
      <c r="B405" s="9" t="s">
        <v>3257</v>
      </c>
      <c r="C405" s="10">
        <v>39.3115723</v>
      </c>
      <c r="D405" s="10">
        <v>-76.6769468</v>
      </c>
      <c r="E405" s="9" t="s">
        <v>3258</v>
      </c>
      <c r="F405" s="9" t="s">
        <v>3259</v>
      </c>
      <c r="G405" s="9"/>
      <c r="H405" s="11"/>
      <c r="I405" s="9" t="s">
        <v>81</v>
      </c>
      <c r="J405" s="9" t="s">
        <v>3260</v>
      </c>
      <c r="K405" s="9"/>
      <c r="L405" s="9" t="s">
        <v>3261</v>
      </c>
      <c r="M405" s="9">
        <v>67.5</v>
      </c>
      <c r="N405" s="10">
        <v>19.76109563</v>
      </c>
      <c r="O405" s="10" t="s">
        <v>3262</v>
      </c>
      <c r="P405" s="9">
        <v>9082026.0</v>
      </c>
      <c r="Q405" s="7" t="str">
        <f>IF(OR(ISBLANK(M405), ISBLANK(N405)), "", IF(N405 &lt; Sheet3!$B$6, "Insufficient Reviews", IF(M405 &gt;= Sheet3!$B$2, "Highly Reliable", IF(M405 &gt;= Sheet3!$B$3, "Reliable", IF(M405 &gt;= Sheet3!$B$4, "Mixed Reviews", "Low Reliability")))))</f>
        <v>Insufficient Reviews</v>
      </c>
    </row>
    <row r="406">
      <c r="A406" s="3">
        <f t="shared" si="1"/>
        <v>405</v>
      </c>
      <c r="B406" s="9" t="s">
        <v>3263</v>
      </c>
      <c r="C406" s="10">
        <v>39.335623</v>
      </c>
      <c r="D406" s="10">
        <v>-76.5493802</v>
      </c>
      <c r="E406" s="9" t="s">
        <v>3264</v>
      </c>
      <c r="F406" s="9" t="s">
        <v>3265</v>
      </c>
      <c r="G406" s="9"/>
      <c r="H406" s="11"/>
      <c r="I406" s="9" t="s">
        <v>27</v>
      </c>
      <c r="J406" s="9" t="s">
        <v>3266</v>
      </c>
      <c r="K406" s="9"/>
      <c r="L406" s="9" t="s">
        <v>3267</v>
      </c>
      <c r="M406" s="9">
        <v>10.5</v>
      </c>
      <c r="N406" s="10">
        <v>15.91666667</v>
      </c>
      <c r="O406" s="10" t="s">
        <v>741</v>
      </c>
      <c r="P406" s="9">
        <v>9082026.0</v>
      </c>
      <c r="Q406" s="7" t="str">
        <f>IF(OR(ISBLANK(M406), ISBLANK(N406)), "", IF(N406 &lt; Sheet3!$B$6, "Insufficient Reviews", IF(M406 &gt;= Sheet3!$B$2, "Highly Reliable", IF(M406 &gt;= Sheet3!$B$3, "Reliable", IF(M406 &gt;= Sheet3!$B$4, "Mixed Reviews", "Low Reliability")))))</f>
        <v>Insufficient Reviews</v>
      </c>
    </row>
    <row r="407">
      <c r="A407" s="3">
        <f t="shared" si="1"/>
        <v>406</v>
      </c>
      <c r="B407" s="9" t="s">
        <v>776</v>
      </c>
      <c r="C407" s="10">
        <v>39.3891209</v>
      </c>
      <c r="D407" s="10">
        <v>-76.5722989</v>
      </c>
      <c r="E407" s="9" t="s">
        <v>3268</v>
      </c>
      <c r="F407" s="9" t="s">
        <v>3269</v>
      </c>
      <c r="G407" s="9"/>
      <c r="H407" s="9" t="s">
        <v>153</v>
      </c>
      <c r="I407" s="9" t="s">
        <v>91</v>
      </c>
      <c r="J407" s="9" t="s">
        <v>3270</v>
      </c>
      <c r="K407" s="9"/>
      <c r="L407" s="9" t="s">
        <v>3271</v>
      </c>
      <c r="M407" s="9">
        <v>69.0</v>
      </c>
      <c r="N407" s="10">
        <v>21.98616797</v>
      </c>
      <c r="O407" s="10" t="s">
        <v>3272</v>
      </c>
      <c r="P407" s="9">
        <v>9082026.0</v>
      </c>
      <c r="Q407" s="7" t="str">
        <f>IF(OR(ISBLANK(M407), ISBLANK(N407)), "", IF(N407 &lt; Sheet3!$B$6, "Insufficient Reviews", IF(M407 &gt;= Sheet3!$B$2, "Highly Reliable", IF(M407 &gt;= Sheet3!$B$3, "Reliable", IF(M407 &gt;= Sheet3!$B$4, "Mixed Reviews", "Low Reliability")))))</f>
        <v>Insufficient Reviews</v>
      </c>
    </row>
    <row r="408">
      <c r="A408" s="3">
        <f t="shared" si="1"/>
        <v>407</v>
      </c>
      <c r="B408" s="9" t="s">
        <v>3273</v>
      </c>
      <c r="C408" s="10">
        <v>39.331406</v>
      </c>
      <c r="D408" s="10">
        <v>-76.6005253</v>
      </c>
      <c r="E408" s="9" t="s">
        <v>3274</v>
      </c>
      <c r="F408" s="9" t="s">
        <v>3275</v>
      </c>
      <c r="G408" s="9" t="s">
        <v>3276</v>
      </c>
      <c r="H408" s="9" t="s">
        <v>26</v>
      </c>
      <c r="I408" s="9" t="s">
        <v>81</v>
      </c>
      <c r="J408" s="9" t="s">
        <v>3277</v>
      </c>
      <c r="K408" s="12" t="s">
        <v>3278</v>
      </c>
      <c r="L408" s="9" t="s">
        <v>3279</v>
      </c>
      <c r="M408" s="9">
        <v>73.48652252</v>
      </c>
      <c r="N408" s="10">
        <v>50.93702672</v>
      </c>
      <c r="O408" s="10" t="s">
        <v>3280</v>
      </c>
      <c r="P408" s="9">
        <v>9082026.0</v>
      </c>
      <c r="Q408" s="7" t="str">
        <f>IF(OR(ISBLANK(M408), ISBLANK(N408)), "", IF(N408 &lt; Sheet3!$B$6, "Insufficient Reviews", IF(M408 &gt;= Sheet3!$B$2, "Highly Reliable", IF(M408 &gt;= Sheet3!$B$3, "Reliable", IF(M408 &gt;= Sheet3!$B$4, "Mixed Reviews", "Low Reliability")))))</f>
        <v>Reliable</v>
      </c>
    </row>
    <row r="409">
      <c r="A409" s="3">
        <f t="shared" si="1"/>
        <v>408</v>
      </c>
      <c r="B409" s="9" t="s">
        <v>3281</v>
      </c>
      <c r="C409" s="10">
        <v>39.3153669</v>
      </c>
      <c r="D409" s="10">
        <v>-76.5691422</v>
      </c>
      <c r="E409" s="9" t="s">
        <v>3282</v>
      </c>
      <c r="F409" s="9" t="s">
        <v>3283</v>
      </c>
      <c r="G409" s="9" t="s">
        <v>3284</v>
      </c>
      <c r="H409" s="9" t="s">
        <v>2417</v>
      </c>
      <c r="I409" s="9" t="s">
        <v>35</v>
      </c>
      <c r="J409" s="9" t="s">
        <v>3285</v>
      </c>
      <c r="K409" s="12" t="s">
        <v>3286</v>
      </c>
      <c r="L409" s="9" t="s">
        <v>3287</v>
      </c>
      <c r="M409" s="9">
        <v>75.87966786</v>
      </c>
      <c r="N409" s="10">
        <v>72.29169764</v>
      </c>
      <c r="O409" s="10" t="s">
        <v>3288</v>
      </c>
      <c r="P409" s="9">
        <v>9082026.0</v>
      </c>
      <c r="Q409" s="7" t="str">
        <f>IF(OR(ISBLANK(M409), ISBLANK(N409)), "", IF(N409 &lt; Sheet3!$B$6, "Insufficient Reviews", IF(M409 &gt;= Sheet3!$B$2, "Highly Reliable", IF(M409 &gt;= Sheet3!$B$3, "Reliable", IF(M409 &gt;= Sheet3!$B$4, "Mixed Reviews", "Low Reliability")))))</f>
        <v>Reliable</v>
      </c>
    </row>
    <row r="410">
      <c r="A410" s="3">
        <f t="shared" si="1"/>
        <v>409</v>
      </c>
      <c r="B410" s="9" t="s">
        <v>3289</v>
      </c>
      <c r="C410" s="10">
        <v>39.3532052</v>
      </c>
      <c r="D410" s="10">
        <v>-76.3999869</v>
      </c>
      <c r="E410" s="9" t="s">
        <v>3290</v>
      </c>
      <c r="F410" s="9" t="s">
        <v>3291</v>
      </c>
      <c r="G410" s="9" t="s">
        <v>3292</v>
      </c>
      <c r="H410" s="9" t="s">
        <v>3293</v>
      </c>
      <c r="I410" s="9" t="s">
        <v>35</v>
      </c>
      <c r="J410" s="9" t="s">
        <v>3294</v>
      </c>
      <c r="K410" s="12" t="s">
        <v>3295</v>
      </c>
      <c r="L410" s="9" t="s">
        <v>3296</v>
      </c>
      <c r="M410" s="9">
        <v>16.5</v>
      </c>
      <c r="N410" s="10">
        <v>31.83333333</v>
      </c>
      <c r="O410" s="10" t="s">
        <v>290</v>
      </c>
      <c r="P410" s="9">
        <v>9082026.0</v>
      </c>
      <c r="Q410" s="7" t="str">
        <f>IF(OR(ISBLANK(M410), ISBLANK(N410)), "", IF(N410 &lt; Sheet3!$B$6, "Insufficient Reviews", IF(M410 &gt;= Sheet3!$B$2, "Highly Reliable", IF(M410 &gt;= Sheet3!$B$3, "Reliable", IF(M410 &gt;= Sheet3!$B$4, "Mixed Reviews", "Low Reliability")))))</f>
        <v>Insufficient Reviews</v>
      </c>
    </row>
    <row r="411">
      <c r="A411" s="3">
        <f t="shared" si="1"/>
        <v>410</v>
      </c>
      <c r="B411" s="9" t="s">
        <v>3297</v>
      </c>
      <c r="C411" s="10">
        <v>39.291091</v>
      </c>
      <c r="D411" s="10">
        <v>-76.5632991</v>
      </c>
      <c r="E411" s="9" t="s">
        <v>3298</v>
      </c>
      <c r="F411" s="9" t="s">
        <v>3299</v>
      </c>
      <c r="G411" s="9" t="s">
        <v>3300</v>
      </c>
      <c r="H411" s="9" t="s">
        <v>3301</v>
      </c>
      <c r="I411" s="9" t="s">
        <v>81</v>
      </c>
      <c r="J411" s="9" t="s">
        <v>3302</v>
      </c>
      <c r="K411" s="12" t="s">
        <v>3303</v>
      </c>
      <c r="L411" s="9" t="s">
        <v>3304</v>
      </c>
      <c r="M411" s="9">
        <v>64.84005463</v>
      </c>
      <c r="N411" s="10">
        <v>50.70424924</v>
      </c>
      <c r="O411" s="10" t="s">
        <v>3305</v>
      </c>
      <c r="P411" s="9">
        <v>9082026.0</v>
      </c>
      <c r="Q411" s="7" t="str">
        <f>IF(OR(ISBLANK(M411), ISBLANK(N411)), "", IF(N411 &lt; Sheet3!$B$6, "Insufficient Reviews", IF(M411 &gt;= Sheet3!$B$2, "Highly Reliable", IF(M411 &gt;= Sheet3!$B$3, "Reliable", IF(M411 &gt;= Sheet3!$B$4, "Mixed Reviews", "Low Reliability")))))</f>
        <v>Mixed Reviews</v>
      </c>
    </row>
    <row r="412">
      <c r="A412" s="3">
        <f t="shared" si="1"/>
        <v>411</v>
      </c>
      <c r="B412" s="9" t="s">
        <v>3306</v>
      </c>
      <c r="C412" s="10">
        <v>39.3839567</v>
      </c>
      <c r="D412" s="10">
        <v>-76.603025</v>
      </c>
      <c r="E412" s="9" t="s">
        <v>3307</v>
      </c>
      <c r="F412" s="9" t="s">
        <v>3308</v>
      </c>
      <c r="G412" s="9"/>
      <c r="H412" s="9" t="s">
        <v>135</v>
      </c>
      <c r="I412" s="9" t="s">
        <v>91</v>
      </c>
      <c r="J412" s="9" t="s">
        <v>3309</v>
      </c>
      <c r="K412" s="12" t="s">
        <v>3310</v>
      </c>
      <c r="L412" s="9" t="s">
        <v>3311</v>
      </c>
      <c r="M412" s="9">
        <v>63.44388775</v>
      </c>
      <c r="N412" s="10">
        <v>70.42062379</v>
      </c>
      <c r="O412" s="10" t="s">
        <v>3312</v>
      </c>
      <c r="P412" s="9">
        <v>9082026.0</v>
      </c>
      <c r="Q412" s="7" t="str">
        <f>IF(OR(ISBLANK(M412), ISBLANK(N412)), "", IF(N412 &lt; Sheet3!$B$6, "Insufficient Reviews", IF(M412 &gt;= Sheet3!$B$2, "Highly Reliable", IF(M412 &gt;= Sheet3!$B$3, "Reliable", IF(M412 &gt;= Sheet3!$B$4, "Mixed Reviews", "Low Reliability")))))</f>
        <v>Mixed Reviews</v>
      </c>
    </row>
    <row r="413">
      <c r="A413" s="3">
        <f t="shared" si="1"/>
        <v>412</v>
      </c>
      <c r="B413" s="9" t="s">
        <v>3313</v>
      </c>
      <c r="C413" s="10">
        <v>39.3068714</v>
      </c>
      <c r="D413" s="10">
        <v>-76.715168</v>
      </c>
      <c r="E413" s="9" t="s">
        <v>3314</v>
      </c>
      <c r="F413" s="9" t="s">
        <v>3315</v>
      </c>
      <c r="G413" s="9" t="s">
        <v>3316</v>
      </c>
      <c r="H413" s="9" t="s">
        <v>26</v>
      </c>
      <c r="I413" s="9" t="s">
        <v>81</v>
      </c>
      <c r="J413" s="9" t="s">
        <v>3317</v>
      </c>
      <c r="K413" s="12" t="s">
        <v>2241</v>
      </c>
      <c r="L413" s="9" t="s">
        <v>3318</v>
      </c>
      <c r="M413" s="9">
        <v>73.5</v>
      </c>
      <c r="N413" s="10">
        <v>35.6627623</v>
      </c>
      <c r="O413" s="10" t="s">
        <v>2680</v>
      </c>
      <c r="P413" s="9">
        <v>9082026.0</v>
      </c>
      <c r="Q413" s="7" t="str">
        <f>IF(OR(ISBLANK(M413), ISBLANK(N413)), "", IF(N413 &lt; Sheet3!$B$6, "Insufficient Reviews", IF(M413 &gt;= Sheet3!$B$2, "Highly Reliable", IF(M413 &gt;= Sheet3!$B$3, "Reliable", IF(M413 &gt;= Sheet3!$B$4, "Mixed Reviews", "Low Reliability")))))</f>
        <v>Insufficient Reviews</v>
      </c>
    </row>
    <row r="414">
      <c r="A414" s="3">
        <f t="shared" si="1"/>
        <v>413</v>
      </c>
      <c r="B414" s="9" t="s">
        <v>3319</v>
      </c>
      <c r="C414" s="10">
        <v>39.373236</v>
      </c>
      <c r="D414" s="10">
        <v>-76.7559083</v>
      </c>
      <c r="E414" s="9" t="s">
        <v>3320</v>
      </c>
      <c r="F414" s="9" t="s">
        <v>3321</v>
      </c>
      <c r="G414" s="9"/>
      <c r="H414" s="9" t="s">
        <v>135</v>
      </c>
      <c r="I414" s="9" t="s">
        <v>91</v>
      </c>
      <c r="J414" s="9" t="s">
        <v>3322</v>
      </c>
      <c r="K414" s="9"/>
      <c r="L414" s="9" t="s">
        <v>3323</v>
      </c>
      <c r="M414" s="9">
        <v>73.62145757</v>
      </c>
      <c r="N414" s="10">
        <v>32.8564963</v>
      </c>
      <c r="O414" s="10" t="s">
        <v>3324</v>
      </c>
      <c r="P414" s="9">
        <v>9082026.0</v>
      </c>
      <c r="Q414" s="7" t="str">
        <f>IF(OR(ISBLANK(M414), ISBLANK(N414)), "", IF(N414 &lt; Sheet3!$B$6, "Insufficient Reviews", IF(M414 &gt;= Sheet3!$B$2, "Highly Reliable", IF(M414 &gt;= Sheet3!$B$3, "Reliable", IF(M414 &gt;= Sheet3!$B$4, "Mixed Reviews", "Low Reliability")))))</f>
        <v>Insufficient Reviews</v>
      </c>
    </row>
    <row r="415">
      <c r="A415" s="3">
        <f t="shared" si="1"/>
        <v>414</v>
      </c>
      <c r="B415" s="9" t="s">
        <v>3325</v>
      </c>
      <c r="C415" s="10">
        <v>39.3639397</v>
      </c>
      <c r="D415" s="10">
        <v>-76.6158529</v>
      </c>
      <c r="E415" s="9" t="s">
        <v>3326</v>
      </c>
      <c r="F415" s="9" t="s">
        <v>3327</v>
      </c>
      <c r="G415" s="9"/>
      <c r="H415" s="9" t="s">
        <v>135</v>
      </c>
      <c r="I415" s="9" t="s">
        <v>91</v>
      </c>
      <c r="J415" s="9" t="s">
        <v>3328</v>
      </c>
      <c r="K415" s="12" t="s">
        <v>3329</v>
      </c>
      <c r="L415" s="9" t="s">
        <v>3330</v>
      </c>
      <c r="M415" s="9">
        <v>81.01335331</v>
      </c>
      <c r="N415" s="10">
        <v>72.34290704</v>
      </c>
      <c r="O415" s="10" t="s">
        <v>3331</v>
      </c>
      <c r="P415" s="9">
        <v>9082026.0</v>
      </c>
      <c r="Q415" s="7" t="str">
        <f>IF(OR(ISBLANK(M415), ISBLANK(N415)), "", IF(N415 &lt; Sheet3!$B$6, "Insufficient Reviews", IF(M415 &gt;= Sheet3!$B$2, "Highly Reliable", IF(M415 &gt;= Sheet3!$B$3, "Reliable", IF(M415 &gt;= Sheet3!$B$4, "Mixed Reviews", "Low Reliability")))))</f>
        <v>Reliable</v>
      </c>
    </row>
    <row r="416">
      <c r="A416" s="3">
        <f t="shared" si="1"/>
        <v>415</v>
      </c>
      <c r="B416" s="9" t="s">
        <v>3332</v>
      </c>
      <c r="C416" s="10">
        <v>39.3212705</v>
      </c>
      <c r="D416" s="10">
        <v>-76.6176239</v>
      </c>
      <c r="E416" s="9" t="s">
        <v>3333</v>
      </c>
      <c r="F416" s="9" t="s">
        <v>3334</v>
      </c>
      <c r="G416" s="9" t="s">
        <v>3335</v>
      </c>
      <c r="H416" s="9" t="s">
        <v>135</v>
      </c>
      <c r="I416" s="9" t="s">
        <v>91</v>
      </c>
      <c r="J416" s="9" t="s">
        <v>3336</v>
      </c>
      <c r="K416" s="12" t="s">
        <v>3337</v>
      </c>
      <c r="L416" s="9" t="s">
        <v>3338</v>
      </c>
      <c r="M416" s="9">
        <v>67.88060505</v>
      </c>
      <c r="N416" s="10">
        <v>69.60371597</v>
      </c>
      <c r="O416" s="10" t="s">
        <v>3339</v>
      </c>
      <c r="P416" s="9">
        <v>9082026.0</v>
      </c>
      <c r="Q416" s="7" t="str">
        <f>IF(OR(ISBLANK(M416), ISBLANK(N416)), "", IF(N416 &lt; Sheet3!$B$6, "Insufficient Reviews", IF(M416 &gt;= Sheet3!$B$2, "Highly Reliable", IF(M416 &gt;= Sheet3!$B$3, "Reliable", IF(M416 &gt;= Sheet3!$B$4, "Mixed Reviews", "Low Reliability")))))</f>
        <v>Mixed Reviews</v>
      </c>
    </row>
    <row r="417">
      <c r="A417" s="3">
        <f t="shared" si="1"/>
        <v>416</v>
      </c>
      <c r="B417" s="9" t="s">
        <v>3340</v>
      </c>
      <c r="C417" s="10">
        <v>39.312165</v>
      </c>
      <c r="D417" s="10">
        <v>-76.4668742</v>
      </c>
      <c r="E417" s="9" t="s">
        <v>3341</v>
      </c>
      <c r="F417" s="9" t="s">
        <v>3342</v>
      </c>
      <c r="G417" s="9"/>
      <c r="H417" s="11"/>
      <c r="I417" s="9" t="s">
        <v>91</v>
      </c>
      <c r="J417" s="9" t="s">
        <v>3343</v>
      </c>
      <c r="K417" s="9"/>
      <c r="L417" s="9" t="s">
        <v>3344</v>
      </c>
      <c r="M417" s="9">
        <v>7.5</v>
      </c>
      <c r="N417" s="10">
        <v>16.24666667</v>
      </c>
      <c r="O417" s="10" t="s">
        <v>2712</v>
      </c>
      <c r="P417" s="9">
        <v>9082026.0</v>
      </c>
      <c r="Q417" s="7" t="str">
        <f>IF(OR(ISBLANK(M417), ISBLANK(N417)), "", IF(N417 &lt; Sheet3!$B$6, "Insufficient Reviews", IF(M417 &gt;= Sheet3!$B$2, "Highly Reliable", IF(M417 &gt;= Sheet3!$B$3, "Reliable", IF(M417 &gt;= Sheet3!$B$4, "Mixed Reviews", "Low Reliability")))))</f>
        <v>Insufficient Reviews</v>
      </c>
    </row>
    <row r="418">
      <c r="A418" s="3">
        <f t="shared" si="1"/>
        <v>417</v>
      </c>
      <c r="B418" s="9" t="s">
        <v>3345</v>
      </c>
      <c r="C418" s="10">
        <v>39.3159871</v>
      </c>
      <c r="D418" s="10">
        <v>-76.7431778</v>
      </c>
      <c r="E418" s="9" t="s">
        <v>3346</v>
      </c>
      <c r="F418" s="9" t="s">
        <v>3347</v>
      </c>
      <c r="G418" s="9" t="s">
        <v>3348</v>
      </c>
      <c r="H418" s="9" t="s">
        <v>3349</v>
      </c>
      <c r="I418" s="9" t="s">
        <v>44</v>
      </c>
      <c r="J418" s="9" t="s">
        <v>3350</v>
      </c>
      <c r="K418" s="12" t="s">
        <v>3351</v>
      </c>
      <c r="L418" s="9" t="s">
        <v>3352</v>
      </c>
      <c r="M418" s="9">
        <v>70.03989431</v>
      </c>
      <c r="N418" s="10">
        <v>61.06574843</v>
      </c>
      <c r="O418" s="10" t="s">
        <v>3353</v>
      </c>
      <c r="P418" s="9">
        <v>9082026.0</v>
      </c>
      <c r="Q418" s="7" t="str">
        <f>IF(OR(ISBLANK(M418), ISBLANK(N418)), "", IF(N418 &lt; Sheet3!$B$6, "Insufficient Reviews", IF(M418 &gt;= Sheet3!$B$2, "Highly Reliable", IF(M418 &gt;= Sheet3!$B$3, "Reliable", IF(M418 &gt;= Sheet3!$B$4, "Mixed Reviews", "Low Reliability")))))</f>
        <v>Reliable</v>
      </c>
    </row>
    <row r="419">
      <c r="A419" s="3">
        <f t="shared" si="1"/>
        <v>418</v>
      </c>
      <c r="B419" s="9" t="s">
        <v>3354</v>
      </c>
      <c r="C419" s="10">
        <v>39.2900559</v>
      </c>
      <c r="D419" s="10">
        <v>-76.5507876</v>
      </c>
      <c r="E419" s="9" t="s">
        <v>3355</v>
      </c>
      <c r="F419" s="9" t="s">
        <v>3356</v>
      </c>
      <c r="G419" s="9" t="s">
        <v>3357</v>
      </c>
      <c r="H419" s="9"/>
      <c r="I419" s="9" t="s">
        <v>91</v>
      </c>
      <c r="J419" s="9" t="s">
        <v>3358</v>
      </c>
      <c r="K419" s="12" t="s">
        <v>3359</v>
      </c>
      <c r="L419" s="9" t="s">
        <v>3360</v>
      </c>
      <c r="M419" s="9">
        <v>65.92235243</v>
      </c>
      <c r="N419" s="10">
        <v>59.56566038</v>
      </c>
      <c r="O419" s="10" t="s">
        <v>3361</v>
      </c>
      <c r="P419" s="9">
        <v>9082026.0</v>
      </c>
      <c r="Q419" s="7" t="str">
        <f>IF(OR(ISBLANK(M419), ISBLANK(N419)), "", IF(N419 &lt; Sheet3!$B$6, "Insufficient Reviews", IF(M419 &gt;= Sheet3!$B$2, "Highly Reliable", IF(M419 &gt;= Sheet3!$B$3, "Reliable", IF(M419 &gt;= Sheet3!$B$4, "Mixed Reviews", "Low Reliability")))))</f>
        <v>Mixed Reviews</v>
      </c>
    </row>
    <row r="420">
      <c r="A420" s="3">
        <f t="shared" si="1"/>
        <v>419</v>
      </c>
      <c r="B420" s="9" t="s">
        <v>3362</v>
      </c>
      <c r="C420" s="10">
        <v>39.3227119</v>
      </c>
      <c r="D420" s="10">
        <v>-76.4445203</v>
      </c>
      <c r="E420" s="9" t="s">
        <v>3363</v>
      </c>
      <c r="F420" s="9" t="s">
        <v>3364</v>
      </c>
      <c r="G420" s="9" t="s">
        <v>3365</v>
      </c>
      <c r="H420" s="9"/>
      <c r="I420" s="9" t="s">
        <v>81</v>
      </c>
      <c r="J420" s="9" t="s">
        <v>3366</v>
      </c>
      <c r="K420" s="9"/>
      <c r="L420" s="9" t="s">
        <v>3367</v>
      </c>
      <c r="M420" s="9">
        <v>49.85592174</v>
      </c>
      <c r="N420" s="10">
        <v>45.9117071</v>
      </c>
      <c r="O420" s="10" t="s">
        <v>3368</v>
      </c>
      <c r="P420" s="9">
        <v>9082026.0</v>
      </c>
      <c r="Q420" s="7" t="str">
        <f>IF(OR(ISBLANK(M420), ISBLANK(N420)), "", IF(N420 &lt; Sheet3!$B$6, "Insufficient Reviews", IF(M420 &gt;= Sheet3!$B$2, "Highly Reliable", IF(M420 &gt;= Sheet3!$B$3, "Reliable", IF(M420 &gt;= Sheet3!$B$4, "Mixed Reviews", "Low Reliability")))))</f>
        <v>Low Reliability</v>
      </c>
    </row>
    <row r="421">
      <c r="A421" s="3">
        <f t="shared" si="1"/>
        <v>420</v>
      </c>
      <c r="B421" s="9" t="s">
        <v>3369</v>
      </c>
      <c r="C421" s="10">
        <v>39.3164649</v>
      </c>
      <c r="D421" s="10">
        <v>-76.6753501</v>
      </c>
      <c r="E421" s="9" t="s">
        <v>3370</v>
      </c>
      <c r="F421" s="9" t="s">
        <v>3371</v>
      </c>
      <c r="G421" s="11"/>
      <c r="H421" s="11"/>
      <c r="I421" s="9" t="s">
        <v>27</v>
      </c>
      <c r="J421" s="9" t="s">
        <v>3372</v>
      </c>
      <c r="K421" s="9"/>
      <c r="L421" s="9" t="s">
        <v>3373</v>
      </c>
      <c r="M421" s="9">
        <v>10.5</v>
      </c>
      <c r="N421" s="10">
        <v>15.91666667</v>
      </c>
      <c r="O421" s="10" t="s">
        <v>741</v>
      </c>
      <c r="P421" s="9">
        <v>9082026.0</v>
      </c>
      <c r="Q421" s="7" t="str">
        <f>IF(OR(ISBLANK(M421), ISBLANK(N421)), "", IF(N421 &lt; Sheet3!$B$6, "Insufficient Reviews", IF(M421 &gt;= Sheet3!$B$2, "Highly Reliable", IF(M421 &gt;= Sheet3!$B$3, "Reliable", IF(M421 &gt;= Sheet3!$B$4, "Mixed Reviews", "Low Reliability")))))</f>
        <v>Insufficient Reviews</v>
      </c>
    </row>
    <row r="422">
      <c r="A422" s="3">
        <f t="shared" si="1"/>
        <v>421</v>
      </c>
      <c r="B422" s="9" t="s">
        <v>3374</v>
      </c>
      <c r="C422" s="10">
        <v>39.2814766</v>
      </c>
      <c r="D422" s="10">
        <v>-76.5785186</v>
      </c>
      <c r="E422" s="9" t="s">
        <v>3375</v>
      </c>
      <c r="F422" s="9" t="s">
        <v>3376</v>
      </c>
      <c r="G422" s="9"/>
      <c r="H422" s="11"/>
      <c r="I422" s="9" t="s">
        <v>81</v>
      </c>
      <c r="J422" s="9" t="s">
        <v>3377</v>
      </c>
      <c r="K422" s="12" t="s">
        <v>3378</v>
      </c>
      <c r="L422" s="9" t="s">
        <v>3379</v>
      </c>
      <c r="M422" s="9">
        <v>67.66340068</v>
      </c>
      <c r="N422" s="10">
        <v>49.47057814</v>
      </c>
      <c r="O422" s="10" t="s">
        <v>3380</v>
      </c>
      <c r="P422" s="9">
        <v>9082026.0</v>
      </c>
      <c r="Q422" s="7" t="str">
        <f>IF(OR(ISBLANK(M422), ISBLANK(N422)), "", IF(N422 &lt; Sheet3!$B$6, "Insufficient Reviews", IF(M422 &gt;= Sheet3!$B$2, "Highly Reliable", IF(M422 &gt;= Sheet3!$B$3, "Reliable", IF(M422 &gt;= Sheet3!$B$4, "Mixed Reviews", "Low Reliability")))))</f>
        <v>Mixed Reviews</v>
      </c>
    </row>
    <row r="423">
      <c r="A423" s="3">
        <f t="shared" si="1"/>
        <v>422</v>
      </c>
      <c r="B423" s="9" t="s">
        <v>3381</v>
      </c>
      <c r="C423" s="10">
        <v>39.3377456</v>
      </c>
      <c r="D423" s="10">
        <v>-76.4509353</v>
      </c>
      <c r="E423" s="9" t="s">
        <v>3382</v>
      </c>
      <c r="F423" s="9" t="s">
        <v>3383</v>
      </c>
      <c r="G423" s="9" t="s">
        <v>3384</v>
      </c>
      <c r="H423" s="9" t="s">
        <v>135</v>
      </c>
      <c r="I423" s="9" t="s">
        <v>91</v>
      </c>
      <c r="J423" s="9" t="s">
        <v>3385</v>
      </c>
      <c r="K423" s="12" t="s">
        <v>3386</v>
      </c>
      <c r="L423" s="9" t="s">
        <v>3387</v>
      </c>
      <c r="M423" s="9">
        <v>84.64611489</v>
      </c>
      <c r="N423" s="10">
        <v>71.74788611</v>
      </c>
      <c r="O423" s="10" t="s">
        <v>3388</v>
      </c>
      <c r="P423" s="9">
        <v>9082026.0</v>
      </c>
      <c r="Q423" s="7" t="str">
        <f>IF(OR(ISBLANK(M423), ISBLANK(N423)), "", IF(N423 &lt; Sheet3!$B$6, "Insufficient Reviews", IF(M423 &gt;= Sheet3!$B$2, "Highly Reliable", IF(M423 &gt;= Sheet3!$B$3, "Reliable", IF(M423 &gt;= Sheet3!$B$4, "Mixed Reviews", "Low Reliability")))))</f>
        <v>Highly Reliable</v>
      </c>
    </row>
    <row r="424">
      <c r="A424" s="3">
        <f t="shared" si="1"/>
        <v>423</v>
      </c>
      <c r="B424" s="9" t="s">
        <v>3389</v>
      </c>
      <c r="C424" s="10">
        <v>39.4212608</v>
      </c>
      <c r="D424" s="10">
        <v>-76.6323852</v>
      </c>
      <c r="E424" s="9" t="s">
        <v>3390</v>
      </c>
      <c r="F424" s="9" t="s">
        <v>3391</v>
      </c>
      <c r="G424" s="9"/>
      <c r="H424" s="9" t="s">
        <v>135</v>
      </c>
      <c r="I424" s="9" t="s">
        <v>81</v>
      </c>
      <c r="J424" s="9" t="s">
        <v>3392</v>
      </c>
      <c r="K424" s="12" t="s">
        <v>3386</v>
      </c>
      <c r="L424" s="9" t="s">
        <v>3393</v>
      </c>
      <c r="M424" s="9">
        <v>73.17328876</v>
      </c>
      <c r="N424" s="10">
        <v>60.4412673</v>
      </c>
      <c r="O424" s="10" t="s">
        <v>3394</v>
      </c>
      <c r="P424" s="9">
        <v>9082026.0</v>
      </c>
      <c r="Q424" s="7" t="str">
        <f>IF(OR(ISBLANK(M424), ISBLANK(N424)), "", IF(N424 &lt; Sheet3!$B$6, "Insufficient Reviews", IF(M424 &gt;= Sheet3!$B$2, "Highly Reliable", IF(M424 &gt;= Sheet3!$B$3, "Reliable", IF(M424 &gt;= Sheet3!$B$4, "Mixed Reviews", "Low Reliability")))))</f>
        <v>Reliable</v>
      </c>
    </row>
    <row r="425">
      <c r="A425" s="3">
        <f t="shared" si="1"/>
        <v>424</v>
      </c>
      <c r="B425" s="9" t="s">
        <v>3395</v>
      </c>
      <c r="C425" s="10">
        <v>39.3635535</v>
      </c>
      <c r="D425" s="10">
        <v>-76.5579315</v>
      </c>
      <c r="E425" s="9" t="s">
        <v>3396</v>
      </c>
      <c r="F425" s="9" t="s">
        <v>3397</v>
      </c>
      <c r="G425" s="9"/>
      <c r="H425" s="11"/>
      <c r="I425" s="9" t="s">
        <v>81</v>
      </c>
      <c r="J425" s="9" t="s">
        <v>3398</v>
      </c>
      <c r="K425" s="9"/>
      <c r="L425" s="9" t="s">
        <v>3399</v>
      </c>
      <c r="M425" s="9">
        <v>59.1</v>
      </c>
      <c r="N425" s="10">
        <v>26.66723292</v>
      </c>
      <c r="O425" s="10" t="s">
        <v>3400</v>
      </c>
      <c r="P425" s="9">
        <v>9082026.0</v>
      </c>
      <c r="Q425" s="7" t="str">
        <f>IF(OR(ISBLANK(M425), ISBLANK(N425)), "", IF(N425 &lt; Sheet3!$B$6, "Insufficient Reviews", IF(M425 &gt;= Sheet3!$B$2, "Highly Reliable", IF(M425 &gt;= Sheet3!$B$3, "Reliable", IF(M425 &gt;= Sheet3!$B$4, "Mixed Reviews", "Low Reliability")))))</f>
        <v>Insufficient Reviews</v>
      </c>
    </row>
    <row r="426">
      <c r="A426" s="3">
        <f t="shared" si="1"/>
        <v>425</v>
      </c>
      <c r="B426" s="9" t="s">
        <v>3401</v>
      </c>
      <c r="C426" s="10">
        <v>39.2816636</v>
      </c>
      <c r="D426" s="10">
        <v>-76.6827682</v>
      </c>
      <c r="E426" s="9" t="s">
        <v>3402</v>
      </c>
      <c r="F426" s="9" t="s">
        <v>3403</v>
      </c>
      <c r="G426" s="9" t="s">
        <v>3404</v>
      </c>
      <c r="H426" s="9"/>
      <c r="I426" s="9" t="s">
        <v>81</v>
      </c>
      <c r="J426" s="9" t="s">
        <v>3405</v>
      </c>
      <c r="K426" s="12" t="s">
        <v>3406</v>
      </c>
      <c r="L426" s="9" t="s">
        <v>3407</v>
      </c>
      <c r="M426" s="9">
        <v>50.04808987</v>
      </c>
      <c r="N426" s="10">
        <v>49.99371684</v>
      </c>
      <c r="O426" s="10" t="s">
        <v>3408</v>
      </c>
      <c r="P426" s="9">
        <v>9082026.0</v>
      </c>
      <c r="Q426" s="7" t="str">
        <f>IF(OR(ISBLANK(M426), ISBLANK(N426)), "", IF(N426 &lt; Sheet3!$B$6, "Insufficient Reviews", IF(M426 &gt;= Sheet3!$B$2, "Highly Reliable", IF(M426 &gt;= Sheet3!$B$3, "Reliable", IF(M426 &gt;= Sheet3!$B$4, "Mixed Reviews", "Low Reliability")))))</f>
        <v>Low Reliability</v>
      </c>
    </row>
    <row r="427">
      <c r="A427" s="3">
        <f t="shared" si="1"/>
        <v>426</v>
      </c>
      <c r="B427" s="9" t="s">
        <v>3409</v>
      </c>
      <c r="C427" s="10">
        <v>39.2879429</v>
      </c>
      <c r="D427" s="10">
        <v>-76.7113146</v>
      </c>
      <c r="E427" s="9" t="s">
        <v>3410</v>
      </c>
      <c r="F427" s="9" t="s">
        <v>3411</v>
      </c>
      <c r="G427" s="9" t="s">
        <v>3412</v>
      </c>
      <c r="H427" s="9" t="s">
        <v>1869</v>
      </c>
      <c r="I427" s="9" t="s">
        <v>81</v>
      </c>
      <c r="J427" s="9" t="s">
        <v>3413</v>
      </c>
      <c r="K427" s="12" t="s">
        <v>3414</v>
      </c>
      <c r="L427" s="9" t="s">
        <v>3415</v>
      </c>
      <c r="M427" s="9">
        <v>64.86139211</v>
      </c>
      <c r="N427" s="10">
        <v>60.0178436</v>
      </c>
      <c r="O427" s="10" t="s">
        <v>3416</v>
      </c>
      <c r="P427" s="9">
        <v>9082026.0</v>
      </c>
      <c r="Q427" s="7" t="str">
        <f>IF(OR(ISBLANK(M427), ISBLANK(N427)), "", IF(N427 &lt; Sheet3!$B$6, "Insufficient Reviews", IF(M427 &gt;= Sheet3!$B$2, "Highly Reliable", IF(M427 &gt;= Sheet3!$B$3, "Reliable", IF(M427 &gt;= Sheet3!$B$4, "Mixed Reviews", "Low Reliability")))))</f>
        <v>Mixed Reviews</v>
      </c>
    </row>
    <row r="428">
      <c r="A428" s="3">
        <f t="shared" si="1"/>
        <v>427</v>
      </c>
      <c r="B428" s="9" t="s">
        <v>3417</v>
      </c>
      <c r="C428" s="10">
        <v>39.5131664</v>
      </c>
      <c r="D428" s="10">
        <v>-76.5550164</v>
      </c>
      <c r="E428" s="9" t="s">
        <v>3418</v>
      </c>
      <c r="F428" s="9" t="s">
        <v>3419</v>
      </c>
      <c r="G428" s="9" t="s">
        <v>3420</v>
      </c>
      <c r="H428" s="9" t="s">
        <v>34</v>
      </c>
      <c r="I428" s="9" t="s">
        <v>27</v>
      </c>
      <c r="J428" s="9" t="s">
        <v>3421</v>
      </c>
      <c r="K428" s="12" t="s">
        <v>3422</v>
      </c>
      <c r="L428" s="9" t="s">
        <v>3423</v>
      </c>
      <c r="M428" s="9">
        <v>79.09298311</v>
      </c>
      <c r="N428" s="10">
        <v>73.80874906</v>
      </c>
      <c r="O428" s="10" t="s">
        <v>3424</v>
      </c>
      <c r="P428" s="9">
        <v>9082026.0</v>
      </c>
      <c r="Q428" s="7" t="str">
        <f>IF(OR(ISBLANK(M428), ISBLANK(N428)), "", IF(N428 &lt; Sheet3!$B$6, "Insufficient Reviews", IF(M428 &gt;= Sheet3!$B$2, "Highly Reliable", IF(M428 &gt;= Sheet3!$B$3, "Reliable", IF(M428 &gt;= Sheet3!$B$4, "Mixed Reviews", "Low Reliability")))))</f>
        <v>Reliable</v>
      </c>
    </row>
    <row r="429">
      <c r="A429" s="3">
        <f t="shared" si="1"/>
        <v>428</v>
      </c>
      <c r="B429" s="9" t="s">
        <v>3425</v>
      </c>
      <c r="C429" s="10">
        <v>39.349977</v>
      </c>
      <c r="D429" s="10">
        <v>-76.610075</v>
      </c>
      <c r="E429" s="9" t="s">
        <v>3426</v>
      </c>
      <c r="F429" s="9" t="s">
        <v>3427</v>
      </c>
      <c r="G429" s="9" t="s">
        <v>3428</v>
      </c>
      <c r="H429" s="9" t="s">
        <v>3216</v>
      </c>
      <c r="I429" s="9" t="s">
        <v>91</v>
      </c>
      <c r="J429" s="9" t="s">
        <v>3429</v>
      </c>
      <c r="K429" s="12" t="s">
        <v>3430</v>
      </c>
      <c r="L429" s="9" t="s">
        <v>3431</v>
      </c>
      <c r="M429" s="9">
        <v>75.41184779</v>
      </c>
      <c r="N429" s="10">
        <v>70.9469994</v>
      </c>
      <c r="O429" s="10" t="s">
        <v>3432</v>
      </c>
      <c r="P429" s="9">
        <v>9082026.0</v>
      </c>
      <c r="Q429" s="7" t="str">
        <f>IF(OR(ISBLANK(M429), ISBLANK(N429)), "", IF(N429 &lt; Sheet3!$B$6, "Insufficient Reviews", IF(M429 &gt;= Sheet3!$B$2, "Highly Reliable", IF(M429 &gt;= Sheet3!$B$3, "Reliable", IF(M429 &gt;= Sheet3!$B$4, "Mixed Reviews", "Low Reliability")))))</f>
        <v>Reliable</v>
      </c>
    </row>
    <row r="430">
      <c r="A430" s="3">
        <f t="shared" si="1"/>
        <v>429</v>
      </c>
      <c r="B430" s="9" t="s">
        <v>3433</v>
      </c>
      <c r="C430" s="10">
        <v>39.417583</v>
      </c>
      <c r="D430" s="10">
        <v>-76.731871</v>
      </c>
      <c r="E430" s="9" t="s">
        <v>3434</v>
      </c>
      <c r="F430" s="9" t="s">
        <v>3435</v>
      </c>
      <c r="G430" s="9" t="s">
        <v>3436</v>
      </c>
      <c r="H430" s="9" t="s">
        <v>3437</v>
      </c>
      <c r="I430" s="9" t="s">
        <v>35</v>
      </c>
      <c r="J430" s="9" t="s">
        <v>3438</v>
      </c>
      <c r="K430" s="12" t="s">
        <v>3439</v>
      </c>
      <c r="L430" s="9" t="s">
        <v>3440</v>
      </c>
      <c r="M430" s="9">
        <v>18.0</v>
      </c>
      <c r="N430" s="10">
        <v>54.55</v>
      </c>
      <c r="O430" s="10" t="s">
        <v>3441</v>
      </c>
      <c r="P430" s="9">
        <v>9082026.0</v>
      </c>
      <c r="Q430" s="7" t="str">
        <f>IF(OR(ISBLANK(M430), ISBLANK(N430)), "", IF(N430 &lt; Sheet3!$B$6, "Insufficient Reviews", IF(M430 &gt;= Sheet3!$B$2, "Highly Reliable", IF(M430 &gt;= Sheet3!$B$3, "Reliable", IF(M430 &gt;= Sheet3!$B$4, "Mixed Reviews", "Low Reliability")))))</f>
        <v>Low Reliability</v>
      </c>
    </row>
    <row r="431">
      <c r="A431" s="3">
        <f t="shared" si="1"/>
        <v>430</v>
      </c>
      <c r="B431" s="9" t="s">
        <v>3354</v>
      </c>
      <c r="C431" s="10">
        <v>39.2906543</v>
      </c>
      <c r="D431" s="10">
        <v>-76.5469499</v>
      </c>
      <c r="E431" s="9" t="s">
        <v>3442</v>
      </c>
      <c r="F431" s="9" t="s">
        <v>3443</v>
      </c>
      <c r="G431" s="9"/>
      <c r="H431" s="9" t="s">
        <v>135</v>
      </c>
      <c r="I431" s="9" t="s">
        <v>91</v>
      </c>
      <c r="J431" s="9" t="s">
        <v>3444</v>
      </c>
      <c r="K431" s="9"/>
      <c r="L431" s="9" t="s">
        <v>3445</v>
      </c>
      <c r="M431" s="9">
        <v>56.92675326</v>
      </c>
      <c r="N431" s="10">
        <v>54.8150846</v>
      </c>
      <c r="O431" s="10" t="s">
        <v>3446</v>
      </c>
      <c r="P431" s="9">
        <v>9082026.0</v>
      </c>
      <c r="Q431" s="7" t="str">
        <f>IF(OR(ISBLANK(M431), ISBLANK(N431)), "", IF(N431 &lt; Sheet3!$B$6, "Insufficient Reviews", IF(M431 &gt;= Sheet3!$B$2, "Highly Reliable", IF(M431 &gt;= Sheet3!$B$3, "Reliable", IF(M431 &gt;= Sheet3!$B$4, "Mixed Reviews", "Low Reliability")))))</f>
        <v>Low Reliability</v>
      </c>
    </row>
    <row r="432">
      <c r="A432" s="3">
        <f t="shared" si="1"/>
        <v>431</v>
      </c>
      <c r="B432" s="9" t="s">
        <v>3447</v>
      </c>
      <c r="C432" s="10">
        <v>39.2972516</v>
      </c>
      <c r="D432" s="10">
        <v>-76.5922096</v>
      </c>
      <c r="E432" s="9" t="s">
        <v>3448</v>
      </c>
      <c r="F432" s="9" t="s">
        <v>3449</v>
      </c>
      <c r="G432" s="9" t="s">
        <v>3450</v>
      </c>
      <c r="H432" s="9"/>
      <c r="I432" s="9" t="s">
        <v>27</v>
      </c>
      <c r="J432" s="9" t="s">
        <v>3451</v>
      </c>
      <c r="K432" s="12" t="s">
        <v>3452</v>
      </c>
      <c r="L432" s="9" t="s">
        <v>3453</v>
      </c>
      <c r="M432" s="9">
        <v>57.51401055</v>
      </c>
      <c r="N432" s="10">
        <v>77.09704224</v>
      </c>
      <c r="O432" s="10" t="s">
        <v>3454</v>
      </c>
      <c r="P432" s="9">
        <v>9082026.0</v>
      </c>
      <c r="Q432" s="7" t="str">
        <f>IF(OR(ISBLANK(M432), ISBLANK(N432)), "", IF(N432 &lt; Sheet3!$B$6, "Insufficient Reviews", IF(M432 &gt;= Sheet3!$B$2, "Highly Reliable", IF(M432 &gt;= Sheet3!$B$3, "Reliable", IF(M432 &gt;= Sheet3!$B$4, "Mixed Reviews", "Low Reliability")))))</f>
        <v>Low Reliability</v>
      </c>
    </row>
    <row r="433">
      <c r="A433" s="3">
        <f t="shared" si="1"/>
        <v>432</v>
      </c>
      <c r="B433" s="9" t="s">
        <v>3455</v>
      </c>
      <c r="C433" s="10">
        <v>39.2968401</v>
      </c>
      <c r="D433" s="10">
        <v>-76.614763</v>
      </c>
      <c r="E433" s="9" t="s">
        <v>3456</v>
      </c>
      <c r="F433" s="9" t="s">
        <v>3457</v>
      </c>
      <c r="G433" s="9" t="s">
        <v>3458</v>
      </c>
      <c r="H433" s="9" t="s">
        <v>3459</v>
      </c>
      <c r="I433" s="9" t="s">
        <v>203</v>
      </c>
      <c r="J433" s="9" t="s">
        <v>3460</v>
      </c>
      <c r="K433" s="12" t="s">
        <v>3461</v>
      </c>
      <c r="L433" s="9" t="s">
        <v>3462</v>
      </c>
      <c r="M433" s="9">
        <v>84.31927347</v>
      </c>
      <c r="N433" s="10">
        <v>73.64873797</v>
      </c>
      <c r="O433" s="10" t="s">
        <v>3463</v>
      </c>
      <c r="P433" s="9">
        <v>9082026.0</v>
      </c>
      <c r="Q433" s="7" t="str">
        <f>IF(OR(ISBLANK(M433), ISBLANK(N433)), "", IF(N433 &lt; Sheet3!$B$6, "Insufficient Reviews", IF(M433 &gt;= Sheet3!$B$2, "Highly Reliable", IF(M433 &gt;= Sheet3!$B$3, "Reliable", IF(M433 &gt;= Sheet3!$B$4, "Mixed Reviews", "Low Reliability")))))</f>
        <v>Highly Reliable</v>
      </c>
    </row>
    <row r="434">
      <c r="A434" s="3">
        <f t="shared" si="1"/>
        <v>433</v>
      </c>
      <c r="B434" s="9" t="s">
        <v>3464</v>
      </c>
      <c r="C434" s="10">
        <v>39.3375847</v>
      </c>
      <c r="D434" s="10">
        <v>-76.6706432</v>
      </c>
      <c r="E434" s="9" t="s">
        <v>3465</v>
      </c>
      <c r="F434" s="9" t="s">
        <v>3466</v>
      </c>
      <c r="G434" s="9"/>
      <c r="H434" s="11"/>
      <c r="I434" s="9" t="s">
        <v>91</v>
      </c>
      <c r="J434" s="9" t="s">
        <v>3467</v>
      </c>
      <c r="K434" s="9"/>
      <c r="L434" s="9" t="s">
        <v>3468</v>
      </c>
      <c r="M434" s="9">
        <v>7.5</v>
      </c>
      <c r="N434" s="10">
        <v>16.44166667</v>
      </c>
      <c r="O434" s="10" t="s">
        <v>2456</v>
      </c>
      <c r="P434" s="9">
        <v>9082026.0</v>
      </c>
      <c r="Q434" s="7" t="str">
        <f>IF(OR(ISBLANK(M434), ISBLANK(N434)), "", IF(N434 &lt; Sheet3!$B$6, "Insufficient Reviews", IF(M434 &gt;= Sheet3!$B$2, "Highly Reliable", IF(M434 &gt;= Sheet3!$B$3, "Reliable", IF(M434 &gt;= Sheet3!$B$4, "Mixed Reviews", "Low Reliability")))))</f>
        <v>Insufficient Reviews</v>
      </c>
    </row>
    <row r="435">
      <c r="A435" s="3">
        <f t="shared" si="1"/>
        <v>434</v>
      </c>
      <c r="B435" s="9" t="s">
        <v>3469</v>
      </c>
      <c r="C435" s="10">
        <v>39.3043791</v>
      </c>
      <c r="D435" s="10">
        <v>-76.6088928</v>
      </c>
      <c r="E435" s="9" t="s">
        <v>3470</v>
      </c>
      <c r="F435" s="9" t="s">
        <v>3471</v>
      </c>
      <c r="G435" s="9" t="s">
        <v>3472</v>
      </c>
      <c r="H435" s="9"/>
      <c r="I435" s="9" t="s">
        <v>81</v>
      </c>
      <c r="J435" s="9" t="s">
        <v>3473</v>
      </c>
      <c r="K435" s="12" t="s">
        <v>3474</v>
      </c>
      <c r="L435" s="9" t="s">
        <v>3475</v>
      </c>
      <c r="M435" s="9">
        <v>69.8114969</v>
      </c>
      <c r="N435" s="10">
        <v>57.79033076</v>
      </c>
      <c r="O435" s="10" t="s">
        <v>3476</v>
      </c>
      <c r="P435" s="9">
        <v>9082026.0</v>
      </c>
      <c r="Q435" s="7" t="str">
        <f>IF(OR(ISBLANK(M435), ISBLANK(N435)), "", IF(N435 &lt; Sheet3!$B$6, "Insufficient Reviews", IF(M435 &gt;= Sheet3!$B$2, "Highly Reliable", IF(M435 &gt;= Sheet3!$B$3, "Reliable", IF(M435 &gt;= Sheet3!$B$4, "Mixed Reviews", "Low Reliability")))))</f>
        <v>Mixed Reviews</v>
      </c>
    </row>
    <row r="436">
      <c r="A436" s="3">
        <f t="shared" si="1"/>
        <v>435</v>
      </c>
      <c r="B436" s="9" t="s">
        <v>3477</v>
      </c>
      <c r="C436" s="10">
        <v>39.3548608</v>
      </c>
      <c r="D436" s="10">
        <v>-76.5308483</v>
      </c>
      <c r="E436" s="9" t="s">
        <v>3478</v>
      </c>
      <c r="F436" s="9" t="s">
        <v>3479</v>
      </c>
      <c r="G436" s="9"/>
      <c r="H436" s="9" t="s">
        <v>3480</v>
      </c>
      <c r="I436" s="9" t="s">
        <v>91</v>
      </c>
      <c r="J436" s="9" t="s">
        <v>3481</v>
      </c>
      <c r="K436" s="9"/>
      <c r="L436" s="9" t="s">
        <v>3482</v>
      </c>
      <c r="M436" s="9">
        <v>70.63630514</v>
      </c>
      <c r="N436" s="10">
        <v>43.31842363</v>
      </c>
      <c r="O436" s="10" t="s">
        <v>3483</v>
      </c>
      <c r="P436" s="9">
        <v>9082026.0</v>
      </c>
      <c r="Q436" s="7" t="str">
        <f>IF(OR(ISBLANK(M436), ISBLANK(N436)), "", IF(N436 &lt; Sheet3!$B$6, "Insufficient Reviews", IF(M436 &gt;= Sheet3!$B$2, "Highly Reliable", IF(M436 &gt;= Sheet3!$B$3, "Reliable", IF(M436 &gt;= Sheet3!$B$4, "Mixed Reviews", "Low Reliability")))))</f>
        <v>Reliable</v>
      </c>
    </row>
    <row r="437">
      <c r="A437" s="3">
        <f t="shared" si="1"/>
        <v>436</v>
      </c>
      <c r="B437" s="9" t="s">
        <v>3484</v>
      </c>
      <c r="C437" s="10">
        <v>39.3940673</v>
      </c>
      <c r="D437" s="10">
        <v>-76.4246907</v>
      </c>
      <c r="E437" s="9" t="s">
        <v>3485</v>
      </c>
      <c r="F437" s="9" t="s">
        <v>3486</v>
      </c>
      <c r="G437" s="9" t="s">
        <v>3487</v>
      </c>
      <c r="H437" s="9" t="s">
        <v>3488</v>
      </c>
      <c r="I437" s="9" t="s">
        <v>81</v>
      </c>
      <c r="J437" s="9" t="s">
        <v>3489</v>
      </c>
      <c r="K437" s="12" t="s">
        <v>3490</v>
      </c>
      <c r="L437" s="9" t="s">
        <v>3491</v>
      </c>
      <c r="M437" s="9">
        <v>64.86042133</v>
      </c>
      <c r="N437" s="10">
        <v>56.42190027</v>
      </c>
      <c r="O437" s="10" t="s">
        <v>3492</v>
      </c>
      <c r="P437" s="9">
        <v>9082026.0</v>
      </c>
      <c r="Q437" s="7" t="str">
        <f>IF(OR(ISBLANK(M437), ISBLANK(N437)), "", IF(N437 &lt; Sheet3!$B$6, "Insufficient Reviews", IF(M437 &gt;= Sheet3!$B$2, "Highly Reliable", IF(M437 &gt;= Sheet3!$B$3, "Reliable", IF(M437 &gt;= Sheet3!$B$4, "Mixed Reviews", "Low Reliability")))))</f>
        <v>Mixed Reviews</v>
      </c>
    </row>
    <row r="438">
      <c r="A438" s="3">
        <f t="shared" si="1"/>
        <v>437</v>
      </c>
      <c r="B438" s="9" t="s">
        <v>3493</v>
      </c>
      <c r="C438" s="10">
        <v>39.3523544</v>
      </c>
      <c r="D438" s="10">
        <v>-76.5639977</v>
      </c>
      <c r="E438" s="9" t="s">
        <v>3494</v>
      </c>
      <c r="F438" s="9" t="s">
        <v>3495</v>
      </c>
      <c r="G438" s="11"/>
      <c r="H438" s="9" t="s">
        <v>135</v>
      </c>
      <c r="I438" s="9" t="s">
        <v>81</v>
      </c>
      <c r="J438" s="9" t="s">
        <v>3496</v>
      </c>
      <c r="K438" s="9"/>
      <c r="L438" s="9" t="s">
        <v>3497</v>
      </c>
      <c r="M438" s="9">
        <v>12.0</v>
      </c>
      <c r="N438" s="10">
        <v>16.38166667</v>
      </c>
      <c r="O438" s="10" t="s">
        <v>2895</v>
      </c>
      <c r="P438" s="9">
        <v>9082026.0</v>
      </c>
      <c r="Q438" s="7" t="str">
        <f>IF(OR(ISBLANK(M438), ISBLANK(N438)), "", IF(N438 &lt; Sheet3!$B$6, "Insufficient Reviews", IF(M438 &gt;= Sheet3!$B$2, "Highly Reliable", IF(M438 &gt;= Sheet3!$B$3, "Reliable", IF(M438 &gt;= Sheet3!$B$4, "Mixed Reviews", "Low Reliability")))))</f>
        <v>Insufficient Reviews</v>
      </c>
    </row>
    <row r="439">
      <c r="A439" s="3">
        <f t="shared" si="1"/>
        <v>438</v>
      </c>
      <c r="B439" s="9" t="s">
        <v>3498</v>
      </c>
      <c r="C439" s="10">
        <v>39.3493073</v>
      </c>
      <c r="D439" s="10">
        <v>-76.6089807</v>
      </c>
      <c r="E439" s="9" t="s">
        <v>3499</v>
      </c>
      <c r="F439" s="9" t="s">
        <v>3500</v>
      </c>
      <c r="G439" s="9" t="s">
        <v>3501</v>
      </c>
      <c r="H439" s="9" t="s">
        <v>126</v>
      </c>
      <c r="I439" s="9" t="s">
        <v>81</v>
      </c>
      <c r="J439" s="9" t="s">
        <v>3502</v>
      </c>
      <c r="K439" s="9"/>
      <c r="L439" s="9" t="s">
        <v>3503</v>
      </c>
      <c r="M439" s="9">
        <v>78.18510513</v>
      </c>
      <c r="N439" s="10">
        <v>49.2140727</v>
      </c>
      <c r="O439" s="10" t="s">
        <v>3504</v>
      </c>
      <c r="P439" s="9">
        <v>9082026.0</v>
      </c>
      <c r="Q439" s="7" t="str">
        <f>IF(OR(ISBLANK(M439), ISBLANK(N439)), "", IF(N439 &lt; Sheet3!$B$6, "Insufficient Reviews", IF(M439 &gt;= Sheet3!$B$2, "Highly Reliable", IF(M439 &gt;= Sheet3!$B$3, "Reliable", IF(M439 &gt;= Sheet3!$B$4, "Mixed Reviews", "Low Reliability")))))</f>
        <v>Reliable</v>
      </c>
    </row>
    <row r="440">
      <c r="A440" s="3">
        <f t="shared" si="1"/>
        <v>439</v>
      </c>
      <c r="B440" s="9" t="s">
        <v>3505</v>
      </c>
      <c r="C440" s="10">
        <v>39.2381263</v>
      </c>
      <c r="D440" s="10">
        <v>-76.6561255</v>
      </c>
      <c r="E440" s="9" t="s">
        <v>3506</v>
      </c>
      <c r="F440" s="9" t="s">
        <v>3507</v>
      </c>
      <c r="G440" s="9" t="s">
        <v>3508</v>
      </c>
      <c r="H440" s="9" t="s">
        <v>26</v>
      </c>
      <c r="I440" s="9" t="s">
        <v>81</v>
      </c>
      <c r="J440" s="9" t="s">
        <v>3509</v>
      </c>
      <c r="K440" s="12" t="s">
        <v>2241</v>
      </c>
      <c r="L440" s="9" t="s">
        <v>3510</v>
      </c>
      <c r="M440" s="9">
        <v>85.8804526</v>
      </c>
      <c r="N440" s="10">
        <v>65.28807777</v>
      </c>
      <c r="O440" s="10" t="s">
        <v>3511</v>
      </c>
      <c r="P440" s="9">
        <v>9082026.0</v>
      </c>
      <c r="Q440" s="7" t="str">
        <f>IF(OR(ISBLANK(M440), ISBLANK(N440)), "", IF(N440 &lt; Sheet3!$B$6, "Insufficient Reviews", IF(M440 &gt;= Sheet3!$B$2, "Highly Reliable", IF(M440 &gt;= Sheet3!$B$3, "Reliable", IF(M440 &gt;= Sheet3!$B$4, "Mixed Reviews", "Low Reliability")))))</f>
        <v>Highly Reliable</v>
      </c>
    </row>
    <row r="441">
      <c r="A441" s="3">
        <f t="shared" si="1"/>
        <v>440</v>
      </c>
      <c r="B441" s="9" t="s">
        <v>3512</v>
      </c>
      <c r="C441" s="10">
        <v>39.3381538</v>
      </c>
      <c r="D441" s="10">
        <v>-76.6293716</v>
      </c>
      <c r="E441" s="9" t="s">
        <v>3513</v>
      </c>
      <c r="F441" s="9" t="s">
        <v>3514</v>
      </c>
      <c r="G441" s="9" t="s">
        <v>3515</v>
      </c>
      <c r="H441" s="9" t="s">
        <v>135</v>
      </c>
      <c r="I441" s="9" t="s">
        <v>91</v>
      </c>
      <c r="J441" s="9" t="s">
        <v>3516</v>
      </c>
      <c r="K441" s="12" t="s">
        <v>3517</v>
      </c>
      <c r="L441" s="9" t="s">
        <v>3518</v>
      </c>
      <c r="M441" s="9">
        <v>73.00022335</v>
      </c>
      <c r="N441" s="10">
        <v>92.12791478</v>
      </c>
      <c r="O441" s="10" t="s">
        <v>3519</v>
      </c>
      <c r="P441" s="9">
        <v>9082026.0</v>
      </c>
      <c r="Q441" s="7" t="str">
        <f>IF(OR(ISBLANK(M441), ISBLANK(N441)), "", IF(N441 &lt; Sheet3!$B$6, "Insufficient Reviews", IF(M441 &gt;= Sheet3!$B$2, "Highly Reliable", IF(M441 &gt;= Sheet3!$B$3, "Reliable", IF(M441 &gt;= Sheet3!$B$4, "Mixed Reviews", "Low Reliability")))))</f>
        <v>Reliable</v>
      </c>
    </row>
    <row r="442">
      <c r="A442" s="3">
        <f t="shared" si="1"/>
        <v>441</v>
      </c>
      <c r="B442" s="9" t="s">
        <v>3520</v>
      </c>
      <c r="C442" s="10">
        <v>39.2799978</v>
      </c>
      <c r="D442" s="10">
        <v>-76.7550049</v>
      </c>
      <c r="E442" s="9" t="s">
        <v>3521</v>
      </c>
      <c r="F442" s="9" t="s">
        <v>3522</v>
      </c>
      <c r="G442" s="9" t="s">
        <v>3523</v>
      </c>
      <c r="H442" s="9" t="s">
        <v>3524</v>
      </c>
      <c r="I442" s="9" t="s">
        <v>44</v>
      </c>
      <c r="J442" s="9" t="s">
        <v>3525</v>
      </c>
      <c r="K442" s="12" t="s">
        <v>3526</v>
      </c>
      <c r="L442" s="9" t="s">
        <v>3527</v>
      </c>
      <c r="M442" s="9">
        <v>49.24755305</v>
      </c>
      <c r="N442" s="10">
        <v>62.35263242</v>
      </c>
      <c r="O442" s="10" t="s">
        <v>3528</v>
      </c>
      <c r="P442" s="9">
        <v>9082026.0</v>
      </c>
      <c r="Q442" s="7" t="str">
        <f>IF(OR(ISBLANK(M442), ISBLANK(N442)), "", IF(N442 &lt; Sheet3!$B$6, "Insufficient Reviews", IF(M442 &gt;= Sheet3!$B$2, "Highly Reliable", IF(M442 &gt;= Sheet3!$B$3, "Reliable", IF(M442 &gt;= Sheet3!$B$4, "Mixed Reviews", "Low Reliability")))))</f>
        <v>Low Reliability</v>
      </c>
    </row>
    <row r="443">
      <c r="A443" s="3">
        <f t="shared" si="1"/>
        <v>442</v>
      </c>
      <c r="B443" s="9" t="s">
        <v>3529</v>
      </c>
      <c r="C443" s="10">
        <v>39.3644145</v>
      </c>
      <c r="D443" s="10">
        <v>-76.7172111</v>
      </c>
      <c r="E443" s="9" t="s">
        <v>3530</v>
      </c>
      <c r="F443" s="9" t="s">
        <v>3531</v>
      </c>
      <c r="G443" s="9"/>
      <c r="H443" s="9" t="s">
        <v>2035</v>
      </c>
      <c r="I443" s="9" t="s">
        <v>91</v>
      </c>
      <c r="J443" s="9" t="s">
        <v>3532</v>
      </c>
      <c r="K443" s="12" t="s">
        <v>3533</v>
      </c>
      <c r="L443" s="9" t="s">
        <v>3534</v>
      </c>
      <c r="M443" s="9">
        <v>78.90998379</v>
      </c>
      <c r="N443" s="10">
        <v>70.95300643</v>
      </c>
      <c r="O443" s="10" t="s">
        <v>3535</v>
      </c>
      <c r="P443" s="9">
        <v>9082026.0</v>
      </c>
      <c r="Q443" s="7" t="str">
        <f>IF(OR(ISBLANK(M443), ISBLANK(N443)), "", IF(N443 &lt; Sheet3!$B$6, "Insufficient Reviews", IF(M443 &gt;= Sheet3!$B$2, "Highly Reliable", IF(M443 &gt;= Sheet3!$B$3, "Reliable", IF(M443 &gt;= Sheet3!$B$4, "Mixed Reviews", "Low Reliability")))))</f>
        <v>Reliable</v>
      </c>
    </row>
    <row r="444">
      <c r="A444" s="3">
        <f t="shared" si="1"/>
        <v>443</v>
      </c>
      <c r="B444" s="9" t="s">
        <v>3536</v>
      </c>
      <c r="C444" s="10">
        <v>39.2964499</v>
      </c>
      <c r="D444" s="10">
        <v>-76.6032879</v>
      </c>
      <c r="E444" s="9" t="s">
        <v>3537</v>
      </c>
      <c r="F444" s="9" t="s">
        <v>3538</v>
      </c>
      <c r="G444" s="9" t="s">
        <v>3539</v>
      </c>
      <c r="H444" s="9" t="s">
        <v>3540</v>
      </c>
      <c r="I444" s="9" t="s">
        <v>91</v>
      </c>
      <c r="J444" s="9" t="s">
        <v>3541</v>
      </c>
      <c r="K444" s="12" t="s">
        <v>3542</v>
      </c>
      <c r="L444" s="9" t="s">
        <v>3543</v>
      </c>
      <c r="M444" s="9">
        <v>61.11591577</v>
      </c>
      <c r="N444" s="10">
        <v>55.31655936</v>
      </c>
      <c r="O444" s="10" t="s">
        <v>3544</v>
      </c>
      <c r="P444" s="9">
        <v>9082026.0</v>
      </c>
      <c r="Q444" s="7" t="str">
        <f>IF(OR(ISBLANK(M444), ISBLANK(N444)), "", IF(N444 &lt; Sheet3!$B$6, "Insufficient Reviews", IF(M444 &gt;= Sheet3!$B$2, "Highly Reliable", IF(M444 &gt;= Sheet3!$B$3, "Reliable", IF(M444 &gt;= Sheet3!$B$4, "Mixed Reviews", "Low Reliability")))))</f>
        <v>Mixed Reviews</v>
      </c>
    </row>
    <row r="445">
      <c r="A445" s="3">
        <f t="shared" si="1"/>
        <v>444</v>
      </c>
      <c r="B445" s="9" t="s">
        <v>3545</v>
      </c>
      <c r="C445" s="10">
        <v>39.3709314</v>
      </c>
      <c r="D445" s="10">
        <v>-76.5819798</v>
      </c>
      <c r="E445" s="9" t="s">
        <v>3546</v>
      </c>
      <c r="F445" s="9" t="s">
        <v>3547</v>
      </c>
      <c r="G445" s="9" t="s">
        <v>3548</v>
      </c>
      <c r="H445" s="9"/>
      <c r="I445" s="9" t="s">
        <v>81</v>
      </c>
      <c r="J445" s="9" t="s">
        <v>3549</v>
      </c>
      <c r="K445" s="9"/>
      <c r="L445" s="9" t="s">
        <v>3550</v>
      </c>
      <c r="M445" s="9">
        <v>10.5</v>
      </c>
      <c r="N445" s="10">
        <v>16.33666667</v>
      </c>
      <c r="O445" s="10" t="s">
        <v>2895</v>
      </c>
      <c r="P445" s="9">
        <v>9082026.0</v>
      </c>
      <c r="Q445" s="7" t="str">
        <f>IF(OR(ISBLANK(M445), ISBLANK(N445)), "", IF(N445 &lt; Sheet3!$B$6, "Insufficient Reviews", IF(M445 &gt;= Sheet3!$B$2, "Highly Reliable", IF(M445 &gt;= Sheet3!$B$3, "Reliable", IF(M445 &gt;= Sheet3!$B$4, "Mixed Reviews", "Low Reliability")))))</f>
        <v>Insufficient Reviews</v>
      </c>
    </row>
    <row r="446">
      <c r="A446" s="3">
        <f t="shared" si="1"/>
        <v>445</v>
      </c>
      <c r="B446" s="9" t="s">
        <v>3551</v>
      </c>
      <c r="C446" s="10">
        <v>39.307518</v>
      </c>
      <c r="D446" s="10">
        <v>-76.579576</v>
      </c>
      <c r="E446" s="9" t="s">
        <v>3552</v>
      </c>
      <c r="F446" s="9" t="s">
        <v>3553</v>
      </c>
      <c r="G446" s="9" t="s">
        <v>3554</v>
      </c>
      <c r="H446" s="9"/>
      <c r="I446" s="9" t="s">
        <v>81</v>
      </c>
      <c r="J446" s="9" t="s">
        <v>3555</v>
      </c>
      <c r="K446" s="12" t="s">
        <v>3556</v>
      </c>
      <c r="L446" s="9" t="s">
        <v>3557</v>
      </c>
      <c r="M446" s="9">
        <v>61.31120233</v>
      </c>
      <c r="N446" s="10">
        <v>53.72391131</v>
      </c>
      <c r="O446" s="10" t="s">
        <v>3558</v>
      </c>
      <c r="P446" s="9">
        <v>9082026.0</v>
      </c>
      <c r="Q446" s="7" t="str">
        <f>IF(OR(ISBLANK(M446), ISBLANK(N446)), "", IF(N446 &lt; Sheet3!$B$6, "Insufficient Reviews", IF(M446 &gt;= Sheet3!$B$2, "Highly Reliable", IF(M446 &gt;= Sheet3!$B$3, "Reliable", IF(M446 &gt;= Sheet3!$B$4, "Mixed Reviews", "Low Reliability")))))</f>
        <v>Mixed Reviews</v>
      </c>
    </row>
    <row r="447">
      <c r="A447" s="3">
        <f t="shared" si="1"/>
        <v>446</v>
      </c>
      <c r="B447" s="9" t="s">
        <v>3559</v>
      </c>
      <c r="C447" s="10">
        <v>39.2840673</v>
      </c>
      <c r="D447" s="10">
        <v>-76.5910225</v>
      </c>
      <c r="E447" s="9" t="s">
        <v>3560</v>
      </c>
      <c r="F447" s="9" t="s">
        <v>3561</v>
      </c>
      <c r="G447" s="9" t="s">
        <v>3562</v>
      </c>
      <c r="H447" s="9"/>
      <c r="I447" s="9" t="s">
        <v>81</v>
      </c>
      <c r="J447" s="9" t="s">
        <v>3563</v>
      </c>
      <c r="K447" s="12" t="s">
        <v>3564</v>
      </c>
      <c r="L447" s="9" t="s">
        <v>3565</v>
      </c>
      <c r="M447" s="9">
        <v>70.42530642</v>
      </c>
      <c r="N447" s="10">
        <v>74.52420129</v>
      </c>
      <c r="O447" s="10" t="s">
        <v>3566</v>
      </c>
      <c r="P447" s="9">
        <v>9082026.0</v>
      </c>
      <c r="Q447" s="7" t="str">
        <f>IF(OR(ISBLANK(M447), ISBLANK(N447)), "", IF(N447 &lt; Sheet3!$B$6, "Insufficient Reviews", IF(M447 &gt;= Sheet3!$B$2, "Highly Reliable", IF(M447 &gt;= Sheet3!$B$3, "Reliable", IF(M447 &gt;= Sheet3!$B$4, "Mixed Reviews", "Low Reliability")))))</f>
        <v>Reliable</v>
      </c>
    </row>
    <row r="448">
      <c r="A448" s="3">
        <f t="shared" si="1"/>
        <v>447</v>
      </c>
      <c r="B448" s="9" t="s">
        <v>3567</v>
      </c>
      <c r="C448" s="10">
        <v>39.3544594</v>
      </c>
      <c r="D448" s="10">
        <v>-76.6644344</v>
      </c>
      <c r="E448" s="9" t="s">
        <v>3568</v>
      </c>
      <c r="F448" s="9" t="s">
        <v>3569</v>
      </c>
      <c r="G448" s="9" t="s">
        <v>3570</v>
      </c>
      <c r="H448" s="9" t="s">
        <v>135</v>
      </c>
      <c r="I448" s="9" t="s">
        <v>91</v>
      </c>
      <c r="J448" s="9" t="s">
        <v>3571</v>
      </c>
      <c r="K448" s="12" t="s">
        <v>3572</v>
      </c>
      <c r="L448" s="9" t="s">
        <v>3573</v>
      </c>
      <c r="M448" s="9">
        <v>59.85041374</v>
      </c>
      <c r="N448" s="10">
        <v>91.86928855</v>
      </c>
      <c r="O448" s="10" t="s">
        <v>3574</v>
      </c>
      <c r="P448" s="9">
        <v>9082026.0</v>
      </c>
      <c r="Q448" s="7" t="str">
        <f>IF(OR(ISBLANK(M448), ISBLANK(N448)), "", IF(N448 &lt; Sheet3!$B$6, "Insufficient Reviews", IF(M448 &gt;= Sheet3!$B$2, "Highly Reliable", IF(M448 &gt;= Sheet3!$B$3, "Reliable", IF(M448 &gt;= Sheet3!$B$4, "Mixed Reviews", "Low Reliability")))))</f>
        <v>Low Reliability</v>
      </c>
    </row>
    <row r="449">
      <c r="A449" s="3">
        <f t="shared" si="1"/>
        <v>448</v>
      </c>
      <c r="B449" s="9" t="s">
        <v>3575</v>
      </c>
      <c r="C449" s="10">
        <v>39.3202481</v>
      </c>
      <c r="D449" s="10">
        <v>-76.6570782</v>
      </c>
      <c r="E449" s="9" t="s">
        <v>3576</v>
      </c>
      <c r="F449" s="9" t="s">
        <v>3577</v>
      </c>
      <c r="G449" s="9" t="s">
        <v>3578</v>
      </c>
      <c r="H449" s="9" t="s">
        <v>303</v>
      </c>
      <c r="I449" s="9" t="s">
        <v>81</v>
      </c>
      <c r="J449" s="9" t="s">
        <v>3579</v>
      </c>
      <c r="K449" s="12" t="s">
        <v>3580</v>
      </c>
      <c r="L449" s="9" t="s">
        <v>3581</v>
      </c>
      <c r="M449" s="9">
        <v>73.82964763</v>
      </c>
      <c r="N449" s="10">
        <v>66.93307398</v>
      </c>
      <c r="O449" s="10" t="s">
        <v>3582</v>
      </c>
      <c r="P449" s="9">
        <v>9082026.0</v>
      </c>
      <c r="Q449" s="7" t="str">
        <f>IF(OR(ISBLANK(M449), ISBLANK(N449)), "", IF(N449 &lt; Sheet3!$B$6, "Insufficient Reviews", IF(M449 &gt;= Sheet3!$B$2, "Highly Reliable", IF(M449 &gt;= Sheet3!$B$3, "Reliable", IF(M449 &gt;= Sheet3!$B$4, "Mixed Reviews", "Low Reliability")))))</f>
        <v>Reliable</v>
      </c>
    </row>
    <row r="450">
      <c r="A450" s="3">
        <f t="shared" si="1"/>
        <v>449</v>
      </c>
      <c r="B450" s="9" t="s">
        <v>3583</v>
      </c>
      <c r="C450" s="10">
        <v>39.2863441</v>
      </c>
      <c r="D450" s="10">
        <v>-76.5668447</v>
      </c>
      <c r="E450" s="9" t="s">
        <v>3584</v>
      </c>
      <c r="F450" s="9" t="s">
        <v>3585</v>
      </c>
      <c r="G450" s="9" t="s">
        <v>3586</v>
      </c>
      <c r="H450" s="9" t="s">
        <v>171</v>
      </c>
      <c r="I450" s="9" t="s">
        <v>35</v>
      </c>
      <c r="J450" s="9" t="s">
        <v>3587</v>
      </c>
      <c r="K450" s="12" t="s">
        <v>3588</v>
      </c>
      <c r="L450" s="9" t="s">
        <v>3589</v>
      </c>
      <c r="M450" s="9">
        <v>82.36877932</v>
      </c>
      <c r="N450" s="10">
        <v>73.60083408</v>
      </c>
      <c r="O450" s="10" t="s">
        <v>3590</v>
      </c>
      <c r="P450" s="9">
        <v>9082026.0</v>
      </c>
      <c r="Q450" s="7" t="str">
        <f>IF(OR(ISBLANK(M450), ISBLANK(N450)), "", IF(N450 &lt; Sheet3!$B$6, "Insufficient Reviews", IF(M450 &gt;= Sheet3!$B$2, "Highly Reliable", IF(M450 &gt;= Sheet3!$B$3, "Reliable", IF(M450 &gt;= Sheet3!$B$4, "Mixed Reviews", "Low Reliability")))))</f>
        <v>Highly Reliable</v>
      </c>
    </row>
    <row r="451">
      <c r="A451" s="3">
        <f t="shared" si="1"/>
        <v>450</v>
      </c>
      <c r="B451" s="9" t="s">
        <v>3591</v>
      </c>
      <c r="C451" s="10">
        <v>39.2818593</v>
      </c>
      <c r="D451" s="10">
        <v>-76.7690651</v>
      </c>
      <c r="E451" s="9" t="s">
        <v>3592</v>
      </c>
      <c r="F451" s="9" t="s">
        <v>3593</v>
      </c>
      <c r="G451" s="9" t="s">
        <v>3594</v>
      </c>
      <c r="H451" s="9" t="s">
        <v>53</v>
      </c>
      <c r="I451" s="9" t="s">
        <v>81</v>
      </c>
      <c r="J451" s="9" t="s">
        <v>3595</v>
      </c>
      <c r="K451" s="12" t="s">
        <v>3596</v>
      </c>
      <c r="L451" s="9" t="s">
        <v>3597</v>
      </c>
      <c r="M451" s="9">
        <v>80.14812277</v>
      </c>
      <c r="N451" s="10">
        <v>47.33491649</v>
      </c>
      <c r="O451" s="10" t="s">
        <v>3598</v>
      </c>
      <c r="P451" s="9">
        <v>9082026.0</v>
      </c>
      <c r="Q451" s="7" t="str">
        <f>IF(OR(ISBLANK(M451), ISBLANK(N451)), "", IF(N451 &lt; Sheet3!$B$6, "Insufficient Reviews", IF(M451 &gt;= Sheet3!$B$2, "Highly Reliable", IF(M451 &gt;= Sheet3!$B$3, "Reliable", IF(M451 &gt;= Sheet3!$B$4, "Mixed Reviews", "Low Reliability")))))</f>
        <v>Reliable</v>
      </c>
    </row>
    <row r="452">
      <c r="A452" s="3">
        <f t="shared" si="1"/>
        <v>451</v>
      </c>
      <c r="B452" s="9" t="s">
        <v>3599</v>
      </c>
      <c r="C452" s="10">
        <v>39.411838</v>
      </c>
      <c r="D452" s="10">
        <v>-76.7827981</v>
      </c>
      <c r="E452" s="9" t="s">
        <v>3600</v>
      </c>
      <c r="F452" s="9" t="s">
        <v>3601</v>
      </c>
      <c r="G452" s="9"/>
      <c r="H452" s="11"/>
      <c r="I452" s="9" t="s">
        <v>91</v>
      </c>
      <c r="J452" s="9" t="s">
        <v>3602</v>
      </c>
      <c r="K452" s="9"/>
      <c r="L452" s="9" t="s">
        <v>3603</v>
      </c>
      <c r="M452" s="9">
        <v>70.5</v>
      </c>
      <c r="N452" s="10">
        <v>24.07052459</v>
      </c>
      <c r="O452" s="10" t="s">
        <v>3604</v>
      </c>
      <c r="P452" s="9">
        <v>9082026.0</v>
      </c>
      <c r="Q452" s="7" t="str">
        <f>IF(OR(ISBLANK(M452), ISBLANK(N452)), "", IF(N452 &lt; Sheet3!$B$6, "Insufficient Reviews", IF(M452 &gt;= Sheet3!$B$2, "Highly Reliable", IF(M452 &gt;= Sheet3!$B$3, "Reliable", IF(M452 &gt;= Sheet3!$B$4, "Mixed Reviews", "Low Reliability")))))</f>
        <v>Insufficient Reviews</v>
      </c>
    </row>
    <row r="453">
      <c r="A453" s="3">
        <f t="shared" si="1"/>
        <v>452</v>
      </c>
      <c r="B453" s="9" t="s">
        <v>3605</v>
      </c>
      <c r="C453" s="10">
        <v>39.2749181</v>
      </c>
      <c r="D453" s="10">
        <v>-76.6117947</v>
      </c>
      <c r="E453" s="9" t="s">
        <v>3606</v>
      </c>
      <c r="F453" s="9" t="s">
        <v>3607</v>
      </c>
      <c r="G453" s="9" t="s">
        <v>3608</v>
      </c>
      <c r="H453" s="9" t="s">
        <v>2417</v>
      </c>
      <c r="I453" s="9" t="s">
        <v>35</v>
      </c>
      <c r="J453" s="9" t="s">
        <v>3609</v>
      </c>
      <c r="K453" s="12" t="s">
        <v>3610</v>
      </c>
      <c r="L453" s="9" t="s">
        <v>3611</v>
      </c>
      <c r="M453" s="9">
        <v>83.35288383</v>
      </c>
      <c r="N453" s="10">
        <v>94.74024129</v>
      </c>
      <c r="O453" s="10" t="s">
        <v>3612</v>
      </c>
      <c r="P453" s="9">
        <v>9082026.0</v>
      </c>
      <c r="Q453" s="7" t="str">
        <f>IF(OR(ISBLANK(M453), ISBLANK(N453)), "", IF(N453 &lt; Sheet3!$B$6, "Insufficient Reviews", IF(M453 &gt;= Sheet3!$B$2, "Highly Reliable", IF(M453 &gt;= Sheet3!$B$3, "Reliable", IF(M453 &gt;= Sheet3!$B$4, "Mixed Reviews", "Low Reliability")))))</f>
        <v>Highly Reliable</v>
      </c>
    </row>
    <row r="454">
      <c r="A454" s="3">
        <f t="shared" si="1"/>
        <v>453</v>
      </c>
      <c r="B454" s="9" t="s">
        <v>3613</v>
      </c>
      <c r="C454" s="10">
        <v>39.3222956</v>
      </c>
      <c r="D454" s="10">
        <v>-76.4455984</v>
      </c>
      <c r="E454" s="9" t="s">
        <v>3614</v>
      </c>
      <c r="F454" s="9" t="s">
        <v>3615</v>
      </c>
      <c r="G454" s="9" t="s">
        <v>3616</v>
      </c>
      <c r="H454" s="9" t="s">
        <v>135</v>
      </c>
      <c r="I454" s="9" t="s">
        <v>81</v>
      </c>
      <c r="J454" s="9" t="s">
        <v>3617</v>
      </c>
      <c r="K454" s="12" t="s">
        <v>3618</v>
      </c>
      <c r="L454" s="9" t="s">
        <v>3619</v>
      </c>
      <c r="M454" s="9">
        <v>72.34412084</v>
      </c>
      <c r="N454" s="10">
        <v>68.44782754</v>
      </c>
      <c r="O454" s="10" t="s">
        <v>3620</v>
      </c>
      <c r="P454" s="9">
        <v>9082026.0</v>
      </c>
      <c r="Q454" s="7" t="str">
        <f>IF(OR(ISBLANK(M454), ISBLANK(N454)), "", IF(N454 &lt; Sheet3!$B$6, "Insufficient Reviews", IF(M454 &gt;= Sheet3!$B$2, "Highly Reliable", IF(M454 &gt;= Sheet3!$B$3, "Reliable", IF(M454 &gt;= Sheet3!$B$4, "Mixed Reviews", "Low Reliability")))))</f>
        <v>Reliable</v>
      </c>
    </row>
    <row r="455">
      <c r="A455" s="3">
        <f t="shared" si="1"/>
        <v>454</v>
      </c>
      <c r="B455" s="4" t="s">
        <v>3621</v>
      </c>
      <c r="C455" s="5">
        <v>39.3066598</v>
      </c>
      <c r="D455" s="5">
        <v>-76.6274198</v>
      </c>
      <c r="E455" s="4" t="s">
        <v>3622</v>
      </c>
      <c r="F455" s="4" t="s">
        <v>3623</v>
      </c>
      <c r="G455" s="4" t="s">
        <v>3624</v>
      </c>
      <c r="H455" s="4" t="s">
        <v>126</v>
      </c>
      <c r="I455" s="4" t="s">
        <v>81</v>
      </c>
      <c r="J455" s="4" t="s">
        <v>3625</v>
      </c>
      <c r="K455" s="8" t="s">
        <v>3626</v>
      </c>
      <c r="L455" s="4" t="s">
        <v>3627</v>
      </c>
      <c r="M455" s="4">
        <v>73.64184184</v>
      </c>
      <c r="N455" s="5">
        <v>63.37706555</v>
      </c>
      <c r="O455" s="5" t="s">
        <v>3628</v>
      </c>
      <c r="P455" s="9">
        <v>9082026.0</v>
      </c>
      <c r="Q455" s="7" t="str">
        <f>IF(OR(ISBLANK(M455), ISBLANK(N455)), "", IF(N455 &lt; Sheet3!$B$6, "Insufficient Reviews", IF(M455 &gt;= Sheet3!$B$2, "Highly Reliable", IF(M455 &gt;= Sheet3!$B$3, "Reliable", IF(M455 &gt;= Sheet3!$B$4, "Mixed Reviews", "Low Reliability")))))</f>
        <v>Reliable</v>
      </c>
    </row>
    <row r="456">
      <c r="A456" s="3">
        <f t="shared" si="1"/>
        <v>455</v>
      </c>
      <c r="B456" s="4" t="s">
        <v>3629</v>
      </c>
      <c r="C456" s="5">
        <v>39.2703363</v>
      </c>
      <c r="D456" s="5">
        <v>-76.7054816</v>
      </c>
      <c r="E456" s="4" t="s">
        <v>3630</v>
      </c>
      <c r="F456" s="4" t="s">
        <v>3631</v>
      </c>
      <c r="G456" s="4"/>
      <c r="H456" s="14"/>
      <c r="I456" s="4" t="s">
        <v>81</v>
      </c>
      <c r="J456" s="4" t="s">
        <v>3632</v>
      </c>
      <c r="K456" s="8" t="s">
        <v>3633</v>
      </c>
      <c r="L456" s="4" t="s">
        <v>3634</v>
      </c>
      <c r="M456" s="4">
        <v>77.811243</v>
      </c>
      <c r="N456" s="5">
        <v>89.37011686</v>
      </c>
      <c r="O456" s="5" t="s">
        <v>3635</v>
      </c>
      <c r="P456" s="9">
        <v>9082026.0</v>
      </c>
      <c r="Q456" s="7" t="str">
        <f>IF(OR(ISBLANK(M456), ISBLANK(N456)), "", IF(N456 &lt; Sheet3!$B$6, "Insufficient Reviews", IF(M456 &gt;= Sheet3!$B$2, "Highly Reliable", IF(M456 &gt;= Sheet3!$B$3, "Reliable", IF(M456 &gt;= Sheet3!$B$4, "Mixed Reviews", "Low Reliability")))))</f>
        <v>Reliable</v>
      </c>
    </row>
    <row r="457">
      <c r="A457" s="3">
        <f t="shared" si="1"/>
        <v>456</v>
      </c>
      <c r="B457" s="4" t="s">
        <v>3636</v>
      </c>
      <c r="C457" s="5">
        <v>39.4594433</v>
      </c>
      <c r="D457" s="5">
        <v>-76.6634698</v>
      </c>
      <c r="E457" s="4" t="s">
        <v>3637</v>
      </c>
      <c r="F457" s="4" t="s">
        <v>3638</v>
      </c>
      <c r="G457" s="14"/>
      <c r="H457" s="4" t="s">
        <v>135</v>
      </c>
      <c r="I457" s="4" t="s">
        <v>91</v>
      </c>
      <c r="J457" s="4" t="s">
        <v>3639</v>
      </c>
      <c r="K457" s="8" t="s">
        <v>3640</v>
      </c>
      <c r="L457" s="4" t="s">
        <v>3641</v>
      </c>
      <c r="M457" s="4">
        <v>79.44247472</v>
      </c>
      <c r="N457" s="5">
        <v>72.7681055</v>
      </c>
      <c r="O457" s="5" t="s">
        <v>3642</v>
      </c>
      <c r="P457" s="9">
        <v>9082026.0</v>
      </c>
      <c r="Q457" s="7" t="str">
        <f>IF(OR(ISBLANK(M457), ISBLANK(N457)), "", IF(N457 &lt; Sheet3!$B$6, "Insufficient Reviews", IF(M457 &gt;= Sheet3!$B$2, "Highly Reliable", IF(M457 &gt;= Sheet3!$B$3, "Reliable", IF(M457 &gt;= Sheet3!$B$4, "Mixed Reviews", "Low Reliability")))))</f>
        <v>Reliable</v>
      </c>
    </row>
    <row r="458">
      <c r="A458" s="3">
        <f t="shared" si="1"/>
        <v>457</v>
      </c>
      <c r="B458" s="4" t="s">
        <v>3643</v>
      </c>
      <c r="C458" s="5">
        <v>39.3673765</v>
      </c>
      <c r="D458" s="5">
        <v>-76.5396334</v>
      </c>
      <c r="E458" s="4" t="s">
        <v>3644</v>
      </c>
      <c r="F458" s="4" t="s">
        <v>3645</v>
      </c>
      <c r="G458" s="14"/>
      <c r="H458" s="4" t="s">
        <v>3646</v>
      </c>
      <c r="I458" s="4" t="s">
        <v>81</v>
      </c>
      <c r="J458" s="4" t="s">
        <v>3647</v>
      </c>
      <c r="K458" s="8" t="s">
        <v>3648</v>
      </c>
      <c r="L458" s="4" t="s">
        <v>3649</v>
      </c>
      <c r="M458" s="4">
        <v>76.04313198</v>
      </c>
      <c r="N458" s="5">
        <v>55.15041335</v>
      </c>
      <c r="O458" s="5" t="s">
        <v>3650</v>
      </c>
      <c r="P458" s="9">
        <v>9082026.0</v>
      </c>
      <c r="Q458" s="7" t="str">
        <f>IF(OR(ISBLANK(M458), ISBLANK(N458)), "", IF(N458 &lt; Sheet3!$B$6, "Insufficient Reviews", IF(M458 &gt;= Sheet3!$B$2, "Highly Reliable", IF(M458 &gt;= Sheet3!$B$3, "Reliable", IF(M458 &gt;= Sheet3!$B$4, "Mixed Reviews", "Low Reliability")))))</f>
        <v>Reliable</v>
      </c>
    </row>
    <row r="459">
      <c r="A459" s="3">
        <f t="shared" si="1"/>
        <v>458</v>
      </c>
      <c r="B459" s="4" t="s">
        <v>3651</v>
      </c>
      <c r="C459" s="5">
        <v>39.3668201</v>
      </c>
      <c r="D459" s="5">
        <v>-76.7077219</v>
      </c>
      <c r="E459" s="4" t="s">
        <v>3652</v>
      </c>
      <c r="F459" s="4" t="s">
        <v>3653</v>
      </c>
      <c r="G459" s="4" t="s">
        <v>3654</v>
      </c>
      <c r="H459" s="4" t="s">
        <v>80</v>
      </c>
      <c r="I459" s="4" t="s">
        <v>35</v>
      </c>
      <c r="J459" s="4" t="s">
        <v>3655</v>
      </c>
      <c r="K459" s="8" t="s">
        <v>3656</v>
      </c>
      <c r="L459" s="4" t="s">
        <v>3657</v>
      </c>
      <c r="M459" s="4">
        <v>78.26823603</v>
      </c>
      <c r="N459" s="5">
        <v>69.64215257</v>
      </c>
      <c r="O459" s="5" t="s">
        <v>3658</v>
      </c>
      <c r="P459" s="9">
        <v>9082026.0</v>
      </c>
      <c r="Q459" s="7" t="str">
        <f>IF(OR(ISBLANK(M459), ISBLANK(N459)), "", IF(N459 &lt; Sheet3!$B$6, "Insufficient Reviews", IF(M459 &gt;= Sheet3!$B$2, "Highly Reliable", IF(M459 &gt;= Sheet3!$B$3, "Reliable", IF(M459 &gt;= Sheet3!$B$4, "Mixed Reviews", "Low Reliability")))))</f>
        <v>Reliable</v>
      </c>
    </row>
    <row r="460">
      <c r="A460" s="3">
        <f t="shared" si="1"/>
        <v>459</v>
      </c>
      <c r="B460" s="4" t="s">
        <v>3659</v>
      </c>
      <c r="C460" s="5">
        <v>39.3289792</v>
      </c>
      <c r="D460" s="5">
        <v>-76.6891524</v>
      </c>
      <c r="E460" s="4" t="s">
        <v>3660</v>
      </c>
      <c r="F460" s="4" t="s">
        <v>3661</v>
      </c>
      <c r="G460" s="4"/>
      <c r="H460" s="14"/>
      <c r="I460" s="4" t="s">
        <v>81</v>
      </c>
      <c r="J460" s="4" t="s">
        <v>3662</v>
      </c>
      <c r="K460" s="8" t="s">
        <v>3663</v>
      </c>
      <c r="L460" s="4" t="s">
        <v>3664</v>
      </c>
      <c r="M460" s="4">
        <v>79.12740919</v>
      </c>
      <c r="N460" s="5">
        <v>61.50602712</v>
      </c>
      <c r="O460" s="5" t="s">
        <v>3665</v>
      </c>
      <c r="P460" s="9">
        <v>9082026.0</v>
      </c>
      <c r="Q460" s="7" t="str">
        <f>IF(OR(ISBLANK(M460), ISBLANK(N460)), "", IF(N460 &lt; Sheet3!$B$6, "Insufficient Reviews", IF(M460 &gt;= Sheet3!$B$2, "Highly Reliable", IF(M460 &gt;= Sheet3!$B$3, "Reliable", IF(M460 &gt;= Sheet3!$B$4, "Mixed Reviews", "Low Reliability")))))</f>
        <v>Reliable</v>
      </c>
    </row>
    <row r="461">
      <c r="A461" s="3">
        <f t="shared" si="1"/>
        <v>460</v>
      </c>
      <c r="B461" s="4" t="s">
        <v>3666</v>
      </c>
      <c r="C461" s="5">
        <v>39.4688685</v>
      </c>
      <c r="D461" s="5">
        <v>-76.8294523</v>
      </c>
      <c r="E461" s="4" t="s">
        <v>3667</v>
      </c>
      <c r="F461" s="4" t="s">
        <v>3668</v>
      </c>
      <c r="G461" s="4" t="s">
        <v>3669</v>
      </c>
      <c r="H461" s="14"/>
      <c r="I461" s="4" t="s">
        <v>44</v>
      </c>
      <c r="J461" s="4" t="s">
        <v>3670</v>
      </c>
      <c r="K461" s="8" t="s">
        <v>3671</v>
      </c>
      <c r="L461" s="4" t="s">
        <v>3672</v>
      </c>
      <c r="M461" s="4">
        <v>46.65690353</v>
      </c>
      <c r="N461" s="5">
        <v>52.0033659</v>
      </c>
      <c r="O461" s="5" t="s">
        <v>3673</v>
      </c>
      <c r="P461" s="9">
        <v>9082026.0</v>
      </c>
      <c r="Q461" s="7" t="str">
        <f>IF(OR(ISBLANK(M461), ISBLANK(N461)), "", IF(N461 &lt; Sheet3!$B$6, "Insufficient Reviews", IF(M461 &gt;= Sheet3!$B$2, "Highly Reliable", IF(M461 &gt;= Sheet3!$B$3, "Reliable", IF(M461 &gt;= Sheet3!$B$4, "Mixed Reviews", "Low Reliability")))))</f>
        <v>Low Reliability</v>
      </c>
    </row>
    <row r="462">
      <c r="A462" s="3">
        <f t="shared" si="1"/>
        <v>461</v>
      </c>
      <c r="B462" s="4" t="s">
        <v>3674</v>
      </c>
      <c r="C462" s="5">
        <v>39.3294594</v>
      </c>
      <c r="D462" s="5">
        <v>-76.6947631</v>
      </c>
      <c r="E462" s="4" t="s">
        <v>3675</v>
      </c>
      <c r="F462" s="4" t="s">
        <v>3676</v>
      </c>
      <c r="G462" s="4"/>
      <c r="H462" s="14"/>
      <c r="I462" s="4" t="s">
        <v>81</v>
      </c>
      <c r="J462" s="4" t="s">
        <v>3677</v>
      </c>
      <c r="K462" s="4"/>
      <c r="L462" s="4" t="s">
        <v>3678</v>
      </c>
      <c r="M462" s="4">
        <v>66.0</v>
      </c>
      <c r="N462" s="5">
        <v>21.59616797</v>
      </c>
      <c r="O462" s="5" t="s">
        <v>3679</v>
      </c>
      <c r="P462" s="9">
        <v>9082026.0</v>
      </c>
      <c r="Q462" s="7" t="str">
        <f>IF(OR(ISBLANK(M462), ISBLANK(N462)), "", IF(N462 &lt; Sheet3!$B$6, "Insufficient Reviews", IF(M462 &gt;= Sheet3!$B$2, "Highly Reliable", IF(M462 &gt;= Sheet3!$B$3, "Reliable", IF(M462 &gt;= Sheet3!$B$4, "Mixed Reviews", "Low Reliability")))))</f>
        <v>Insufficient Reviews</v>
      </c>
    </row>
    <row r="463">
      <c r="A463" s="3">
        <f t="shared" si="1"/>
        <v>462</v>
      </c>
      <c r="B463" s="4" t="s">
        <v>3680</v>
      </c>
      <c r="C463" s="5">
        <v>39.3075797</v>
      </c>
      <c r="D463" s="5">
        <v>-76.6296737</v>
      </c>
      <c r="E463" s="4" t="s">
        <v>3681</v>
      </c>
      <c r="F463" s="4" t="s">
        <v>3682</v>
      </c>
      <c r="G463" s="4" t="s">
        <v>3683</v>
      </c>
      <c r="H463" s="4" t="s">
        <v>43</v>
      </c>
      <c r="I463" s="4" t="s">
        <v>81</v>
      </c>
      <c r="J463" s="4" t="s">
        <v>3684</v>
      </c>
      <c r="K463" s="8" t="s">
        <v>3685</v>
      </c>
      <c r="L463" s="4" t="s">
        <v>3686</v>
      </c>
      <c r="M463" s="4">
        <v>74.70789255</v>
      </c>
      <c r="N463" s="5">
        <v>61.72713698</v>
      </c>
      <c r="O463" s="5" t="s">
        <v>3687</v>
      </c>
      <c r="P463" s="9">
        <v>9082026.0</v>
      </c>
      <c r="Q463" s="7" t="str">
        <f>IF(OR(ISBLANK(M463), ISBLANK(N463)), "", IF(N463 &lt; Sheet3!$B$6, "Insufficient Reviews", IF(M463 &gt;= Sheet3!$B$2, "Highly Reliable", IF(M463 &gt;= Sheet3!$B$3, "Reliable", IF(M463 &gt;= Sheet3!$B$4, "Mixed Reviews", "Low Reliability")))))</f>
        <v>Reliable</v>
      </c>
    </row>
    <row r="464">
      <c r="A464" s="3">
        <f t="shared" si="1"/>
        <v>463</v>
      </c>
      <c r="B464" s="4" t="s">
        <v>3688</v>
      </c>
      <c r="C464" s="5">
        <v>39.5003864</v>
      </c>
      <c r="D464" s="5">
        <v>-76.6600611</v>
      </c>
      <c r="E464" s="4" t="s">
        <v>3689</v>
      </c>
      <c r="F464" s="4" t="s">
        <v>3690</v>
      </c>
      <c r="G464" s="4" t="s">
        <v>3691</v>
      </c>
      <c r="H464" s="4" t="s">
        <v>135</v>
      </c>
      <c r="I464" s="4" t="s">
        <v>81</v>
      </c>
      <c r="J464" s="4" t="s">
        <v>3692</v>
      </c>
      <c r="K464" s="8" t="s">
        <v>3693</v>
      </c>
      <c r="L464" s="4" t="s">
        <v>3694</v>
      </c>
      <c r="M464" s="4">
        <v>72.56578263</v>
      </c>
      <c r="N464" s="5">
        <v>92.52726453</v>
      </c>
      <c r="O464" s="5" t="s">
        <v>3695</v>
      </c>
      <c r="P464" s="9">
        <v>9082026.0</v>
      </c>
      <c r="Q464" s="7" t="str">
        <f>IF(OR(ISBLANK(M464), ISBLANK(N464)), "", IF(N464 &lt; Sheet3!$B$6, "Insufficient Reviews", IF(M464 &gt;= Sheet3!$B$2, "Highly Reliable", IF(M464 &gt;= Sheet3!$B$3, "Reliable", IF(M464 &gt;= Sheet3!$B$4, "Mixed Reviews", "Low Reliability")))))</f>
        <v>Reliable</v>
      </c>
    </row>
    <row r="465">
      <c r="A465" s="3">
        <f t="shared" si="1"/>
        <v>464</v>
      </c>
      <c r="B465" s="4" t="s">
        <v>3696</v>
      </c>
      <c r="C465" s="5">
        <v>39.3470844</v>
      </c>
      <c r="D465" s="5">
        <v>-76.6598449</v>
      </c>
      <c r="E465" s="4" t="s">
        <v>3697</v>
      </c>
      <c r="F465" s="4" t="s">
        <v>3698</v>
      </c>
      <c r="G465" s="4"/>
      <c r="H465" s="4" t="s">
        <v>3699</v>
      </c>
      <c r="I465" s="4" t="s">
        <v>91</v>
      </c>
      <c r="J465" s="4" t="s">
        <v>3700</v>
      </c>
      <c r="K465" s="4"/>
      <c r="L465" s="4" t="s">
        <v>3701</v>
      </c>
      <c r="M465" s="4">
        <v>60.54756985</v>
      </c>
      <c r="N465" s="5">
        <v>31.14621549</v>
      </c>
      <c r="O465" s="5" t="s">
        <v>3702</v>
      </c>
      <c r="P465" s="9">
        <v>9082026.0</v>
      </c>
      <c r="Q465" s="7" t="str">
        <f>IF(OR(ISBLANK(M465), ISBLANK(N465)), "", IF(N465 &lt; Sheet3!$B$6, "Insufficient Reviews", IF(M465 &gt;= Sheet3!$B$2, "Highly Reliable", IF(M465 &gt;= Sheet3!$B$3, "Reliable", IF(M465 &gt;= Sheet3!$B$4, "Mixed Reviews", "Low Reliability")))))</f>
        <v>Insufficient Reviews</v>
      </c>
    </row>
    <row r="466">
      <c r="A466" s="3">
        <f t="shared" si="1"/>
        <v>465</v>
      </c>
      <c r="B466" s="4" t="s">
        <v>3703</v>
      </c>
      <c r="C466" s="5">
        <v>39.3635762</v>
      </c>
      <c r="D466" s="5">
        <v>-76.5343514</v>
      </c>
      <c r="E466" s="4" t="s">
        <v>3704</v>
      </c>
      <c r="F466" s="4" t="s">
        <v>3705</v>
      </c>
      <c r="G466" s="4"/>
      <c r="H466" s="4" t="s">
        <v>135</v>
      </c>
      <c r="I466" s="4" t="s">
        <v>203</v>
      </c>
      <c r="J466" s="4" t="s">
        <v>3706</v>
      </c>
      <c r="K466" s="8" t="s">
        <v>3707</v>
      </c>
      <c r="L466" s="4" t="s">
        <v>3708</v>
      </c>
      <c r="M466" s="4">
        <v>86.61060953</v>
      </c>
      <c r="N466" s="5">
        <v>95.42902294</v>
      </c>
      <c r="O466" s="5" t="s">
        <v>3709</v>
      </c>
      <c r="P466" s="9">
        <v>9082026.0</v>
      </c>
      <c r="Q466" s="7" t="str">
        <f>IF(OR(ISBLANK(M466), ISBLANK(N466)), "", IF(N466 &lt; Sheet3!$B$6, "Insufficient Reviews", IF(M466 &gt;= Sheet3!$B$2, "Highly Reliable", IF(M466 &gt;= Sheet3!$B$3, "Reliable", IF(M466 &gt;= Sheet3!$B$4, "Mixed Reviews", "Low Reliability")))))</f>
        <v>Highly Reliable</v>
      </c>
    </row>
    <row r="467">
      <c r="A467" s="3">
        <f t="shared" si="1"/>
        <v>466</v>
      </c>
      <c r="B467" s="4" t="s">
        <v>3710</v>
      </c>
      <c r="C467" s="5">
        <v>39.3042955</v>
      </c>
      <c r="D467" s="5">
        <v>-76.7535334</v>
      </c>
      <c r="E467" s="4" t="s">
        <v>3711</v>
      </c>
      <c r="F467" s="4" t="s">
        <v>3712</v>
      </c>
      <c r="G467" s="4"/>
      <c r="H467" s="4" t="s">
        <v>135</v>
      </c>
      <c r="I467" s="4" t="s">
        <v>91</v>
      </c>
      <c r="J467" s="4" t="s">
        <v>3713</v>
      </c>
      <c r="K467" s="8" t="s">
        <v>3714</v>
      </c>
      <c r="L467" s="4" t="s">
        <v>3715</v>
      </c>
      <c r="M467" s="4">
        <v>84.54463584</v>
      </c>
      <c r="N467" s="5">
        <v>77.06183406</v>
      </c>
      <c r="O467" s="5" t="s">
        <v>3716</v>
      </c>
      <c r="P467" s="9">
        <v>9082026.0</v>
      </c>
      <c r="Q467" s="7" t="str">
        <f>IF(OR(ISBLANK(M467), ISBLANK(N467)), "", IF(N467 &lt; Sheet3!$B$6, "Insufficient Reviews", IF(M467 &gt;= Sheet3!$B$2, "Highly Reliable", IF(M467 &gt;= Sheet3!$B$3, "Reliable", IF(M467 &gt;= Sheet3!$B$4, "Mixed Reviews", "Low Reliability")))))</f>
        <v>Highly Reliable</v>
      </c>
    </row>
    <row r="468">
      <c r="A468" s="3">
        <f t="shared" si="1"/>
        <v>467</v>
      </c>
      <c r="B468" s="4" t="s">
        <v>3717</v>
      </c>
      <c r="C468" s="5">
        <v>39.3515318</v>
      </c>
      <c r="D468" s="5">
        <v>-76.478266</v>
      </c>
      <c r="E468" s="4" t="s">
        <v>3718</v>
      </c>
      <c r="F468" s="4" t="s">
        <v>3719</v>
      </c>
      <c r="G468" s="4" t="s">
        <v>3720</v>
      </c>
      <c r="H468" s="4" t="s">
        <v>135</v>
      </c>
      <c r="I468" s="4" t="s">
        <v>91</v>
      </c>
      <c r="J468" s="4" t="s">
        <v>3721</v>
      </c>
      <c r="K468" s="8" t="s">
        <v>3722</v>
      </c>
      <c r="L468" s="4" t="s">
        <v>3723</v>
      </c>
      <c r="M468" s="4">
        <v>78.85065402</v>
      </c>
      <c r="N468" s="5">
        <v>74.4412372</v>
      </c>
      <c r="O468" s="5" t="s">
        <v>3724</v>
      </c>
      <c r="P468" s="9">
        <v>9082026.0</v>
      </c>
      <c r="Q468" s="7" t="str">
        <f>IF(OR(ISBLANK(M468), ISBLANK(N468)), "", IF(N468 &lt; Sheet3!$B$6, "Insufficient Reviews", IF(M468 &gt;= Sheet3!$B$2, "Highly Reliable", IF(M468 &gt;= Sheet3!$B$3, "Reliable", IF(M468 &gt;= Sheet3!$B$4, "Mixed Reviews", "Low Reliability")))))</f>
        <v>Reliable</v>
      </c>
    </row>
    <row r="469">
      <c r="A469" s="3">
        <f t="shared" si="1"/>
        <v>468</v>
      </c>
      <c r="B469" s="4" t="s">
        <v>3725</v>
      </c>
      <c r="C469" s="5">
        <v>39.3583488</v>
      </c>
      <c r="D469" s="5">
        <v>-76.5871773</v>
      </c>
      <c r="E469" s="4" t="s">
        <v>3726</v>
      </c>
      <c r="F469" s="4" t="s">
        <v>3727</v>
      </c>
      <c r="G469" s="4"/>
      <c r="H469" s="4" t="s">
        <v>135</v>
      </c>
      <c r="I469" s="4" t="s">
        <v>91</v>
      </c>
      <c r="J469" s="4" t="s">
        <v>3728</v>
      </c>
      <c r="K469" s="8" t="s">
        <v>3729</v>
      </c>
      <c r="L469" s="4" t="s">
        <v>3730</v>
      </c>
      <c r="M469" s="4">
        <v>84.72049411</v>
      </c>
      <c r="N469" s="5">
        <v>96.91512887</v>
      </c>
      <c r="O469" s="5" t="s">
        <v>3731</v>
      </c>
      <c r="P469" s="9">
        <v>9082026.0</v>
      </c>
      <c r="Q469" s="7" t="str">
        <f>IF(OR(ISBLANK(M469), ISBLANK(N469)), "", IF(N469 &lt; Sheet3!$B$6, "Insufficient Reviews", IF(M469 &gt;= Sheet3!$B$2, "Highly Reliable", IF(M469 &gt;= Sheet3!$B$3, "Reliable", IF(M469 &gt;= Sheet3!$B$4, "Mixed Reviews", "Low Reliability")))))</f>
        <v>Highly Reliable</v>
      </c>
    </row>
    <row r="470">
      <c r="A470" s="3">
        <f t="shared" si="1"/>
        <v>469</v>
      </c>
      <c r="B470" s="4" t="s">
        <v>3732</v>
      </c>
      <c r="C470" s="5">
        <v>39.3293844</v>
      </c>
      <c r="D470" s="5">
        <v>-76.6147779</v>
      </c>
      <c r="E470" s="4" t="s">
        <v>3733</v>
      </c>
      <c r="F470" s="4" t="s">
        <v>3734</v>
      </c>
      <c r="G470" s="4"/>
      <c r="H470" s="4" t="s">
        <v>135</v>
      </c>
      <c r="I470" s="4" t="s">
        <v>91</v>
      </c>
      <c r="J470" s="4" t="s">
        <v>3735</v>
      </c>
      <c r="K470" s="8" t="s">
        <v>3736</v>
      </c>
      <c r="L470" s="4" t="s">
        <v>3737</v>
      </c>
      <c r="M470" s="4">
        <v>84.68738074</v>
      </c>
      <c r="N470" s="5">
        <v>95.93719829</v>
      </c>
      <c r="O470" s="5" t="s">
        <v>3738</v>
      </c>
      <c r="P470" s="9">
        <v>9082026.0</v>
      </c>
      <c r="Q470" s="7" t="str">
        <f>IF(OR(ISBLANK(M470), ISBLANK(N470)), "", IF(N470 &lt; Sheet3!$B$6, "Insufficient Reviews", IF(M470 &gt;= Sheet3!$B$2, "Highly Reliable", IF(M470 &gt;= Sheet3!$B$3, "Reliable", IF(M470 &gt;= Sheet3!$B$4, "Mixed Reviews", "Low Reliability")))))</f>
        <v>Highly Reliable</v>
      </c>
    </row>
    <row r="471">
      <c r="A471" s="3">
        <f t="shared" si="1"/>
        <v>470</v>
      </c>
      <c r="B471" s="4" t="s">
        <v>3739</v>
      </c>
      <c r="C471" s="5">
        <v>39.2934107</v>
      </c>
      <c r="D471" s="5">
        <v>-76.6128907</v>
      </c>
      <c r="E471" s="4" t="s">
        <v>3740</v>
      </c>
      <c r="F471" s="4" t="s">
        <v>3741</v>
      </c>
      <c r="G471" s="4"/>
      <c r="H471" s="4" t="s">
        <v>135</v>
      </c>
      <c r="I471" s="4" t="s">
        <v>91</v>
      </c>
      <c r="J471" s="4" t="s">
        <v>3742</v>
      </c>
      <c r="K471" s="8" t="s">
        <v>3743</v>
      </c>
      <c r="L471" s="4" t="s">
        <v>3744</v>
      </c>
      <c r="M471" s="4">
        <v>60.38761875</v>
      </c>
      <c r="N471" s="5">
        <v>92.81323883</v>
      </c>
      <c r="O471" s="5" t="s">
        <v>3745</v>
      </c>
      <c r="P471" s="9">
        <v>9082026.0</v>
      </c>
      <c r="Q471" s="7" t="str">
        <f>IF(OR(ISBLANK(M471), ISBLANK(N471)), "", IF(N471 &lt; Sheet3!$B$6, "Insufficient Reviews", IF(M471 &gt;= Sheet3!$B$2, "Highly Reliable", IF(M471 &gt;= Sheet3!$B$3, "Reliable", IF(M471 &gt;= Sheet3!$B$4, "Mixed Reviews", "Low Reliability")))))</f>
        <v>Mixed Reviews</v>
      </c>
    </row>
    <row r="472">
      <c r="A472" s="3">
        <f t="shared" si="1"/>
        <v>471</v>
      </c>
      <c r="B472" s="4" t="s">
        <v>3746</v>
      </c>
      <c r="C472" s="5">
        <v>39.4581907</v>
      </c>
      <c r="D472" s="5">
        <v>-76.6001898</v>
      </c>
      <c r="E472" s="4" t="s">
        <v>3747</v>
      </c>
      <c r="F472" s="4" t="s">
        <v>3748</v>
      </c>
      <c r="G472" s="14"/>
      <c r="H472" s="4" t="s">
        <v>135</v>
      </c>
      <c r="I472" s="4" t="s">
        <v>81</v>
      </c>
      <c r="J472" s="4" t="s">
        <v>3749</v>
      </c>
      <c r="K472" s="8" t="s">
        <v>3750</v>
      </c>
      <c r="L472" s="4" t="s">
        <v>3751</v>
      </c>
      <c r="M472" s="4">
        <v>89.05426616</v>
      </c>
      <c r="N472" s="5">
        <v>99.36951077</v>
      </c>
      <c r="O472" s="5" t="s">
        <v>3752</v>
      </c>
      <c r="P472" s="9">
        <v>9082026.0</v>
      </c>
      <c r="Q472" s="7" t="str">
        <f>IF(OR(ISBLANK(M472), ISBLANK(N472)), "", IF(N472 &lt; Sheet3!$B$6, "Insufficient Reviews", IF(M472 &gt;= Sheet3!$B$2, "Highly Reliable", IF(M472 &gt;= Sheet3!$B$3, "Reliable", IF(M472 &gt;= Sheet3!$B$4, "Mixed Reviews", "Low Reliability")))))</f>
        <v>Highly Reliable</v>
      </c>
    </row>
    <row r="473">
      <c r="A473" s="3">
        <f t="shared" si="1"/>
        <v>472</v>
      </c>
      <c r="B473" s="4" t="s">
        <v>3753</v>
      </c>
      <c r="C473" s="5">
        <v>39.4520677</v>
      </c>
      <c r="D473" s="5">
        <v>-76.8211642</v>
      </c>
      <c r="E473" s="4" t="s">
        <v>3754</v>
      </c>
      <c r="F473" s="4" t="s">
        <v>3755</v>
      </c>
      <c r="G473" s="4"/>
      <c r="H473" s="4" t="s">
        <v>3756</v>
      </c>
      <c r="I473" s="4" t="s">
        <v>91</v>
      </c>
      <c r="J473" s="4" t="s">
        <v>3757</v>
      </c>
      <c r="K473" s="8" t="s">
        <v>3758</v>
      </c>
      <c r="L473" s="4" t="s">
        <v>3759</v>
      </c>
      <c r="M473" s="4">
        <v>83.05368039</v>
      </c>
      <c r="N473" s="5">
        <v>75.85733796</v>
      </c>
      <c r="O473" s="5" t="s">
        <v>3760</v>
      </c>
      <c r="P473" s="9">
        <v>9082026.0</v>
      </c>
      <c r="Q473" s="7" t="str">
        <f>IF(OR(ISBLANK(M473), ISBLANK(N473)), "", IF(N473 &lt; Sheet3!$B$6, "Insufficient Reviews", IF(M473 &gt;= Sheet3!$B$2, "Highly Reliable", IF(M473 &gt;= Sheet3!$B$3, "Reliable", IF(M473 &gt;= Sheet3!$B$4, "Mixed Reviews", "Low Reliability")))))</f>
        <v>Highly Reliable</v>
      </c>
    </row>
    <row r="474">
      <c r="A474" s="3">
        <f t="shared" si="1"/>
        <v>473</v>
      </c>
      <c r="B474" s="4" t="s">
        <v>3761</v>
      </c>
      <c r="C474" s="5">
        <v>39.329053</v>
      </c>
      <c r="D474" s="5">
        <v>-76.619425</v>
      </c>
      <c r="E474" s="4" t="s">
        <v>3762</v>
      </c>
      <c r="F474" s="4" t="s">
        <v>3763</v>
      </c>
      <c r="G474" s="4" t="s">
        <v>3764</v>
      </c>
      <c r="H474" s="4"/>
      <c r="I474" s="4" t="s">
        <v>203</v>
      </c>
      <c r="J474" s="4" t="s">
        <v>3765</v>
      </c>
      <c r="K474" s="8" t="s">
        <v>3766</v>
      </c>
      <c r="L474" s="4" t="s">
        <v>3767</v>
      </c>
      <c r="M474" s="5">
        <v>75.55394086</v>
      </c>
      <c r="N474" s="5">
        <v>64.04789248</v>
      </c>
      <c r="O474" s="4" t="s">
        <v>3768</v>
      </c>
      <c r="P474" s="9">
        <v>9082026.0</v>
      </c>
      <c r="Q474" s="7" t="str">
        <f>IF(OR(ISBLANK(M474), ISBLANK(N474)), "", IF(N474 &lt; Sheet3!$B$6, "Insufficient Reviews", IF(M474 &gt;= Sheet3!$B$2, "Highly Reliable", IF(M474 &gt;= Sheet3!$B$3, "Reliable", IF(M474 &gt;= Sheet3!$B$4, "Mixed Reviews", "Low Reliability")))))</f>
        <v>Reliable</v>
      </c>
    </row>
    <row r="475">
      <c r="A475" s="3">
        <f t="shared" si="1"/>
        <v>474</v>
      </c>
      <c r="B475" s="4" t="s">
        <v>3769</v>
      </c>
      <c r="C475" s="5">
        <v>39.3266183</v>
      </c>
      <c r="D475" s="5">
        <v>-76.6897942</v>
      </c>
      <c r="E475" s="4" t="s">
        <v>3770</v>
      </c>
      <c r="F475" s="4" t="s">
        <v>3771</v>
      </c>
      <c r="G475" s="4"/>
      <c r="H475" s="4" t="s">
        <v>3772</v>
      </c>
      <c r="I475" s="4" t="s">
        <v>81</v>
      </c>
      <c r="J475" s="4" t="s">
        <v>3773</v>
      </c>
      <c r="K475" s="4"/>
      <c r="L475" s="4" t="s">
        <v>3774</v>
      </c>
      <c r="M475" s="4">
        <v>69.0</v>
      </c>
      <c r="N475" s="5">
        <v>24.77832537</v>
      </c>
      <c r="O475" s="5" t="s">
        <v>2162</v>
      </c>
      <c r="P475" s="9">
        <v>9082026.0</v>
      </c>
      <c r="Q475" s="7" t="str">
        <f>IF(OR(ISBLANK(M475), ISBLANK(N475)), "", IF(N475 &lt; Sheet3!$B$6, "Insufficient Reviews", IF(M475 &gt;= Sheet3!$B$2, "Highly Reliable", IF(M475 &gt;= Sheet3!$B$3, "Reliable", IF(M475 &gt;= Sheet3!$B$4, "Mixed Reviews", "Low Reliability")))))</f>
        <v>Insufficient Reviews</v>
      </c>
    </row>
    <row r="476">
      <c r="A476" s="3">
        <f t="shared" si="1"/>
        <v>475</v>
      </c>
      <c r="B476" s="4" t="s">
        <v>3775</v>
      </c>
      <c r="C476" s="5">
        <v>39.3306386</v>
      </c>
      <c r="D476" s="5">
        <v>-76.6570945</v>
      </c>
      <c r="E476" s="4" t="s">
        <v>3776</v>
      </c>
      <c r="F476" s="4" t="s">
        <v>3777</v>
      </c>
      <c r="G476" s="4"/>
      <c r="H476" s="4" t="s">
        <v>126</v>
      </c>
      <c r="I476" s="4" t="s">
        <v>81</v>
      </c>
      <c r="J476" s="4" t="s">
        <v>3778</v>
      </c>
      <c r="K476" s="8" t="s">
        <v>3779</v>
      </c>
      <c r="L476" s="4" t="s">
        <v>3780</v>
      </c>
      <c r="M476" s="4">
        <v>73.4638636</v>
      </c>
      <c r="N476" s="5">
        <v>72.46181253</v>
      </c>
      <c r="O476" s="5" t="s">
        <v>3781</v>
      </c>
      <c r="P476" s="9">
        <v>9082026.0</v>
      </c>
      <c r="Q476" s="7" t="str">
        <f>IF(OR(ISBLANK(M476), ISBLANK(N476)), "", IF(N476 &lt; Sheet3!$B$6, "Insufficient Reviews", IF(M476 &gt;= Sheet3!$B$2, "Highly Reliable", IF(M476 &gt;= Sheet3!$B$3, "Reliable", IF(M476 &gt;= Sheet3!$B$4, "Mixed Reviews", "Low Reliability")))))</f>
        <v>Reliable</v>
      </c>
    </row>
    <row r="477">
      <c r="A477" s="3">
        <f t="shared" si="1"/>
        <v>476</v>
      </c>
      <c r="B477" s="4" t="s">
        <v>3782</v>
      </c>
      <c r="C477" s="5">
        <v>39.3666883</v>
      </c>
      <c r="D477" s="5">
        <v>-76.5494934</v>
      </c>
      <c r="E477" s="4" t="s">
        <v>3783</v>
      </c>
      <c r="F477" s="4" t="s">
        <v>3784</v>
      </c>
      <c r="G477" s="4"/>
      <c r="H477" s="14"/>
      <c r="I477" s="4" t="s">
        <v>91</v>
      </c>
      <c r="J477" s="4" t="s">
        <v>3785</v>
      </c>
      <c r="K477" s="4"/>
      <c r="L477" s="4" t="s">
        <v>3786</v>
      </c>
      <c r="M477" s="4">
        <v>64.28473536</v>
      </c>
      <c r="N477" s="5">
        <v>42.53190601</v>
      </c>
      <c r="O477" s="5" t="s">
        <v>3787</v>
      </c>
      <c r="P477" s="9">
        <v>9082026.0</v>
      </c>
      <c r="Q477" s="7" t="str">
        <f>IF(OR(ISBLANK(M477), ISBLANK(N477)), "", IF(N477 &lt; Sheet3!$B$6, "Insufficient Reviews", IF(M477 &gt;= Sheet3!$B$2, "Highly Reliable", IF(M477 &gt;= Sheet3!$B$3, "Reliable", IF(M477 &gt;= Sheet3!$B$4, "Mixed Reviews", "Low Reliability")))))</f>
        <v>Mixed Reviews</v>
      </c>
    </row>
    <row r="478">
      <c r="A478" s="3">
        <f t="shared" si="1"/>
        <v>477</v>
      </c>
      <c r="B478" s="4" t="s">
        <v>3788</v>
      </c>
      <c r="C478" s="5">
        <v>39.3967889</v>
      </c>
      <c r="D478" s="5">
        <v>-76.5410563</v>
      </c>
      <c r="E478" s="4" t="s">
        <v>3789</v>
      </c>
      <c r="F478" s="4" t="s">
        <v>3790</v>
      </c>
      <c r="G478" s="4" t="s">
        <v>3791</v>
      </c>
      <c r="H478" s="4" t="s">
        <v>135</v>
      </c>
      <c r="I478" s="4" t="s">
        <v>81</v>
      </c>
      <c r="J478" s="4" t="s">
        <v>3792</v>
      </c>
      <c r="K478" s="8" t="s">
        <v>3793</v>
      </c>
      <c r="L478" s="4" t="s">
        <v>3794</v>
      </c>
      <c r="M478" s="4">
        <v>81.90904611</v>
      </c>
      <c r="N478" s="5">
        <v>72.51710507</v>
      </c>
      <c r="O478" s="5" t="s">
        <v>3795</v>
      </c>
      <c r="P478" s="9">
        <v>9082026.0</v>
      </c>
      <c r="Q478" s="7" t="str">
        <f>IF(OR(ISBLANK(M478), ISBLANK(N478)), "", IF(N478 &lt; Sheet3!$B$6, "Insufficient Reviews", IF(M478 &gt;= Sheet3!$B$2, "Highly Reliable", IF(M478 &gt;= Sheet3!$B$3, "Reliable", IF(M478 &gt;= Sheet3!$B$4, "Mixed Reviews", "Low Reliability")))))</f>
        <v>Reliable</v>
      </c>
    </row>
    <row r="479">
      <c r="A479" s="3">
        <f t="shared" si="1"/>
        <v>478</v>
      </c>
      <c r="B479" s="4" t="s">
        <v>3796</v>
      </c>
      <c r="C479" s="5">
        <v>39.4272668</v>
      </c>
      <c r="D479" s="5">
        <v>-76.7855831</v>
      </c>
      <c r="E479" s="4" t="s">
        <v>3797</v>
      </c>
      <c r="F479" s="4" t="s">
        <v>3798</v>
      </c>
      <c r="G479" s="4" t="s">
        <v>3799</v>
      </c>
      <c r="H479" s="4" t="s">
        <v>3800</v>
      </c>
      <c r="I479" s="4" t="s">
        <v>81</v>
      </c>
      <c r="J479" s="4" t="s">
        <v>3801</v>
      </c>
      <c r="K479" s="8" t="s">
        <v>3802</v>
      </c>
      <c r="L479" s="4" t="s">
        <v>3803</v>
      </c>
      <c r="M479" s="4">
        <v>55.64777832</v>
      </c>
      <c r="N479" s="5">
        <v>58.47102873</v>
      </c>
      <c r="O479" s="5" t="s">
        <v>3804</v>
      </c>
      <c r="P479" s="9">
        <v>9082026.0</v>
      </c>
      <c r="Q479" s="7" t="str">
        <f>IF(OR(ISBLANK(M479), ISBLANK(N479)), "", IF(N479 &lt; Sheet3!$B$6, "Insufficient Reviews", IF(M479 &gt;= Sheet3!$B$2, "Highly Reliable", IF(M479 &gt;= Sheet3!$B$3, "Reliable", IF(M479 &gt;= Sheet3!$B$4, "Mixed Reviews", "Low Reliability")))))</f>
        <v>Low Reliability</v>
      </c>
    </row>
    <row r="480">
      <c r="A480" s="3">
        <f t="shared" si="1"/>
        <v>479</v>
      </c>
      <c r="B480" s="4" t="s">
        <v>3805</v>
      </c>
      <c r="C480" s="5">
        <v>39.2685571</v>
      </c>
      <c r="D480" s="5">
        <v>-76.6511407</v>
      </c>
      <c r="E480" s="4" t="s">
        <v>3806</v>
      </c>
      <c r="F480" s="4" t="s">
        <v>3807</v>
      </c>
      <c r="G480" s="4"/>
      <c r="H480" s="14"/>
      <c r="I480" s="4" t="s">
        <v>81</v>
      </c>
      <c r="J480" s="4" t="s">
        <v>3808</v>
      </c>
      <c r="K480" s="8" t="s">
        <v>3809</v>
      </c>
      <c r="L480" s="4" t="s">
        <v>3810</v>
      </c>
      <c r="M480" s="4">
        <v>55.8</v>
      </c>
      <c r="N480" s="5">
        <v>46.37169257</v>
      </c>
      <c r="O480" s="5" t="s">
        <v>3811</v>
      </c>
      <c r="P480" s="9">
        <v>9082026.0</v>
      </c>
      <c r="Q480" s="7" t="str">
        <f>IF(OR(ISBLANK(M480), ISBLANK(N480)), "", IF(N480 &lt; Sheet3!$B$6, "Insufficient Reviews", IF(M480 &gt;= Sheet3!$B$2, "Highly Reliable", IF(M480 &gt;= Sheet3!$B$3, "Reliable", IF(M480 &gt;= Sheet3!$B$4, "Mixed Reviews", "Low Reliability")))))</f>
        <v>Low Reliability</v>
      </c>
    </row>
    <row r="481">
      <c r="A481" s="3">
        <f t="shared" si="1"/>
        <v>480</v>
      </c>
      <c r="B481" s="4" t="s">
        <v>3812</v>
      </c>
      <c r="C481" s="5">
        <v>39.3399354</v>
      </c>
      <c r="D481" s="5">
        <v>-76.6941249</v>
      </c>
      <c r="E481" s="4" t="s">
        <v>3813</v>
      </c>
      <c r="F481" s="4" t="s">
        <v>3814</v>
      </c>
      <c r="G481" s="14"/>
      <c r="H481" s="14"/>
      <c r="I481" s="4" t="s">
        <v>91</v>
      </c>
      <c r="J481" s="4" t="s">
        <v>3815</v>
      </c>
      <c r="K481" s="4"/>
      <c r="L481" s="4" t="s">
        <v>3816</v>
      </c>
      <c r="M481" s="4">
        <v>67.5</v>
      </c>
      <c r="N481" s="5">
        <v>20.21109563</v>
      </c>
      <c r="O481" s="5" t="s">
        <v>1999</v>
      </c>
      <c r="P481" s="9">
        <v>9082026.0</v>
      </c>
      <c r="Q481" s="7" t="str">
        <f>IF(OR(ISBLANK(M481), ISBLANK(N481)), "", IF(N481 &lt; Sheet3!$B$6, "Insufficient Reviews", IF(M481 &gt;= Sheet3!$B$2, "Highly Reliable", IF(M481 &gt;= Sheet3!$B$3, "Reliable", IF(M481 &gt;= Sheet3!$B$4, "Mixed Reviews", "Low Reliability")))))</f>
        <v>Insufficient Reviews</v>
      </c>
    </row>
    <row r="482">
      <c r="A482" s="3">
        <f t="shared" si="1"/>
        <v>481</v>
      </c>
      <c r="B482" s="4" t="s">
        <v>3817</v>
      </c>
      <c r="C482" s="5">
        <v>39.2854313</v>
      </c>
      <c r="D482" s="5">
        <v>-76.6301682</v>
      </c>
      <c r="E482" s="4" t="s">
        <v>3818</v>
      </c>
      <c r="F482" s="4" t="s">
        <v>3819</v>
      </c>
      <c r="G482" s="4" t="s">
        <v>3820</v>
      </c>
      <c r="H482" s="4" t="s">
        <v>3821</v>
      </c>
      <c r="I482" s="4" t="s">
        <v>81</v>
      </c>
      <c r="J482" s="4" t="s">
        <v>3822</v>
      </c>
      <c r="K482" s="8" t="s">
        <v>3823</v>
      </c>
      <c r="L482" s="4" t="s">
        <v>3824</v>
      </c>
      <c r="M482" s="4">
        <v>67.67698089</v>
      </c>
      <c r="N482" s="5">
        <v>59.49132059</v>
      </c>
      <c r="O482" s="5" t="s">
        <v>3825</v>
      </c>
      <c r="P482" s="9">
        <v>9082026.0</v>
      </c>
      <c r="Q482" s="7" t="str">
        <f>IF(OR(ISBLANK(M482), ISBLANK(N482)), "", IF(N482 &lt; Sheet3!$B$6, "Insufficient Reviews", IF(M482 &gt;= Sheet3!$B$2, "Highly Reliable", IF(M482 &gt;= Sheet3!$B$3, "Reliable", IF(M482 &gt;= Sheet3!$B$4, "Mixed Reviews", "Low Reliability")))))</f>
        <v>Mixed Reviews</v>
      </c>
    </row>
    <row r="483">
      <c r="A483" s="3">
        <f t="shared" si="1"/>
        <v>482</v>
      </c>
      <c r="B483" s="4" t="s">
        <v>3826</v>
      </c>
      <c r="C483" s="5">
        <v>39.2847064</v>
      </c>
      <c r="D483" s="5">
        <v>-76.620486</v>
      </c>
      <c r="E483" s="4" t="s">
        <v>3827</v>
      </c>
      <c r="F483" s="4" t="s">
        <v>3828</v>
      </c>
      <c r="G483" s="14"/>
      <c r="H483" s="4" t="s">
        <v>303</v>
      </c>
      <c r="I483" s="4" t="s">
        <v>81</v>
      </c>
      <c r="J483" s="4" t="s">
        <v>3829</v>
      </c>
      <c r="K483" s="4"/>
      <c r="L483" s="4" t="s">
        <v>3830</v>
      </c>
      <c r="M483" s="4">
        <v>12.0</v>
      </c>
      <c r="N483" s="5">
        <v>15.91666667</v>
      </c>
      <c r="O483" s="5" t="s">
        <v>741</v>
      </c>
      <c r="P483" s="9">
        <v>9082026.0</v>
      </c>
      <c r="Q483" s="7" t="str">
        <f>IF(OR(ISBLANK(M483), ISBLANK(N483)), "", IF(N483 &lt; Sheet3!$B$6, "Insufficient Reviews", IF(M483 &gt;= Sheet3!$B$2, "Highly Reliable", IF(M483 &gt;= Sheet3!$B$3, "Reliable", IF(M483 &gt;= Sheet3!$B$4, "Mixed Reviews", "Low Reliability")))))</f>
        <v>Insufficient Reviews</v>
      </c>
    </row>
    <row r="484">
      <c r="A484" s="3">
        <f t="shared" si="1"/>
        <v>483</v>
      </c>
      <c r="B484" s="4" t="s">
        <v>3831</v>
      </c>
      <c r="C484" s="5">
        <v>39.2971126</v>
      </c>
      <c r="D484" s="5">
        <v>-76.635486</v>
      </c>
      <c r="E484" s="4" t="s">
        <v>3832</v>
      </c>
      <c r="F484" s="4" t="s">
        <v>3833</v>
      </c>
      <c r="G484" s="14"/>
      <c r="H484" s="14"/>
      <c r="I484" s="4" t="s">
        <v>81</v>
      </c>
      <c r="J484" s="4" t="s">
        <v>3834</v>
      </c>
      <c r="K484" s="4"/>
      <c r="L484" s="4" t="s">
        <v>3835</v>
      </c>
      <c r="M484" s="4">
        <v>63.22787191</v>
      </c>
      <c r="N484" s="5">
        <v>71.15580266</v>
      </c>
      <c r="O484" s="5" t="s">
        <v>3836</v>
      </c>
      <c r="P484" s="9">
        <v>9082026.0</v>
      </c>
      <c r="Q484" s="7" t="str">
        <f>IF(OR(ISBLANK(M484), ISBLANK(N484)), "", IF(N484 &lt; Sheet3!$B$6, "Insufficient Reviews", IF(M484 &gt;= Sheet3!$B$2, "Highly Reliable", IF(M484 &gt;= Sheet3!$B$3, "Reliable", IF(M484 &gt;= Sheet3!$B$4, "Mixed Reviews", "Low Reliability")))))</f>
        <v>Mixed Reviews</v>
      </c>
    </row>
    <row r="485">
      <c r="A485" s="3">
        <f t="shared" si="1"/>
        <v>484</v>
      </c>
      <c r="B485" s="4" t="s">
        <v>3837</v>
      </c>
      <c r="C485" s="5">
        <v>39.33846</v>
      </c>
      <c r="D485" s="5">
        <v>-76.690198</v>
      </c>
      <c r="E485" s="4" t="s">
        <v>3838</v>
      </c>
      <c r="F485" s="4" t="s">
        <v>3839</v>
      </c>
      <c r="G485" s="14"/>
      <c r="H485" s="14"/>
      <c r="I485" s="4" t="s">
        <v>81</v>
      </c>
      <c r="J485" s="4" t="s">
        <v>3840</v>
      </c>
      <c r="K485" s="4"/>
      <c r="L485" s="4" t="s">
        <v>3841</v>
      </c>
      <c r="M485" s="4">
        <v>7.5</v>
      </c>
      <c r="N485" s="5">
        <v>15.19666667</v>
      </c>
      <c r="O485" s="5" t="s">
        <v>3842</v>
      </c>
      <c r="P485" s="9">
        <v>9082026.0</v>
      </c>
      <c r="Q485" s="7" t="str">
        <f>IF(OR(ISBLANK(M485), ISBLANK(N485)), "", IF(N485 &lt; Sheet3!$B$6, "Insufficient Reviews", IF(M485 &gt;= Sheet3!$B$2, "Highly Reliable", IF(M485 &gt;= Sheet3!$B$3, "Reliable", IF(M485 &gt;= Sheet3!$B$4, "Mixed Reviews", "Low Reliability")))))</f>
        <v>Insufficient Reviews</v>
      </c>
    </row>
    <row r="486">
      <c r="A486" s="3">
        <f t="shared" si="1"/>
        <v>485</v>
      </c>
      <c r="B486" s="4" t="s">
        <v>3843</v>
      </c>
      <c r="C486" s="5">
        <v>38.804821</v>
      </c>
      <c r="D486" s="5">
        <v>-77.2369665</v>
      </c>
      <c r="E486" s="4" t="s">
        <v>3844</v>
      </c>
      <c r="F486" s="4" t="s">
        <v>3845</v>
      </c>
      <c r="G486" s="4"/>
      <c r="H486" s="4" t="s">
        <v>3846</v>
      </c>
      <c r="I486" s="4" t="s">
        <v>81</v>
      </c>
      <c r="J486" s="4" t="s">
        <v>3847</v>
      </c>
      <c r="K486" s="4"/>
      <c r="L486" s="4" t="s">
        <v>3848</v>
      </c>
      <c r="M486" s="4">
        <v>12.0</v>
      </c>
      <c r="N486" s="5">
        <v>15.91666667</v>
      </c>
      <c r="O486" s="5" t="s">
        <v>741</v>
      </c>
      <c r="P486" s="9">
        <v>9082026.0</v>
      </c>
      <c r="Q486" s="7" t="str">
        <f>IF(OR(ISBLANK(M486), ISBLANK(N486)), "", IF(N486 &lt; Sheet3!$B$6, "Insufficient Reviews", IF(M486 &gt;= Sheet3!$B$2, "Highly Reliable", IF(M486 &gt;= Sheet3!$B$3, "Reliable", IF(M486 &gt;= Sheet3!$B$4, "Mixed Reviews", "Low Reliability")))))</f>
        <v>Insufficient Reviews</v>
      </c>
    </row>
    <row r="487">
      <c r="A487" s="3">
        <f t="shared" si="1"/>
        <v>486</v>
      </c>
      <c r="B487" s="4" t="s">
        <v>3849</v>
      </c>
      <c r="C487" s="5">
        <v>39.328805</v>
      </c>
      <c r="D487" s="5">
        <v>-76.537686</v>
      </c>
      <c r="E487" s="4" t="s">
        <v>3850</v>
      </c>
      <c r="F487" s="4" t="s">
        <v>3851</v>
      </c>
      <c r="G487" s="4"/>
      <c r="H487" s="4" t="s">
        <v>135</v>
      </c>
      <c r="I487" s="4" t="s">
        <v>81</v>
      </c>
      <c r="J487" s="4" t="s">
        <v>3852</v>
      </c>
      <c r="K487" s="8" t="s">
        <v>3853</v>
      </c>
      <c r="L487" s="4" t="s">
        <v>3854</v>
      </c>
      <c r="M487" s="4">
        <v>81.04263557</v>
      </c>
      <c r="N487" s="5">
        <v>59.26068732</v>
      </c>
      <c r="O487" s="5" t="s">
        <v>3855</v>
      </c>
      <c r="P487" s="9">
        <v>9082026.0</v>
      </c>
      <c r="Q487" s="7" t="str">
        <f>IF(OR(ISBLANK(M487), ISBLANK(N487)), "", IF(N487 &lt; Sheet3!$B$6, "Insufficient Reviews", IF(M487 &gt;= Sheet3!$B$2, "Highly Reliable", IF(M487 &gt;= Sheet3!$B$3, "Reliable", IF(M487 &gt;= Sheet3!$B$4, "Mixed Reviews", "Low Reliability")))))</f>
        <v>Reliable</v>
      </c>
    </row>
    <row r="488">
      <c r="A488" s="3">
        <f t="shared" si="1"/>
        <v>487</v>
      </c>
      <c r="B488" s="4" t="s">
        <v>3856</v>
      </c>
      <c r="C488" s="5">
        <v>39.3360341</v>
      </c>
      <c r="D488" s="5">
        <v>-76.7635472</v>
      </c>
      <c r="E488" s="4" t="s">
        <v>3857</v>
      </c>
      <c r="F488" s="4" t="s">
        <v>3858</v>
      </c>
      <c r="G488" s="4"/>
      <c r="H488" s="4" t="s">
        <v>3859</v>
      </c>
      <c r="I488" s="4" t="s">
        <v>91</v>
      </c>
      <c r="J488" s="4" t="s">
        <v>3860</v>
      </c>
      <c r="K488" s="4"/>
      <c r="L488" s="4" t="s">
        <v>3861</v>
      </c>
      <c r="M488" s="4">
        <v>73.81714662</v>
      </c>
      <c r="N488" s="5">
        <v>45.38710036</v>
      </c>
      <c r="O488" s="5" t="s">
        <v>3862</v>
      </c>
      <c r="P488" s="9">
        <v>9082026.0</v>
      </c>
      <c r="Q488" s="7" t="str">
        <f>IF(OR(ISBLANK(M488), ISBLANK(N488)), "", IF(N488 &lt; Sheet3!$B$6, "Insufficient Reviews", IF(M488 &gt;= Sheet3!$B$2, "Highly Reliable", IF(M488 &gt;= Sheet3!$B$3, "Reliable", IF(M488 &gt;= Sheet3!$B$4, "Mixed Reviews", "Low Reliability")))))</f>
        <v>Reliable</v>
      </c>
    </row>
    <row r="489">
      <c r="A489" s="3">
        <f t="shared" si="1"/>
        <v>488</v>
      </c>
      <c r="B489" s="4" t="s">
        <v>3863</v>
      </c>
      <c r="C489" s="5">
        <v>39.3137441</v>
      </c>
      <c r="D489" s="5">
        <v>-76.6498055</v>
      </c>
      <c r="E489" s="4" t="s">
        <v>3864</v>
      </c>
      <c r="F489" s="4" t="s">
        <v>3865</v>
      </c>
      <c r="G489" s="4"/>
      <c r="H489" s="4" t="s">
        <v>3866</v>
      </c>
      <c r="I489" s="4" t="s">
        <v>81</v>
      </c>
      <c r="J489" s="4" t="s">
        <v>3867</v>
      </c>
      <c r="K489" s="4"/>
      <c r="L489" s="4" t="s">
        <v>3868</v>
      </c>
      <c r="M489" s="4">
        <v>54.26168018</v>
      </c>
      <c r="N489" s="5">
        <v>42.55041988</v>
      </c>
      <c r="O489" s="5" t="s">
        <v>3869</v>
      </c>
      <c r="P489" s="9">
        <v>9082026.0</v>
      </c>
      <c r="Q489" s="7" t="str">
        <f>IF(OR(ISBLANK(M489), ISBLANK(N489)), "", IF(N489 &lt; Sheet3!$B$6, "Insufficient Reviews", IF(M489 &gt;= Sheet3!$B$2, "Highly Reliable", IF(M489 &gt;= Sheet3!$B$3, "Reliable", IF(M489 &gt;= Sheet3!$B$4, "Mixed Reviews", "Low Reliability")))))</f>
        <v>Low Reliability</v>
      </c>
    </row>
    <row r="490">
      <c r="A490" s="3">
        <f t="shared" si="1"/>
        <v>489</v>
      </c>
      <c r="B490" s="4" t="s">
        <v>3870</v>
      </c>
      <c r="C490" s="5">
        <v>39.3661489</v>
      </c>
      <c r="D490" s="5">
        <v>-76.530872</v>
      </c>
      <c r="E490" s="4" t="s">
        <v>3871</v>
      </c>
      <c r="F490" s="4" t="s">
        <v>3872</v>
      </c>
      <c r="G490" s="4"/>
      <c r="H490" s="14"/>
      <c r="I490" s="4" t="s">
        <v>81</v>
      </c>
      <c r="J490" s="4" t="s">
        <v>3873</v>
      </c>
      <c r="K490" s="4"/>
      <c r="L490" s="4" t="s">
        <v>3874</v>
      </c>
      <c r="M490" s="4">
        <v>76.11416743</v>
      </c>
      <c r="N490" s="5">
        <v>31.08887392</v>
      </c>
      <c r="O490" s="5" t="s">
        <v>3875</v>
      </c>
      <c r="P490" s="9">
        <v>9082026.0</v>
      </c>
      <c r="Q490" s="7" t="str">
        <f>IF(OR(ISBLANK(M490), ISBLANK(N490)), "", IF(N490 &lt; Sheet3!$B$6, "Insufficient Reviews", IF(M490 &gt;= Sheet3!$B$2, "Highly Reliable", IF(M490 &gt;= Sheet3!$B$3, "Reliable", IF(M490 &gt;= Sheet3!$B$4, "Mixed Reviews", "Low Reliability")))))</f>
        <v>Insufficient Reviews</v>
      </c>
    </row>
    <row r="491">
      <c r="A491" s="3">
        <f t="shared" si="1"/>
        <v>490</v>
      </c>
      <c r="B491" s="4" t="s">
        <v>3876</v>
      </c>
      <c r="C491" s="5">
        <v>39.3572479</v>
      </c>
      <c r="D491" s="5">
        <v>-76.670471</v>
      </c>
      <c r="E491" s="4" t="s">
        <v>3877</v>
      </c>
      <c r="F491" s="4" t="s">
        <v>3878</v>
      </c>
      <c r="G491" s="4"/>
      <c r="H491" s="14"/>
      <c r="I491" s="4" t="s">
        <v>81</v>
      </c>
      <c r="J491" s="4" t="s">
        <v>3879</v>
      </c>
      <c r="K491" s="4"/>
      <c r="L491" s="4" t="s">
        <v>3880</v>
      </c>
      <c r="M491" s="4">
        <v>59.1</v>
      </c>
      <c r="N491" s="5">
        <v>26.66723292</v>
      </c>
      <c r="O491" s="5" t="s">
        <v>3400</v>
      </c>
      <c r="P491" s="9">
        <v>9082026.0</v>
      </c>
      <c r="Q491" s="7" t="str">
        <f>IF(OR(ISBLANK(M491), ISBLANK(N491)), "", IF(N491 &lt; Sheet3!$B$6, "Insufficient Reviews", IF(M491 &gt;= Sheet3!$B$2, "Highly Reliable", IF(M491 &gt;= Sheet3!$B$3, "Reliable", IF(M491 &gt;= Sheet3!$B$4, "Mixed Reviews", "Low Reliability")))))</f>
        <v>Insufficient Reviews</v>
      </c>
    </row>
    <row r="492">
      <c r="A492" s="3">
        <f t="shared" si="1"/>
        <v>491</v>
      </c>
      <c r="B492" s="4" t="s">
        <v>2193</v>
      </c>
      <c r="C492" s="5">
        <v>39.3815881</v>
      </c>
      <c r="D492" s="5">
        <v>-76.7642333</v>
      </c>
      <c r="E492" s="4" t="s">
        <v>2194</v>
      </c>
      <c r="F492" s="4" t="s">
        <v>2195</v>
      </c>
      <c r="G492" s="4" t="s">
        <v>3881</v>
      </c>
      <c r="H492" s="4" t="s">
        <v>135</v>
      </c>
      <c r="I492" s="4" t="s">
        <v>81</v>
      </c>
      <c r="J492" s="4" t="s">
        <v>3882</v>
      </c>
      <c r="K492" s="8" t="s">
        <v>2198</v>
      </c>
      <c r="L492" s="4" t="s">
        <v>3883</v>
      </c>
      <c r="M492" s="4">
        <v>82.32875284</v>
      </c>
      <c r="N492" s="5">
        <v>70.42298904</v>
      </c>
      <c r="O492" s="5" t="s">
        <v>3884</v>
      </c>
      <c r="P492" s="9">
        <v>9082026.0</v>
      </c>
      <c r="Q492" s="7" t="str">
        <f>IF(OR(ISBLANK(M492), ISBLANK(N492)), "", IF(N492 &lt; Sheet3!$B$6, "Insufficient Reviews", IF(M492 &gt;= Sheet3!$B$2, "Highly Reliable", IF(M492 &gt;= Sheet3!$B$3, "Reliable", IF(M492 &gt;= Sheet3!$B$4, "Mixed Reviews", "Low Reliability")))))</f>
        <v>Highly Reliable</v>
      </c>
    </row>
    <row r="493">
      <c r="A493" s="3">
        <f t="shared" si="1"/>
        <v>492</v>
      </c>
      <c r="B493" s="4" t="s">
        <v>3885</v>
      </c>
      <c r="C493" s="5">
        <v>39.2695134</v>
      </c>
      <c r="D493" s="5">
        <v>-76.5039648</v>
      </c>
      <c r="E493" s="4" t="s">
        <v>3886</v>
      </c>
      <c r="F493" s="4" t="s">
        <v>3887</v>
      </c>
      <c r="G493" s="4" t="s">
        <v>3888</v>
      </c>
      <c r="H493" s="4" t="s">
        <v>3889</v>
      </c>
      <c r="I493" s="4" t="s">
        <v>27</v>
      </c>
      <c r="J493" s="4" t="s">
        <v>3890</v>
      </c>
      <c r="K493" s="8" t="s">
        <v>3891</v>
      </c>
      <c r="L493" s="4" t="s">
        <v>3892</v>
      </c>
      <c r="M493" s="4">
        <v>70.86763736</v>
      </c>
      <c r="N493" s="5">
        <v>72.55991484</v>
      </c>
      <c r="O493" s="5" t="s">
        <v>3893</v>
      </c>
      <c r="P493" s="9">
        <v>9082026.0</v>
      </c>
      <c r="Q493" s="7" t="str">
        <f>IF(OR(ISBLANK(M493), ISBLANK(N493)), "", IF(N493 &lt; Sheet3!$B$6, "Insufficient Reviews", IF(M493 &gt;= Sheet3!$B$2, "Highly Reliable", IF(M493 &gt;= Sheet3!$B$3, "Reliable", IF(M493 &gt;= Sheet3!$B$4, "Mixed Reviews", "Low Reliability")))))</f>
        <v>Reliable</v>
      </c>
    </row>
    <row r="494">
      <c r="A494" s="3">
        <f t="shared" si="1"/>
        <v>493</v>
      </c>
      <c r="B494" s="4" t="s">
        <v>3894</v>
      </c>
      <c r="C494" s="5">
        <v>39.2886438</v>
      </c>
      <c r="D494" s="5">
        <v>-76.5080198</v>
      </c>
      <c r="E494" s="4" t="s">
        <v>3895</v>
      </c>
      <c r="F494" s="4" t="s">
        <v>3896</v>
      </c>
      <c r="G494" s="14"/>
      <c r="H494" s="4" t="s">
        <v>135</v>
      </c>
      <c r="I494" s="4" t="s">
        <v>91</v>
      </c>
      <c r="J494" s="4" t="s">
        <v>3897</v>
      </c>
      <c r="K494" s="8" t="s">
        <v>3898</v>
      </c>
      <c r="L494" s="4" t="s">
        <v>3899</v>
      </c>
      <c r="M494" s="4">
        <v>79.03691285</v>
      </c>
      <c r="N494" s="5">
        <v>73.11973172</v>
      </c>
      <c r="O494" s="5" t="s">
        <v>3900</v>
      </c>
      <c r="P494" s="9">
        <v>9082026.0</v>
      </c>
      <c r="Q494" s="7" t="str">
        <f>IF(OR(ISBLANK(M494), ISBLANK(N494)), "", IF(N494 &lt; Sheet3!$B$6, "Insufficient Reviews", IF(M494 &gt;= Sheet3!$B$2, "Highly Reliable", IF(M494 &gt;= Sheet3!$B$3, "Reliable", IF(M494 &gt;= Sheet3!$B$4, "Mixed Reviews", "Low Reliability")))))</f>
        <v>Reliable</v>
      </c>
    </row>
    <row r="495">
      <c r="A495" s="3">
        <f t="shared" si="1"/>
        <v>494</v>
      </c>
      <c r="B495" s="4" t="s">
        <v>3901</v>
      </c>
      <c r="C495" s="5">
        <v>39.3425601</v>
      </c>
      <c r="D495" s="5">
        <v>-76.6646071</v>
      </c>
      <c r="E495" s="4" t="s">
        <v>3902</v>
      </c>
      <c r="F495" s="4" t="s">
        <v>3903</v>
      </c>
      <c r="G495" s="4"/>
      <c r="H495" s="4" t="s">
        <v>135</v>
      </c>
      <c r="I495" s="4" t="s">
        <v>91</v>
      </c>
      <c r="J495" s="4" t="s">
        <v>3904</v>
      </c>
      <c r="K495" s="8" t="s">
        <v>3905</v>
      </c>
      <c r="L495" s="4" t="s">
        <v>3906</v>
      </c>
      <c r="M495" s="4">
        <v>59.24429686</v>
      </c>
      <c r="N495" s="5">
        <v>71.39716375</v>
      </c>
      <c r="O495" s="5" t="s">
        <v>3907</v>
      </c>
      <c r="P495" s="9">
        <v>9082026.0</v>
      </c>
      <c r="Q495" s="7" t="str">
        <f>IF(OR(ISBLANK(M495), ISBLANK(N495)), "", IF(N495 &lt; Sheet3!$B$6, "Insufficient Reviews", IF(M495 &gt;= Sheet3!$B$2, "Highly Reliable", IF(M495 &gt;= Sheet3!$B$3, "Reliable", IF(M495 &gt;= Sheet3!$B$4, "Mixed Reviews", "Low Reliability")))))</f>
        <v>Low Reliability</v>
      </c>
    </row>
    <row r="496">
      <c r="A496" s="3">
        <f t="shared" si="1"/>
        <v>495</v>
      </c>
      <c r="B496" s="4" t="s">
        <v>3908</v>
      </c>
      <c r="C496" s="5">
        <v>39.3588965</v>
      </c>
      <c r="D496" s="5">
        <v>-76.7812877</v>
      </c>
      <c r="E496" s="4" t="s">
        <v>3909</v>
      </c>
      <c r="F496" s="4" t="s">
        <v>3910</v>
      </c>
      <c r="G496" s="14"/>
      <c r="H496" s="4" t="s">
        <v>135</v>
      </c>
      <c r="I496" s="4" t="s">
        <v>91</v>
      </c>
      <c r="J496" s="4" t="s">
        <v>3911</v>
      </c>
      <c r="K496" s="8" t="s">
        <v>3912</v>
      </c>
      <c r="L496" s="4" t="s">
        <v>3913</v>
      </c>
      <c r="M496" s="4">
        <v>62.13329863</v>
      </c>
      <c r="N496" s="5">
        <v>93.15828683</v>
      </c>
      <c r="O496" s="5" t="s">
        <v>3914</v>
      </c>
      <c r="P496" s="9">
        <v>9082026.0</v>
      </c>
      <c r="Q496" s="7" t="str">
        <f>IF(OR(ISBLANK(M496), ISBLANK(N496)), "", IF(N496 &lt; Sheet3!$B$6, "Insufficient Reviews", IF(M496 &gt;= Sheet3!$B$2, "Highly Reliable", IF(M496 &gt;= Sheet3!$B$3, "Reliable", IF(M496 &gt;= Sheet3!$B$4, "Mixed Reviews", "Low Reliability")))))</f>
        <v>Mixed Reviews</v>
      </c>
    </row>
    <row r="497">
      <c r="A497" s="3">
        <f t="shared" si="1"/>
        <v>496</v>
      </c>
      <c r="B497" s="4" t="s">
        <v>3915</v>
      </c>
      <c r="C497" s="5">
        <v>39.3455166</v>
      </c>
      <c r="D497" s="5">
        <v>-76.5925795</v>
      </c>
      <c r="E497" s="4" t="s">
        <v>3916</v>
      </c>
      <c r="F497" s="4" t="s">
        <v>3917</v>
      </c>
      <c r="G497" s="4" t="s">
        <v>3918</v>
      </c>
      <c r="H497" s="4" t="s">
        <v>2417</v>
      </c>
      <c r="I497" s="4" t="s">
        <v>203</v>
      </c>
      <c r="J497" s="4" t="s">
        <v>3919</v>
      </c>
      <c r="K497" s="8" t="s">
        <v>3920</v>
      </c>
      <c r="L497" s="4" t="s">
        <v>3921</v>
      </c>
      <c r="M497" s="4">
        <v>78.8426041</v>
      </c>
      <c r="N497" s="5">
        <v>72.77389961</v>
      </c>
      <c r="O497" s="5" t="s">
        <v>3922</v>
      </c>
      <c r="P497" s="9">
        <v>9082026.0</v>
      </c>
      <c r="Q497" s="7" t="str">
        <f>IF(OR(ISBLANK(M497), ISBLANK(N497)), "", IF(N497 &lt; Sheet3!$B$6, "Insufficient Reviews", IF(M497 &gt;= Sheet3!$B$2, "Highly Reliable", IF(M497 &gt;= Sheet3!$B$3, "Reliable", IF(M497 &gt;= Sheet3!$B$4, "Mixed Reviews", "Low Reliability")))))</f>
        <v>Reliable</v>
      </c>
    </row>
    <row r="498">
      <c r="A498" s="3">
        <f t="shared" si="1"/>
        <v>497</v>
      </c>
      <c r="B498" s="4" t="s">
        <v>3923</v>
      </c>
      <c r="C498" s="5">
        <v>39.3313413</v>
      </c>
      <c r="D498" s="5">
        <v>-76.6980597</v>
      </c>
      <c r="E498" s="4" t="s">
        <v>3924</v>
      </c>
      <c r="F498" s="4" t="s">
        <v>3925</v>
      </c>
      <c r="G498" s="4"/>
      <c r="H498" s="4" t="s">
        <v>62</v>
      </c>
      <c r="I498" s="4" t="s">
        <v>81</v>
      </c>
      <c r="J498" s="4" t="s">
        <v>3926</v>
      </c>
      <c r="K498" s="8" t="s">
        <v>3927</v>
      </c>
      <c r="L498" s="4" t="s">
        <v>3928</v>
      </c>
      <c r="M498" s="4">
        <v>57.99611447</v>
      </c>
      <c r="N498" s="5">
        <v>51.28585883</v>
      </c>
      <c r="O498" s="5" t="s">
        <v>3929</v>
      </c>
      <c r="P498" s="9">
        <v>9082026.0</v>
      </c>
      <c r="Q498" s="7" t="str">
        <f>IF(OR(ISBLANK(M498), ISBLANK(N498)), "", IF(N498 &lt; Sheet3!$B$6, "Insufficient Reviews", IF(M498 &gt;= Sheet3!$B$2, "Highly Reliable", IF(M498 &gt;= Sheet3!$B$3, "Reliable", IF(M498 &gt;= Sheet3!$B$4, "Mixed Reviews", "Low Reliability")))))</f>
        <v>Low Reliability</v>
      </c>
    </row>
    <row r="499">
      <c r="A499" s="3">
        <f t="shared" si="1"/>
        <v>498</v>
      </c>
      <c r="B499" s="4" t="s">
        <v>3477</v>
      </c>
      <c r="C499" s="5">
        <v>39.3549547</v>
      </c>
      <c r="D499" s="5">
        <v>-76.5310077</v>
      </c>
      <c r="E499" s="4" t="s">
        <v>3930</v>
      </c>
      <c r="F499" s="4" t="s">
        <v>3931</v>
      </c>
      <c r="G499" s="4"/>
      <c r="H499" s="4" t="s">
        <v>135</v>
      </c>
      <c r="I499" s="4" t="s">
        <v>81</v>
      </c>
      <c r="J499" s="4" t="s">
        <v>3932</v>
      </c>
      <c r="K499" s="4"/>
      <c r="L499" s="4" t="s">
        <v>3933</v>
      </c>
      <c r="M499" s="4">
        <v>69.0</v>
      </c>
      <c r="N499" s="5">
        <v>20.24109563</v>
      </c>
      <c r="O499" s="5" t="s">
        <v>3934</v>
      </c>
      <c r="P499" s="9">
        <v>9082026.0</v>
      </c>
      <c r="Q499" s="7" t="str">
        <f>IF(OR(ISBLANK(M499), ISBLANK(N499)), "", IF(N499 &lt; Sheet3!$B$6, "Insufficient Reviews", IF(M499 &gt;= Sheet3!$B$2, "Highly Reliable", IF(M499 &gt;= Sheet3!$B$3, "Reliable", IF(M499 &gt;= Sheet3!$B$4, "Mixed Reviews", "Low Reliability")))))</f>
        <v>Insufficient Reviews</v>
      </c>
    </row>
    <row r="500">
      <c r="A500" s="3">
        <f t="shared" si="1"/>
        <v>499</v>
      </c>
      <c r="B500" s="4" t="s">
        <v>3935</v>
      </c>
      <c r="C500" s="5">
        <v>39.3593809</v>
      </c>
      <c r="D500" s="5">
        <v>-76.7837289</v>
      </c>
      <c r="E500" s="4" t="s">
        <v>3936</v>
      </c>
      <c r="F500" s="4" t="s">
        <v>3937</v>
      </c>
      <c r="G500" s="4" t="s">
        <v>3938</v>
      </c>
      <c r="H500" s="4" t="s">
        <v>135</v>
      </c>
      <c r="I500" s="4" t="s">
        <v>91</v>
      </c>
      <c r="J500" s="4" t="s">
        <v>3939</v>
      </c>
      <c r="K500" s="8" t="s">
        <v>3940</v>
      </c>
      <c r="L500" s="4" t="s">
        <v>3941</v>
      </c>
      <c r="M500" s="4">
        <v>72.37043109</v>
      </c>
      <c r="N500" s="5">
        <v>71.42782141</v>
      </c>
      <c r="O500" s="5" t="s">
        <v>3942</v>
      </c>
      <c r="P500" s="9">
        <v>9082026.0</v>
      </c>
      <c r="Q500" s="7" t="str">
        <f>IF(OR(ISBLANK(M500), ISBLANK(N500)), "", IF(N500 &lt; Sheet3!$B$6, "Insufficient Reviews", IF(M500 &gt;= Sheet3!$B$2, "Highly Reliable", IF(M500 &gt;= Sheet3!$B$3, "Reliable", IF(M500 &gt;= Sheet3!$B$4, "Mixed Reviews", "Low Reliability")))))</f>
        <v>Reliable</v>
      </c>
    </row>
    <row r="501">
      <c r="A501" s="3">
        <f t="shared" si="1"/>
        <v>500</v>
      </c>
      <c r="B501" s="4" t="s">
        <v>3943</v>
      </c>
      <c r="C501" s="5">
        <v>39.3644006</v>
      </c>
      <c r="D501" s="5">
        <v>-76.775455</v>
      </c>
      <c r="E501" s="4" t="s">
        <v>3944</v>
      </c>
      <c r="F501" s="4" t="s">
        <v>3945</v>
      </c>
      <c r="G501" s="4" t="s">
        <v>3946</v>
      </c>
      <c r="H501" s="4"/>
      <c r="I501" s="4" t="s">
        <v>81</v>
      </c>
      <c r="J501" s="4" t="s">
        <v>3947</v>
      </c>
      <c r="K501" s="8" t="s">
        <v>3948</v>
      </c>
      <c r="L501" s="4" t="s">
        <v>3949</v>
      </c>
      <c r="M501" s="4">
        <v>72.14957243</v>
      </c>
      <c r="N501" s="5">
        <v>52.03046901</v>
      </c>
      <c r="O501" s="5" t="s">
        <v>3950</v>
      </c>
      <c r="P501" s="9">
        <v>9082026.0</v>
      </c>
      <c r="Q501" s="7" t="str">
        <f>IF(OR(ISBLANK(M501), ISBLANK(N501)), "", IF(N501 &lt; Sheet3!$B$6, "Insufficient Reviews", IF(M501 &gt;= Sheet3!$B$2, "Highly Reliable", IF(M501 &gt;= Sheet3!$B$3, "Reliable", IF(M501 &gt;= Sheet3!$B$4, "Mixed Reviews", "Low Reliability")))))</f>
        <v>Reliable</v>
      </c>
    </row>
    <row r="502">
      <c r="A502" s="3">
        <f t="shared" si="1"/>
        <v>501</v>
      </c>
      <c r="B502" s="4" t="s">
        <v>3951</v>
      </c>
      <c r="C502" s="5">
        <v>39.3743288</v>
      </c>
      <c r="D502" s="5">
        <v>-76.5244263</v>
      </c>
      <c r="E502" s="4" t="s">
        <v>3952</v>
      </c>
      <c r="F502" s="4" t="s">
        <v>3953</v>
      </c>
      <c r="G502" s="4"/>
      <c r="H502" s="4" t="s">
        <v>135</v>
      </c>
      <c r="I502" s="4" t="s">
        <v>81</v>
      </c>
      <c r="J502" s="4" t="s">
        <v>3954</v>
      </c>
      <c r="K502" s="8" t="s">
        <v>3955</v>
      </c>
      <c r="L502" s="4" t="s">
        <v>3956</v>
      </c>
      <c r="M502" s="4">
        <v>77.63553096</v>
      </c>
      <c r="N502" s="5">
        <v>48.42978294</v>
      </c>
      <c r="O502" s="5" t="s">
        <v>3957</v>
      </c>
      <c r="P502" s="9">
        <v>9082026.0</v>
      </c>
      <c r="Q502" s="7" t="str">
        <f>IF(OR(ISBLANK(M502), ISBLANK(N502)), "", IF(N502 &lt; Sheet3!$B$6, "Insufficient Reviews", IF(M502 &gt;= Sheet3!$B$2, "Highly Reliable", IF(M502 &gt;= Sheet3!$B$3, "Reliable", IF(M502 &gt;= Sheet3!$B$4, "Mixed Reviews", "Low Reliability")))))</f>
        <v>Reliable</v>
      </c>
    </row>
    <row r="503">
      <c r="A503" s="3">
        <f t="shared" si="1"/>
        <v>502</v>
      </c>
      <c r="B503" s="4" t="s">
        <v>3958</v>
      </c>
      <c r="C503" s="5">
        <v>39.3071891</v>
      </c>
      <c r="D503" s="5">
        <v>-76.5993384</v>
      </c>
      <c r="E503" s="4" t="s">
        <v>3959</v>
      </c>
      <c r="F503" s="4" t="s">
        <v>3960</v>
      </c>
      <c r="G503" s="14"/>
      <c r="H503" s="14"/>
      <c r="I503" s="4" t="s">
        <v>27</v>
      </c>
      <c r="J503" s="4" t="s">
        <v>3961</v>
      </c>
      <c r="K503" s="4"/>
      <c r="L503" s="4" t="s">
        <v>3962</v>
      </c>
      <c r="M503" s="4">
        <v>54.68838368</v>
      </c>
      <c r="N503" s="5">
        <v>46.11147822</v>
      </c>
      <c r="O503" s="5" t="s">
        <v>3963</v>
      </c>
      <c r="P503" s="9">
        <v>9082026.0</v>
      </c>
      <c r="Q503" s="7" t="str">
        <f>IF(OR(ISBLANK(M503), ISBLANK(N503)), "", IF(N503 &lt; Sheet3!$B$6, "Insufficient Reviews", IF(M503 &gt;= Sheet3!$B$2, "Highly Reliable", IF(M503 &gt;= Sheet3!$B$3, "Reliable", IF(M503 &gt;= Sheet3!$B$4, "Mixed Reviews", "Low Reliability")))))</f>
        <v>Low Reliability</v>
      </c>
    </row>
    <row r="504">
      <c r="A504" s="3">
        <f t="shared" si="1"/>
        <v>503</v>
      </c>
      <c r="B504" s="4" t="s">
        <v>3964</v>
      </c>
      <c r="C504" s="5">
        <v>39.3097058</v>
      </c>
      <c r="D504" s="5">
        <v>-76.587864</v>
      </c>
      <c r="E504" s="4" t="s">
        <v>3965</v>
      </c>
      <c r="F504" s="4" t="s">
        <v>3966</v>
      </c>
      <c r="G504" s="4"/>
      <c r="H504" s="14"/>
      <c r="I504" s="4" t="s">
        <v>27</v>
      </c>
      <c r="J504" s="4" t="s">
        <v>3967</v>
      </c>
      <c r="K504" s="4"/>
      <c r="L504" s="4" t="s">
        <v>3968</v>
      </c>
      <c r="M504" s="4">
        <v>76.14812576</v>
      </c>
      <c r="N504" s="5">
        <v>52.13476562</v>
      </c>
      <c r="O504" s="5" t="s">
        <v>3969</v>
      </c>
      <c r="P504" s="9">
        <v>9082026.0</v>
      </c>
      <c r="Q504" s="7" t="str">
        <f>IF(OR(ISBLANK(M504), ISBLANK(N504)), "", IF(N504 &lt; Sheet3!$B$6, "Insufficient Reviews", IF(M504 &gt;= Sheet3!$B$2, "Highly Reliable", IF(M504 &gt;= Sheet3!$B$3, "Reliable", IF(M504 &gt;= Sheet3!$B$4, "Mixed Reviews", "Low Reliability")))))</f>
        <v>Reliable</v>
      </c>
    </row>
    <row r="505">
      <c r="A505" s="3">
        <f t="shared" si="1"/>
        <v>504</v>
      </c>
      <c r="B505" s="4" t="s">
        <v>3970</v>
      </c>
      <c r="C505" s="5">
        <v>39.4107928</v>
      </c>
      <c r="D505" s="5">
        <v>-76.6143371</v>
      </c>
      <c r="E505" s="4" t="s">
        <v>3971</v>
      </c>
      <c r="F505" s="4" t="s">
        <v>3972</v>
      </c>
      <c r="G505" s="4"/>
      <c r="H505" s="4" t="s">
        <v>135</v>
      </c>
      <c r="I505" s="4" t="s">
        <v>91</v>
      </c>
      <c r="J505" s="4" t="s">
        <v>3973</v>
      </c>
      <c r="K505" s="8" t="s">
        <v>3974</v>
      </c>
      <c r="L505" s="4" t="s">
        <v>3975</v>
      </c>
      <c r="M505" s="4">
        <v>80.23113782</v>
      </c>
      <c r="N505" s="5">
        <v>72.44125546</v>
      </c>
      <c r="O505" s="5" t="s">
        <v>3976</v>
      </c>
      <c r="P505" s="9">
        <v>9082026.0</v>
      </c>
      <c r="Q505" s="7" t="str">
        <f>IF(OR(ISBLANK(M505), ISBLANK(N505)), "", IF(N505 &lt; Sheet3!$B$6, "Insufficient Reviews", IF(M505 &gt;= Sheet3!$B$2, "Highly Reliable", IF(M505 &gt;= Sheet3!$B$3, "Reliable", IF(M505 &gt;= Sheet3!$B$4, "Mixed Reviews", "Low Reliability")))))</f>
        <v>Reliable</v>
      </c>
    </row>
    <row r="506">
      <c r="A506" s="3">
        <f t="shared" si="1"/>
        <v>505</v>
      </c>
      <c r="B506" s="4" t="s">
        <v>3977</v>
      </c>
      <c r="C506" s="5">
        <v>39.3424782</v>
      </c>
      <c r="D506" s="5">
        <v>-76.5387124</v>
      </c>
      <c r="E506" s="4" t="s">
        <v>3978</v>
      </c>
      <c r="F506" s="4" t="s">
        <v>3979</v>
      </c>
      <c r="G506" s="14"/>
      <c r="H506" s="4" t="s">
        <v>3980</v>
      </c>
      <c r="I506" s="4" t="s">
        <v>81</v>
      </c>
      <c r="J506" s="4" t="s">
        <v>3981</v>
      </c>
      <c r="K506" s="8" t="s">
        <v>3982</v>
      </c>
      <c r="L506" s="4" t="s">
        <v>3983</v>
      </c>
      <c r="M506" s="4">
        <v>16.5</v>
      </c>
      <c r="N506" s="5">
        <v>32.70333333</v>
      </c>
      <c r="O506" s="5" t="s">
        <v>1991</v>
      </c>
      <c r="P506" s="9">
        <v>9082026.0</v>
      </c>
      <c r="Q506" s="7" t="str">
        <f>IF(OR(ISBLANK(M506), ISBLANK(N506)), "", IF(N506 &lt; Sheet3!$B$6, "Insufficient Reviews", IF(M506 &gt;= Sheet3!$B$2, "Highly Reliable", IF(M506 &gt;= Sheet3!$B$3, "Reliable", IF(M506 &gt;= Sheet3!$B$4, "Mixed Reviews", "Low Reliability")))))</f>
        <v>Insufficient Reviews</v>
      </c>
    </row>
    <row r="507">
      <c r="A507" s="3">
        <f t="shared" si="1"/>
        <v>506</v>
      </c>
      <c r="B507" s="4" t="s">
        <v>3984</v>
      </c>
      <c r="C507" s="5">
        <v>39.2914009</v>
      </c>
      <c r="D507" s="5">
        <v>-76.5376786</v>
      </c>
      <c r="E507" s="4" t="s">
        <v>3985</v>
      </c>
      <c r="F507" s="4" t="s">
        <v>3986</v>
      </c>
      <c r="G507" s="4" t="s">
        <v>3987</v>
      </c>
      <c r="H507" s="4" t="s">
        <v>43</v>
      </c>
      <c r="I507" s="4" t="s">
        <v>81</v>
      </c>
      <c r="J507" s="4" t="s">
        <v>3988</v>
      </c>
      <c r="K507" s="8" t="s">
        <v>3989</v>
      </c>
      <c r="L507" s="4" t="s">
        <v>3990</v>
      </c>
      <c r="M507" s="4">
        <v>66.56822891</v>
      </c>
      <c r="N507" s="5">
        <v>59.19745869</v>
      </c>
      <c r="O507" s="5" t="s">
        <v>3991</v>
      </c>
      <c r="P507" s="9">
        <v>9082026.0</v>
      </c>
      <c r="Q507" s="7" t="str">
        <f>IF(OR(ISBLANK(M507), ISBLANK(N507)), "", IF(N507 &lt; Sheet3!$B$6, "Insufficient Reviews", IF(M507 &gt;= Sheet3!$B$2, "Highly Reliable", IF(M507 &gt;= Sheet3!$B$3, "Reliable", IF(M507 &gt;= Sheet3!$B$4, "Mixed Reviews", "Low Reliability")))))</f>
        <v>Mixed Reviews</v>
      </c>
    </row>
    <row r="508">
      <c r="A508" s="3">
        <f t="shared" si="1"/>
        <v>507</v>
      </c>
      <c r="B508" s="4" t="s">
        <v>3992</v>
      </c>
      <c r="C508" s="5">
        <v>39.360305</v>
      </c>
      <c r="D508" s="5">
        <v>-76.5196021</v>
      </c>
      <c r="E508" s="4" t="s">
        <v>3993</v>
      </c>
      <c r="F508" s="4" t="s">
        <v>3994</v>
      </c>
      <c r="G508" s="4"/>
      <c r="H508" s="14"/>
      <c r="I508" s="4" t="s">
        <v>27</v>
      </c>
      <c r="J508" s="4" t="s">
        <v>3995</v>
      </c>
      <c r="K508" s="8" t="s">
        <v>3996</v>
      </c>
      <c r="L508" s="4" t="s">
        <v>3997</v>
      </c>
      <c r="M508" s="4">
        <v>69.68789684</v>
      </c>
      <c r="N508" s="5">
        <v>91.57224949</v>
      </c>
      <c r="O508" s="5" t="s">
        <v>3998</v>
      </c>
      <c r="P508" s="9">
        <v>9082026.0</v>
      </c>
      <c r="Q508" s="7" t="str">
        <f>IF(OR(ISBLANK(M508), ISBLANK(N508)), "", IF(N508 &lt; Sheet3!$B$6, "Insufficient Reviews", IF(M508 &gt;= Sheet3!$B$2, "Highly Reliable", IF(M508 &gt;= Sheet3!$B$3, "Reliable", IF(M508 &gt;= Sheet3!$B$4, "Mixed Reviews", "Low Reliability")))))</f>
        <v>Mixed Reviews</v>
      </c>
    </row>
    <row r="509">
      <c r="A509" s="3">
        <f t="shared" si="1"/>
        <v>508</v>
      </c>
      <c r="B509" s="4" t="s">
        <v>3999</v>
      </c>
      <c r="C509" s="5">
        <v>39.4045502</v>
      </c>
      <c r="D509" s="5">
        <v>-76.8099224</v>
      </c>
      <c r="E509" s="4" t="s">
        <v>4000</v>
      </c>
      <c r="F509" s="4" t="s">
        <v>4001</v>
      </c>
      <c r="G509" s="4" t="s">
        <v>4002</v>
      </c>
      <c r="H509" s="4" t="s">
        <v>26</v>
      </c>
      <c r="I509" s="4" t="s">
        <v>81</v>
      </c>
      <c r="J509" s="4" t="s">
        <v>4003</v>
      </c>
      <c r="K509" s="8" t="s">
        <v>2241</v>
      </c>
      <c r="L509" s="4" t="s">
        <v>4004</v>
      </c>
      <c r="M509" s="4">
        <v>72.0070715</v>
      </c>
      <c r="N509" s="5">
        <v>62.0649917</v>
      </c>
      <c r="O509" s="5" t="s">
        <v>4005</v>
      </c>
      <c r="P509" s="9">
        <v>9082026.0</v>
      </c>
      <c r="Q509" s="7" t="str">
        <f>IF(OR(ISBLANK(M509), ISBLANK(N509)), "", IF(N509 &lt; Sheet3!$B$6, "Insufficient Reviews", IF(M509 &gt;= Sheet3!$B$2, "Highly Reliable", IF(M509 &gt;= Sheet3!$B$3, "Reliable", IF(M509 &gt;= Sheet3!$B$4, "Mixed Reviews", "Low Reliability")))))</f>
        <v>Reliable</v>
      </c>
    </row>
    <row r="510">
      <c r="A510" s="3">
        <f t="shared" si="1"/>
        <v>509</v>
      </c>
      <c r="B510" s="4" t="s">
        <v>4006</v>
      </c>
      <c r="C510" s="5">
        <v>39.3354434</v>
      </c>
      <c r="D510" s="5">
        <v>-76.6808613</v>
      </c>
      <c r="E510" s="4" t="s">
        <v>4007</v>
      </c>
      <c r="F510" s="4" t="s">
        <v>4008</v>
      </c>
      <c r="G510" s="4" t="s">
        <v>4009</v>
      </c>
      <c r="H510" s="4"/>
      <c r="I510" s="4" t="s">
        <v>81</v>
      </c>
      <c r="J510" s="4" t="s">
        <v>4010</v>
      </c>
      <c r="K510" s="4"/>
      <c r="L510" s="4" t="s">
        <v>4011</v>
      </c>
      <c r="M510" s="4">
        <v>55.5</v>
      </c>
      <c r="N510" s="5">
        <v>19.95609563</v>
      </c>
      <c r="O510" s="5" t="s">
        <v>4012</v>
      </c>
      <c r="P510" s="9">
        <v>9082026.0</v>
      </c>
      <c r="Q510" s="7" t="str">
        <f>IF(OR(ISBLANK(M510), ISBLANK(N510)), "", IF(N510 &lt; Sheet3!$B$6, "Insufficient Reviews", IF(M510 &gt;= Sheet3!$B$2, "Highly Reliable", IF(M510 &gt;= Sheet3!$B$3, "Reliable", IF(M510 &gt;= Sheet3!$B$4, "Mixed Reviews", "Low Reliability")))))</f>
        <v>Insufficient Reviews</v>
      </c>
    </row>
    <row r="511">
      <c r="A511" s="3">
        <f t="shared" si="1"/>
        <v>510</v>
      </c>
      <c r="B511" s="4" t="s">
        <v>4013</v>
      </c>
      <c r="C511" s="5">
        <v>39.3408278</v>
      </c>
      <c r="D511" s="5">
        <v>-76.5474066</v>
      </c>
      <c r="E511" s="4" t="s">
        <v>4014</v>
      </c>
      <c r="F511" s="4" t="s">
        <v>4015</v>
      </c>
      <c r="G511" s="4" t="s">
        <v>4016</v>
      </c>
      <c r="H511" s="4" t="s">
        <v>4017</v>
      </c>
      <c r="I511" s="4" t="s">
        <v>91</v>
      </c>
      <c r="J511" s="4" t="s">
        <v>4018</v>
      </c>
      <c r="K511" s="8" t="s">
        <v>4019</v>
      </c>
      <c r="L511" s="4" t="s">
        <v>4020</v>
      </c>
      <c r="M511" s="4">
        <v>67.60504983</v>
      </c>
      <c r="N511" s="5">
        <v>50.88082946</v>
      </c>
      <c r="O511" s="5" t="s">
        <v>4021</v>
      </c>
      <c r="P511" s="9">
        <v>9082026.0</v>
      </c>
      <c r="Q511" s="7" t="str">
        <f>IF(OR(ISBLANK(M511), ISBLANK(N511)), "", IF(N511 &lt; Sheet3!$B$6, "Insufficient Reviews", IF(M511 &gt;= Sheet3!$B$2, "Highly Reliable", IF(M511 &gt;= Sheet3!$B$3, "Reliable", IF(M511 &gt;= Sheet3!$B$4, "Mixed Reviews", "Low Reliability")))))</f>
        <v>Mixed Reviews</v>
      </c>
    </row>
    <row r="512">
      <c r="A512" s="3">
        <f t="shared" si="1"/>
        <v>511</v>
      </c>
      <c r="B512" s="4" t="s">
        <v>4022</v>
      </c>
      <c r="C512" s="5">
        <v>39.2765437</v>
      </c>
      <c r="D512" s="5">
        <v>-76.7159489</v>
      </c>
      <c r="E512" s="4" t="s">
        <v>4023</v>
      </c>
      <c r="F512" s="4" t="s">
        <v>4024</v>
      </c>
      <c r="G512" s="4"/>
      <c r="H512" s="14"/>
      <c r="I512" s="4" t="s">
        <v>81</v>
      </c>
      <c r="J512" s="4" t="s">
        <v>4025</v>
      </c>
      <c r="K512" s="8" t="s">
        <v>4026</v>
      </c>
      <c r="L512" s="4" t="s">
        <v>4027</v>
      </c>
      <c r="M512" s="4">
        <v>56.02981781</v>
      </c>
      <c r="N512" s="5">
        <v>52.89898173</v>
      </c>
      <c r="O512" s="5" t="s">
        <v>4028</v>
      </c>
      <c r="P512" s="9">
        <v>9082026.0</v>
      </c>
      <c r="Q512" s="7" t="str">
        <f>IF(OR(ISBLANK(M512), ISBLANK(N512)), "", IF(N512 &lt; Sheet3!$B$6, "Insufficient Reviews", IF(M512 &gt;= Sheet3!$B$2, "Highly Reliable", IF(M512 &gt;= Sheet3!$B$3, "Reliable", IF(M512 &gt;= Sheet3!$B$4, "Mixed Reviews", "Low Reliability")))))</f>
        <v>Low Reliability</v>
      </c>
    </row>
    <row r="513">
      <c r="A513" s="3">
        <f t="shared" si="1"/>
        <v>512</v>
      </c>
      <c r="B513" s="4" t="s">
        <v>4029</v>
      </c>
      <c r="C513" s="5">
        <v>39.3644515</v>
      </c>
      <c r="D513" s="5">
        <v>-76.7334417</v>
      </c>
      <c r="E513" s="4" t="s">
        <v>4030</v>
      </c>
      <c r="F513" s="4" t="s">
        <v>4031</v>
      </c>
      <c r="G513" s="4"/>
      <c r="H513" s="4" t="s">
        <v>135</v>
      </c>
      <c r="I513" s="4" t="s">
        <v>81</v>
      </c>
      <c r="J513" s="4" t="s">
        <v>4032</v>
      </c>
      <c r="K513" s="8" t="s">
        <v>4033</v>
      </c>
      <c r="L513" s="4" t="s">
        <v>4034</v>
      </c>
      <c r="M513" s="4">
        <v>83.89388376</v>
      </c>
      <c r="N513" s="5">
        <v>66.52159179</v>
      </c>
      <c r="O513" s="5" t="s">
        <v>4035</v>
      </c>
      <c r="P513" s="9">
        <v>9082026.0</v>
      </c>
      <c r="Q513" s="7" t="str">
        <f>IF(OR(ISBLANK(M513), ISBLANK(N513)), "", IF(N513 &lt; Sheet3!$B$6, "Insufficient Reviews", IF(M513 &gt;= Sheet3!$B$2, "Highly Reliable", IF(M513 &gt;= Sheet3!$B$3, "Reliable", IF(M513 &gt;= Sheet3!$B$4, "Mixed Reviews", "Low Reliability")))))</f>
        <v>Highly Reliable</v>
      </c>
    </row>
    <row r="514">
      <c r="A514" s="3">
        <f t="shared" si="1"/>
        <v>513</v>
      </c>
      <c r="B514" s="4" t="s">
        <v>4036</v>
      </c>
      <c r="C514" s="5">
        <v>39.3509744</v>
      </c>
      <c r="D514" s="5">
        <v>-76.6829536</v>
      </c>
      <c r="E514" s="4" t="s">
        <v>4037</v>
      </c>
      <c r="F514" s="4" t="s">
        <v>4038</v>
      </c>
      <c r="G514" s="4" t="s">
        <v>4039</v>
      </c>
      <c r="H514" s="4" t="s">
        <v>312</v>
      </c>
      <c r="I514" s="4" t="s">
        <v>81</v>
      </c>
      <c r="J514" s="4" t="s">
        <v>4040</v>
      </c>
      <c r="K514" s="8" t="s">
        <v>4041</v>
      </c>
      <c r="L514" s="4" t="s">
        <v>4042</v>
      </c>
      <c r="M514" s="4">
        <v>68.29228299</v>
      </c>
      <c r="N514" s="5">
        <v>61.24868106</v>
      </c>
      <c r="O514" s="5" t="s">
        <v>4043</v>
      </c>
      <c r="P514" s="9">
        <v>9082026.0</v>
      </c>
      <c r="Q514" s="7" t="str">
        <f>IF(OR(ISBLANK(M514), ISBLANK(N514)), "", IF(N514 &lt; Sheet3!$B$6, "Insufficient Reviews", IF(M514 &gt;= Sheet3!$B$2, "Highly Reliable", IF(M514 &gt;= Sheet3!$B$3, "Reliable", IF(M514 &gt;= Sheet3!$B$4, "Mixed Reviews", "Low Reliability")))))</f>
        <v>Mixed Reviews</v>
      </c>
    </row>
    <row r="515">
      <c r="A515" s="3">
        <f t="shared" si="1"/>
        <v>514</v>
      </c>
      <c r="B515" s="4" t="s">
        <v>4044</v>
      </c>
      <c r="C515" s="5">
        <v>39.3016615</v>
      </c>
      <c r="D515" s="5">
        <v>-76.5939175</v>
      </c>
      <c r="E515" s="4" t="s">
        <v>4045</v>
      </c>
      <c r="F515" s="4" t="s">
        <v>4046</v>
      </c>
      <c r="G515" s="4" t="s">
        <v>4047</v>
      </c>
      <c r="H515" s="4" t="s">
        <v>153</v>
      </c>
      <c r="I515" s="4" t="s">
        <v>81</v>
      </c>
      <c r="J515" s="4" t="s">
        <v>4048</v>
      </c>
      <c r="K515" s="8" t="s">
        <v>4049</v>
      </c>
      <c r="L515" s="4" t="s">
        <v>4050</v>
      </c>
      <c r="M515" s="4">
        <v>65.17145513</v>
      </c>
      <c r="N515" s="5">
        <v>56.86794178</v>
      </c>
      <c r="O515" s="5" t="s">
        <v>4051</v>
      </c>
      <c r="P515" s="9">
        <v>9082026.0</v>
      </c>
      <c r="Q515" s="7" t="str">
        <f>IF(OR(ISBLANK(M515), ISBLANK(N515)), "", IF(N515 &lt; Sheet3!$B$6, "Insufficient Reviews", IF(M515 &gt;= Sheet3!$B$2, "Highly Reliable", IF(M515 &gt;= Sheet3!$B$3, "Reliable", IF(M515 &gt;= Sheet3!$B$4, "Mixed Reviews", "Low Reliability")))))</f>
        <v>Mixed Reviews</v>
      </c>
    </row>
    <row r="516">
      <c r="A516" s="3">
        <f t="shared" si="1"/>
        <v>515</v>
      </c>
      <c r="B516" s="4" t="s">
        <v>4052</v>
      </c>
      <c r="C516" s="5">
        <v>39.2717003</v>
      </c>
      <c r="D516" s="5">
        <v>-76.7087489</v>
      </c>
      <c r="E516" s="4" t="s">
        <v>4053</v>
      </c>
      <c r="F516" s="4" t="s">
        <v>4054</v>
      </c>
      <c r="G516" s="4" t="s">
        <v>4055</v>
      </c>
      <c r="H516" s="4" t="s">
        <v>2598</v>
      </c>
      <c r="I516" s="4" t="s">
        <v>81</v>
      </c>
      <c r="J516" s="4" t="s">
        <v>4056</v>
      </c>
      <c r="K516" s="8" t="s">
        <v>4057</v>
      </c>
      <c r="L516" s="4" t="s">
        <v>4058</v>
      </c>
      <c r="M516" s="4">
        <v>71.66257115</v>
      </c>
      <c r="N516" s="5">
        <v>58.67133175</v>
      </c>
      <c r="O516" s="5" t="s">
        <v>4059</v>
      </c>
      <c r="P516" s="9">
        <v>9082026.0</v>
      </c>
      <c r="Q516" s="7" t="str">
        <f>IF(OR(ISBLANK(M516), ISBLANK(N516)), "", IF(N516 &lt; Sheet3!$B$6, "Insufficient Reviews", IF(M516 &gt;= Sheet3!$B$2, "Highly Reliable", IF(M516 &gt;= Sheet3!$B$3, "Reliable", IF(M516 &gt;= Sheet3!$B$4, "Mixed Reviews", "Low Reliability")))))</f>
        <v>Reliable</v>
      </c>
    </row>
    <row r="517">
      <c r="A517" s="3">
        <f t="shared" si="1"/>
        <v>516</v>
      </c>
      <c r="B517" s="4" t="s">
        <v>4060</v>
      </c>
      <c r="C517" s="5">
        <v>39.3478304</v>
      </c>
      <c r="D517" s="5">
        <v>-76.6541206</v>
      </c>
      <c r="E517" s="4" t="s">
        <v>4061</v>
      </c>
      <c r="F517" s="4" t="s">
        <v>4062</v>
      </c>
      <c r="G517" s="4" t="s">
        <v>4063</v>
      </c>
      <c r="H517" s="4" t="s">
        <v>2598</v>
      </c>
      <c r="I517" s="4" t="s">
        <v>81</v>
      </c>
      <c r="J517" s="4" t="s">
        <v>4064</v>
      </c>
      <c r="K517" s="8" t="s">
        <v>4065</v>
      </c>
      <c r="L517" s="4" t="s">
        <v>4066</v>
      </c>
      <c r="M517" s="4">
        <v>68.1</v>
      </c>
      <c r="N517" s="5">
        <v>41.74499203</v>
      </c>
      <c r="O517" s="5" t="s">
        <v>4067</v>
      </c>
      <c r="P517" s="9">
        <v>9082026.0</v>
      </c>
      <c r="Q517" s="7" t="str">
        <f>IF(OR(ISBLANK(M517), ISBLANK(N517)), "", IF(N517 &lt; Sheet3!$B$6, "Insufficient Reviews", IF(M517 &gt;= Sheet3!$B$2, "Highly Reliable", IF(M517 &gt;= Sheet3!$B$3, "Reliable", IF(M517 &gt;= Sheet3!$B$4, "Mixed Reviews", "Low Reliability")))))</f>
        <v>Mixed Reviews</v>
      </c>
    </row>
    <row r="518">
      <c r="A518" s="3">
        <f t="shared" si="1"/>
        <v>517</v>
      </c>
      <c r="B518" s="4" t="s">
        <v>4068</v>
      </c>
      <c r="C518" s="5">
        <v>39.256841</v>
      </c>
      <c r="D518" s="5">
        <v>-76.526394</v>
      </c>
      <c r="E518" s="4" t="s">
        <v>4069</v>
      </c>
      <c r="F518" s="4" t="s">
        <v>4070</v>
      </c>
      <c r="G518" s="4" t="s">
        <v>4071</v>
      </c>
      <c r="H518" s="4" t="s">
        <v>2598</v>
      </c>
      <c r="I518" s="4" t="s">
        <v>81</v>
      </c>
      <c r="J518" s="4" t="s">
        <v>4072</v>
      </c>
      <c r="K518" s="8" t="s">
        <v>4073</v>
      </c>
      <c r="L518" s="4" t="s">
        <v>4074</v>
      </c>
      <c r="M518" s="4">
        <v>74.61390714</v>
      </c>
      <c r="N518" s="5">
        <v>60.36322159</v>
      </c>
      <c r="O518" s="5" t="s">
        <v>4075</v>
      </c>
      <c r="P518" s="9">
        <v>9082026.0</v>
      </c>
      <c r="Q518" s="7" t="str">
        <f>IF(OR(ISBLANK(M518), ISBLANK(N518)), "", IF(N518 &lt; Sheet3!$B$6, "Insufficient Reviews", IF(M518 &gt;= Sheet3!$B$2, "Highly Reliable", IF(M518 &gt;= Sheet3!$B$3, "Reliable", IF(M518 &gt;= Sheet3!$B$4, "Mixed Reviews", "Low Reliability")))))</f>
        <v>Reliable</v>
      </c>
    </row>
    <row r="519">
      <c r="A519" s="3">
        <f t="shared" si="1"/>
        <v>518</v>
      </c>
      <c r="B519" s="4" t="s">
        <v>4076</v>
      </c>
      <c r="C519" s="5">
        <v>39.3640074</v>
      </c>
      <c r="D519" s="5">
        <v>-76.5135794</v>
      </c>
      <c r="E519" s="4" t="s">
        <v>4077</v>
      </c>
      <c r="F519" s="4" t="s">
        <v>4078</v>
      </c>
      <c r="G519" s="4" t="s">
        <v>4079</v>
      </c>
      <c r="H519" s="4" t="s">
        <v>2598</v>
      </c>
      <c r="I519" s="4" t="s">
        <v>81</v>
      </c>
      <c r="J519" s="4" t="s">
        <v>4080</v>
      </c>
      <c r="K519" s="8" t="s">
        <v>4081</v>
      </c>
      <c r="L519" s="4" t="s">
        <v>4082</v>
      </c>
      <c r="M519" s="4">
        <v>36.9</v>
      </c>
      <c r="N519" s="5">
        <v>39.25219126</v>
      </c>
      <c r="O519" s="5" t="s">
        <v>4083</v>
      </c>
      <c r="P519" s="9">
        <v>9082026.0</v>
      </c>
      <c r="Q519" s="7" t="str">
        <f>IF(OR(ISBLANK(M519), ISBLANK(N519)), "", IF(N519 &lt; Sheet3!$B$6, "Insufficient Reviews", IF(M519 &gt;= Sheet3!$B$2, "Highly Reliable", IF(M519 &gt;= Sheet3!$B$3, "Reliable", IF(M519 &gt;= Sheet3!$B$4, "Mixed Reviews", "Low Reliability")))))</f>
        <v>Insufficient Reviews</v>
      </c>
    </row>
    <row r="520">
      <c r="A520" s="3">
        <f t="shared" si="1"/>
        <v>519</v>
      </c>
      <c r="B520" s="4" t="s">
        <v>4084</v>
      </c>
      <c r="C520" s="5">
        <v>39.3454051</v>
      </c>
      <c r="D520" s="5">
        <v>-76.4463498</v>
      </c>
      <c r="E520" s="4" t="s">
        <v>4085</v>
      </c>
      <c r="F520" s="4" t="s">
        <v>4086</v>
      </c>
      <c r="G520" s="4" t="s">
        <v>4087</v>
      </c>
      <c r="H520" s="4" t="s">
        <v>2598</v>
      </c>
      <c r="I520" s="4" t="s">
        <v>81</v>
      </c>
      <c r="J520" s="4" t="s">
        <v>4088</v>
      </c>
      <c r="K520" s="8" t="s">
        <v>4089</v>
      </c>
      <c r="L520" s="4" t="s">
        <v>4090</v>
      </c>
      <c r="M520" s="4">
        <v>59.44730379</v>
      </c>
      <c r="N520" s="5">
        <v>58.46782018</v>
      </c>
      <c r="O520" s="5" t="s">
        <v>4091</v>
      </c>
      <c r="P520" s="9">
        <v>9082026.0</v>
      </c>
      <c r="Q520" s="7" t="str">
        <f>IF(OR(ISBLANK(M520), ISBLANK(N520)), "", IF(N520 &lt; Sheet3!$B$6, "Insufficient Reviews", IF(M520 &gt;= Sheet3!$B$2, "Highly Reliable", IF(M520 &gt;= Sheet3!$B$3, "Reliable", IF(M520 &gt;= Sheet3!$B$4, "Mixed Reviews", "Low Reliability")))))</f>
        <v>Low Reliability</v>
      </c>
    </row>
    <row r="521">
      <c r="A521" s="3">
        <f t="shared" si="1"/>
        <v>520</v>
      </c>
      <c r="B521" s="4" t="s">
        <v>4092</v>
      </c>
      <c r="C521" s="5">
        <v>39.3634529</v>
      </c>
      <c r="D521" s="5">
        <v>-76.7884902</v>
      </c>
      <c r="E521" s="4" t="s">
        <v>4093</v>
      </c>
      <c r="F521" s="4" t="s">
        <v>4094</v>
      </c>
      <c r="G521" s="4" t="s">
        <v>4095</v>
      </c>
      <c r="H521" s="4" t="s">
        <v>2598</v>
      </c>
      <c r="I521" s="4" t="s">
        <v>81</v>
      </c>
      <c r="J521" s="4" t="s">
        <v>4096</v>
      </c>
      <c r="K521" s="8" t="s">
        <v>4097</v>
      </c>
      <c r="L521" s="4" t="s">
        <v>4098</v>
      </c>
      <c r="M521" s="4">
        <v>40.5</v>
      </c>
      <c r="N521" s="5">
        <v>38.89283464</v>
      </c>
      <c r="O521" s="5" t="s">
        <v>4099</v>
      </c>
      <c r="P521" s="9">
        <v>9082026.0</v>
      </c>
      <c r="Q521" s="7" t="str">
        <f>IF(OR(ISBLANK(M521), ISBLANK(N521)), "", IF(N521 &lt; Sheet3!$B$6, "Insufficient Reviews", IF(M521 &gt;= Sheet3!$B$2, "Highly Reliable", IF(M521 &gt;= Sheet3!$B$3, "Reliable", IF(M521 &gt;= Sheet3!$B$4, "Mixed Reviews", "Low Reliability")))))</f>
        <v>Insufficient Reviews</v>
      </c>
    </row>
    <row r="522">
      <c r="A522" s="3">
        <f t="shared" si="1"/>
        <v>521</v>
      </c>
      <c r="B522" s="4" t="s">
        <v>4100</v>
      </c>
      <c r="C522" s="5">
        <v>39.322529</v>
      </c>
      <c r="D522" s="5">
        <v>-76.515844</v>
      </c>
      <c r="E522" s="4" t="s">
        <v>4101</v>
      </c>
      <c r="F522" s="4" t="s">
        <v>4102</v>
      </c>
      <c r="G522" s="4" t="s">
        <v>4103</v>
      </c>
      <c r="H522" s="4" t="s">
        <v>4104</v>
      </c>
      <c r="I522" s="4" t="s">
        <v>81</v>
      </c>
      <c r="J522" s="4" t="s">
        <v>4105</v>
      </c>
      <c r="K522" s="8" t="s">
        <v>4106</v>
      </c>
      <c r="L522" s="4" t="s">
        <v>4107</v>
      </c>
      <c r="M522" s="4">
        <v>64.59028241</v>
      </c>
      <c r="N522" s="5">
        <v>60.06419149</v>
      </c>
      <c r="O522" s="5" t="s">
        <v>4108</v>
      </c>
      <c r="P522" s="9">
        <v>9082026.0</v>
      </c>
      <c r="Q522" s="7" t="str">
        <f>IF(OR(ISBLANK(M522), ISBLANK(N522)), "", IF(N522 &lt; Sheet3!$B$6, "Insufficient Reviews", IF(M522 &gt;= Sheet3!$B$2, "Highly Reliable", IF(M522 &gt;= Sheet3!$B$3, "Reliable", IF(M522 &gt;= Sheet3!$B$4, "Mixed Reviews", "Low Reliability")))))</f>
        <v>Mixed Reviews</v>
      </c>
    </row>
    <row r="523">
      <c r="A523" s="3">
        <f t="shared" si="1"/>
        <v>522</v>
      </c>
      <c r="B523" s="4" t="s">
        <v>4109</v>
      </c>
      <c r="C523" s="5">
        <v>39.3630998</v>
      </c>
      <c r="D523" s="5">
        <v>-76.5257459</v>
      </c>
      <c r="E523" s="4" t="s">
        <v>4110</v>
      </c>
      <c r="F523" s="4" t="s">
        <v>4111</v>
      </c>
      <c r="G523" s="4" t="s">
        <v>4112</v>
      </c>
      <c r="H523" s="4" t="s">
        <v>2598</v>
      </c>
      <c r="I523" s="4" t="s">
        <v>81</v>
      </c>
      <c r="J523" s="4" t="s">
        <v>4113</v>
      </c>
      <c r="K523" s="8" t="s">
        <v>4114</v>
      </c>
      <c r="L523" s="4" t="s">
        <v>4115</v>
      </c>
      <c r="M523" s="4">
        <v>70.1023686</v>
      </c>
      <c r="N523" s="5">
        <v>57.15879881</v>
      </c>
      <c r="O523" s="5" t="s">
        <v>4116</v>
      </c>
      <c r="P523" s="9">
        <v>9082026.0</v>
      </c>
      <c r="Q523" s="7" t="str">
        <f>IF(OR(ISBLANK(M523), ISBLANK(N523)), "", IF(N523 &lt; Sheet3!$B$6, "Insufficient Reviews", IF(M523 &gt;= Sheet3!$B$2, "Highly Reliable", IF(M523 &gt;= Sheet3!$B$3, "Reliable", IF(M523 &gt;= Sheet3!$B$4, "Mixed Reviews", "Low Reliability")))))</f>
        <v>Reliable</v>
      </c>
    </row>
    <row r="524">
      <c r="A524" s="3">
        <f t="shared" si="1"/>
        <v>523</v>
      </c>
      <c r="B524" s="4" t="s">
        <v>4117</v>
      </c>
      <c r="C524" s="5">
        <v>39.4070796</v>
      </c>
      <c r="D524" s="5">
        <v>-76.6049296</v>
      </c>
      <c r="E524" s="4" t="s">
        <v>4118</v>
      </c>
      <c r="F524" s="4" t="s">
        <v>4119</v>
      </c>
      <c r="G524" s="4" t="s">
        <v>4120</v>
      </c>
      <c r="H524" s="4" t="s">
        <v>2598</v>
      </c>
      <c r="I524" s="4" t="s">
        <v>81</v>
      </c>
      <c r="J524" s="4" t="s">
        <v>4121</v>
      </c>
      <c r="K524" s="8" t="s">
        <v>4122</v>
      </c>
      <c r="L524" s="4" t="s">
        <v>4123</v>
      </c>
      <c r="M524" s="4">
        <v>63.40130218</v>
      </c>
      <c r="N524" s="5">
        <v>60.65183222</v>
      </c>
      <c r="O524" s="5" t="s">
        <v>4124</v>
      </c>
      <c r="P524" s="9">
        <v>9082026.0</v>
      </c>
      <c r="Q524" s="7" t="str">
        <f>IF(OR(ISBLANK(M524), ISBLANK(N524)), "", IF(N524 &lt; Sheet3!$B$6, "Insufficient Reviews", IF(M524 &gt;= Sheet3!$B$2, "Highly Reliable", IF(M524 &gt;= Sheet3!$B$3, "Reliable", IF(M524 &gt;= Sheet3!$B$4, "Mixed Reviews", "Low Reliability")))))</f>
        <v>Mixed Reviews</v>
      </c>
    </row>
    <row r="525">
      <c r="A525" s="3">
        <f t="shared" si="1"/>
        <v>524</v>
      </c>
      <c r="B525" s="4" t="s">
        <v>4125</v>
      </c>
      <c r="C525" s="5">
        <v>39.3275424</v>
      </c>
      <c r="D525" s="5">
        <v>-76.739524</v>
      </c>
      <c r="E525" s="4" t="s">
        <v>4126</v>
      </c>
      <c r="F525" s="4" t="s">
        <v>4127</v>
      </c>
      <c r="G525" s="4" t="s">
        <v>4128</v>
      </c>
      <c r="H525" s="4" t="s">
        <v>2598</v>
      </c>
      <c r="I525" s="4" t="s">
        <v>81</v>
      </c>
      <c r="J525" s="4" t="s">
        <v>4129</v>
      </c>
      <c r="K525" s="8" t="s">
        <v>4130</v>
      </c>
      <c r="L525" s="4" t="s">
        <v>4131</v>
      </c>
      <c r="M525" s="4">
        <v>84.28624351</v>
      </c>
      <c r="N525" s="5">
        <v>57.95889144</v>
      </c>
      <c r="O525" s="5" t="s">
        <v>4132</v>
      </c>
      <c r="P525" s="9">
        <v>9082026.0</v>
      </c>
      <c r="Q525" s="7" t="str">
        <f>IF(OR(ISBLANK(M525), ISBLANK(N525)), "", IF(N525 &lt; Sheet3!$B$6, "Insufficient Reviews", IF(M525 &gt;= Sheet3!$B$2, "Highly Reliable", IF(M525 &gt;= Sheet3!$B$3, "Reliable", IF(M525 &gt;= Sheet3!$B$4, "Mixed Reviews", "Low Reliability")))))</f>
        <v>Highly Reliable</v>
      </c>
    </row>
    <row r="526">
      <c r="A526" s="3">
        <f t="shared" si="1"/>
        <v>525</v>
      </c>
      <c r="B526" s="4" t="s">
        <v>4133</v>
      </c>
      <c r="C526" s="5">
        <v>39.3819075</v>
      </c>
      <c r="D526" s="5">
        <v>-76.5351508</v>
      </c>
      <c r="E526" s="4" t="s">
        <v>4134</v>
      </c>
      <c r="F526" s="4" t="s">
        <v>4135</v>
      </c>
      <c r="G526" s="4" t="s">
        <v>4136</v>
      </c>
      <c r="H526" s="4" t="s">
        <v>532</v>
      </c>
      <c r="I526" s="4" t="s">
        <v>35</v>
      </c>
      <c r="J526" s="4" t="s">
        <v>4137</v>
      </c>
      <c r="K526" s="8" t="s">
        <v>4138</v>
      </c>
      <c r="L526" s="4" t="s">
        <v>4139</v>
      </c>
      <c r="M526" s="4">
        <v>77.09247397</v>
      </c>
      <c r="N526" s="5">
        <v>94.97500524</v>
      </c>
      <c r="O526" s="5" t="s">
        <v>4140</v>
      </c>
      <c r="P526" s="9">
        <v>9082026.0</v>
      </c>
      <c r="Q526" s="7" t="str">
        <f>IF(OR(ISBLANK(M526), ISBLANK(N526)), "", IF(N526 &lt; Sheet3!$B$6, "Insufficient Reviews", IF(M526 &gt;= Sheet3!$B$2, "Highly Reliable", IF(M526 &gt;= Sheet3!$B$3, "Reliable", IF(M526 &gt;= Sheet3!$B$4, "Mixed Reviews", "Low Reliability")))))</f>
        <v>Reliable</v>
      </c>
    </row>
    <row r="527">
      <c r="A527" s="3">
        <f t="shared" si="1"/>
        <v>526</v>
      </c>
      <c r="B527" s="4" t="s">
        <v>4141</v>
      </c>
      <c r="C527" s="5">
        <v>39.3685458</v>
      </c>
      <c r="D527" s="5">
        <v>-76.8009904</v>
      </c>
      <c r="E527" s="4" t="s">
        <v>4142</v>
      </c>
      <c r="F527" s="4" t="s">
        <v>4143</v>
      </c>
      <c r="G527" s="14"/>
      <c r="H527" s="4" t="s">
        <v>135</v>
      </c>
      <c r="I527" s="4" t="s">
        <v>91</v>
      </c>
      <c r="J527" s="4" t="s">
        <v>4144</v>
      </c>
      <c r="K527" s="8" t="s">
        <v>4145</v>
      </c>
      <c r="L527" s="4" t="s">
        <v>4146</v>
      </c>
      <c r="M527" s="4">
        <v>73.65608615</v>
      </c>
      <c r="N527" s="5">
        <v>73.68493106</v>
      </c>
      <c r="O527" s="5" t="s">
        <v>4147</v>
      </c>
      <c r="P527" s="9">
        <v>9082026.0</v>
      </c>
      <c r="Q527" s="7" t="str">
        <f>IF(OR(ISBLANK(M527), ISBLANK(N527)), "", IF(N527 &lt; Sheet3!$B$6, "Insufficient Reviews", IF(M527 &gt;= Sheet3!$B$2, "Highly Reliable", IF(M527 &gt;= Sheet3!$B$3, "Reliable", IF(M527 &gt;= Sheet3!$B$4, "Mixed Reviews", "Low Reliability")))))</f>
        <v>Reliable</v>
      </c>
    </row>
    <row r="528">
      <c r="A528" s="3">
        <f t="shared" si="1"/>
        <v>527</v>
      </c>
      <c r="B528" s="4" t="s">
        <v>4148</v>
      </c>
      <c r="C528" s="5">
        <v>39.2948454</v>
      </c>
      <c r="D528" s="5">
        <v>-76.5766899</v>
      </c>
      <c r="E528" s="4" t="s">
        <v>4149</v>
      </c>
      <c r="F528" s="4" t="s">
        <v>4150</v>
      </c>
      <c r="G528" s="4"/>
      <c r="H528" s="4" t="s">
        <v>2417</v>
      </c>
      <c r="I528" s="4" t="s">
        <v>27</v>
      </c>
      <c r="J528" s="4" t="s">
        <v>4151</v>
      </c>
      <c r="K528" s="8" t="s">
        <v>4152</v>
      </c>
      <c r="L528" s="4" t="s">
        <v>4153</v>
      </c>
      <c r="M528" s="4">
        <v>82.89016056</v>
      </c>
      <c r="N528" s="5">
        <v>74.54473929</v>
      </c>
      <c r="O528" s="5" t="s">
        <v>4154</v>
      </c>
      <c r="P528" s="9">
        <v>9082026.0</v>
      </c>
      <c r="Q528" s="7" t="str">
        <f>IF(OR(ISBLANK(M528), ISBLANK(N528)), "", IF(N528 &lt; Sheet3!$B$6, "Insufficient Reviews", IF(M528 &gt;= Sheet3!$B$2, "Highly Reliable", IF(M528 &gt;= Sheet3!$B$3, "Reliable", IF(M528 &gt;= Sheet3!$B$4, "Mixed Reviews", "Low Reliability")))))</f>
        <v>Highly Reliable</v>
      </c>
    </row>
    <row r="529">
      <c r="A529" s="3">
        <f t="shared" si="1"/>
        <v>528</v>
      </c>
      <c r="B529" s="4" t="s">
        <v>4155</v>
      </c>
      <c r="C529" s="5">
        <v>39.3904442</v>
      </c>
      <c r="D529" s="5">
        <v>-76.6227949</v>
      </c>
      <c r="E529" s="4" t="s">
        <v>3144</v>
      </c>
      <c r="F529" s="4" t="s">
        <v>4156</v>
      </c>
      <c r="G529" s="4" t="s">
        <v>4157</v>
      </c>
      <c r="H529" s="4"/>
      <c r="I529" s="4" t="s">
        <v>91</v>
      </c>
      <c r="J529" s="4" t="s">
        <v>4158</v>
      </c>
      <c r="K529" s="8" t="s">
        <v>4159</v>
      </c>
      <c r="L529" s="4" t="s">
        <v>4160</v>
      </c>
      <c r="M529" s="4">
        <v>69.5007481</v>
      </c>
      <c r="N529" s="5">
        <v>67.45100828</v>
      </c>
      <c r="O529" s="5" t="s">
        <v>4161</v>
      </c>
      <c r="P529" s="9">
        <v>9082026.0</v>
      </c>
      <c r="Q529" s="7" t="str">
        <f>IF(OR(ISBLANK(M529), ISBLANK(N529)), "", IF(N529 &lt; Sheet3!$B$6, "Insufficient Reviews", IF(M529 &gt;= Sheet3!$B$2, "Highly Reliable", IF(M529 &gt;= Sheet3!$B$3, "Reliable", IF(M529 &gt;= Sheet3!$B$4, "Mixed Reviews", "Low Reliability")))))</f>
        <v>Mixed Reviews</v>
      </c>
    </row>
    <row r="530">
      <c r="A530" s="3">
        <f t="shared" si="1"/>
        <v>529</v>
      </c>
      <c r="B530" s="4" t="s">
        <v>4162</v>
      </c>
      <c r="C530" s="5">
        <v>39.2815271</v>
      </c>
      <c r="D530" s="5">
        <v>-76.7148476</v>
      </c>
      <c r="E530" s="4" t="s">
        <v>4163</v>
      </c>
      <c r="F530" s="4" t="s">
        <v>4164</v>
      </c>
      <c r="G530" s="4"/>
      <c r="H530" s="4" t="s">
        <v>53</v>
      </c>
      <c r="I530" s="4" t="s">
        <v>91</v>
      </c>
      <c r="J530" s="4" t="s">
        <v>4165</v>
      </c>
      <c r="K530" s="8" t="s">
        <v>4166</v>
      </c>
      <c r="L530" s="4" t="s">
        <v>4167</v>
      </c>
      <c r="M530" s="4">
        <v>72.26137344</v>
      </c>
      <c r="N530" s="5">
        <v>50.94998267</v>
      </c>
      <c r="O530" s="5" t="s">
        <v>4168</v>
      </c>
      <c r="P530" s="9">
        <v>9082026.0</v>
      </c>
      <c r="Q530" s="7" t="str">
        <f>IF(OR(ISBLANK(M530), ISBLANK(N530)), "", IF(N530 &lt; Sheet3!$B$6, "Insufficient Reviews", IF(M530 &gt;= Sheet3!$B$2, "Highly Reliable", IF(M530 &gt;= Sheet3!$B$3, "Reliable", IF(M530 &gt;= Sheet3!$B$4, "Mixed Reviews", "Low Reliability")))))</f>
        <v>Reliable</v>
      </c>
    </row>
    <row r="531">
      <c r="A531" s="3">
        <f t="shared" si="1"/>
        <v>530</v>
      </c>
      <c r="B531" s="4" t="s">
        <v>4169</v>
      </c>
      <c r="C531" s="5">
        <v>39.3106297</v>
      </c>
      <c r="D531" s="5">
        <v>-76.6422015</v>
      </c>
      <c r="E531" s="4" t="s">
        <v>4170</v>
      </c>
      <c r="F531" s="4" t="s">
        <v>4171</v>
      </c>
      <c r="G531" s="14"/>
      <c r="H531" s="4" t="s">
        <v>126</v>
      </c>
      <c r="I531" s="4" t="s">
        <v>81</v>
      </c>
      <c r="J531" s="4" t="s">
        <v>4172</v>
      </c>
      <c r="K531" s="4"/>
      <c r="L531" s="4" t="s">
        <v>4173</v>
      </c>
      <c r="M531" s="4">
        <v>82.61158619</v>
      </c>
      <c r="N531" s="5">
        <v>56.12215309</v>
      </c>
      <c r="O531" s="5" t="s">
        <v>4174</v>
      </c>
      <c r="P531" s="9">
        <v>9082026.0</v>
      </c>
      <c r="Q531" s="7" t="str">
        <f>IF(OR(ISBLANK(M531), ISBLANK(N531)), "", IF(N531 &lt; Sheet3!$B$6, "Insufficient Reviews", IF(M531 &gt;= Sheet3!$B$2, "Highly Reliable", IF(M531 &gt;= Sheet3!$B$3, "Reliable", IF(M531 &gt;= Sheet3!$B$4, "Mixed Reviews", "Low Reliability")))))</f>
        <v>Highly Reliable</v>
      </c>
    </row>
    <row r="532">
      <c r="A532" s="3">
        <f t="shared" si="1"/>
        <v>531</v>
      </c>
      <c r="B532" s="4" t="s">
        <v>4175</v>
      </c>
      <c r="C532" s="5">
        <v>39.3099157</v>
      </c>
      <c r="D532" s="5">
        <v>-76.6420729</v>
      </c>
      <c r="E532" s="4" t="s">
        <v>4176</v>
      </c>
      <c r="F532" s="4" t="s">
        <v>4177</v>
      </c>
      <c r="G532" s="4" t="s">
        <v>4178</v>
      </c>
      <c r="H532" s="4" t="s">
        <v>171</v>
      </c>
      <c r="I532" s="4" t="s">
        <v>203</v>
      </c>
      <c r="J532" s="4" t="s">
        <v>4179</v>
      </c>
      <c r="K532" s="8" t="s">
        <v>4180</v>
      </c>
      <c r="L532" s="4" t="s">
        <v>4181</v>
      </c>
      <c r="M532" s="4">
        <v>82.16504112</v>
      </c>
      <c r="N532" s="5">
        <v>93.39611361</v>
      </c>
      <c r="O532" s="5" t="s">
        <v>4182</v>
      </c>
      <c r="P532" s="9">
        <v>9082026.0</v>
      </c>
      <c r="Q532" s="7" t="str">
        <f>IF(OR(ISBLANK(M532), ISBLANK(N532)), "", IF(N532 &lt; Sheet3!$B$6, "Insufficient Reviews", IF(M532 &gt;= Sheet3!$B$2, "Highly Reliable", IF(M532 &gt;= Sheet3!$B$3, "Reliable", IF(M532 &gt;= Sheet3!$B$4, "Mixed Reviews", "Low Reliability")))))</f>
        <v>Highly Reliable</v>
      </c>
    </row>
    <row r="533">
      <c r="A533" s="3">
        <f t="shared" si="1"/>
        <v>532</v>
      </c>
      <c r="B533" s="4" t="s">
        <v>4183</v>
      </c>
      <c r="C533" s="5">
        <v>39.5500272</v>
      </c>
      <c r="D533" s="5">
        <v>-76.0629831</v>
      </c>
      <c r="E533" s="4" t="s">
        <v>4184</v>
      </c>
      <c r="F533" s="4" t="s">
        <v>4185</v>
      </c>
      <c r="G533" s="4" t="s">
        <v>4186</v>
      </c>
      <c r="H533" s="4" t="s">
        <v>303</v>
      </c>
      <c r="I533" s="4" t="s">
        <v>91</v>
      </c>
      <c r="J533" s="4" t="s">
        <v>4187</v>
      </c>
      <c r="K533" s="8" t="s">
        <v>4188</v>
      </c>
      <c r="L533" s="4" t="s">
        <v>4189</v>
      </c>
      <c r="M533" s="4">
        <v>73.34424829</v>
      </c>
      <c r="N533" s="5">
        <v>72.45408182</v>
      </c>
      <c r="O533" s="5" t="s">
        <v>4190</v>
      </c>
      <c r="P533" s="9">
        <v>9082026.0</v>
      </c>
      <c r="Q533" s="7" t="str">
        <f>IF(OR(ISBLANK(M533), ISBLANK(N533)), "", IF(N533 &lt; Sheet3!$B$6, "Insufficient Reviews", IF(M533 &gt;= Sheet3!$B$2, "Highly Reliable", IF(M533 &gt;= Sheet3!$B$3, "Reliable", IF(M533 &gt;= Sheet3!$B$4, "Mixed Reviews", "Low Reliability")))))</f>
        <v>Reliable</v>
      </c>
    </row>
    <row r="534">
      <c r="A534" s="3">
        <f t="shared" si="1"/>
        <v>533</v>
      </c>
      <c r="B534" s="4" t="s">
        <v>4191</v>
      </c>
      <c r="C534" s="5">
        <v>39.4050716</v>
      </c>
      <c r="D534" s="5">
        <v>-76.6222586</v>
      </c>
      <c r="E534" s="4" t="s">
        <v>4192</v>
      </c>
      <c r="F534" s="4" t="s">
        <v>4193</v>
      </c>
      <c r="G534" s="4"/>
      <c r="H534" s="4" t="s">
        <v>135</v>
      </c>
      <c r="I534" s="4" t="s">
        <v>81</v>
      </c>
      <c r="J534" s="4" t="s">
        <v>4194</v>
      </c>
      <c r="K534" s="8" t="s">
        <v>4195</v>
      </c>
      <c r="L534" s="4" t="s">
        <v>4196</v>
      </c>
      <c r="M534" s="4">
        <v>72.19932593</v>
      </c>
      <c r="N534" s="5">
        <v>70.18738842</v>
      </c>
      <c r="O534" s="5" t="s">
        <v>4197</v>
      </c>
      <c r="P534" s="9">
        <v>9082026.0</v>
      </c>
      <c r="Q534" s="7" t="str">
        <f>IF(OR(ISBLANK(M534), ISBLANK(N534)), "", IF(N534 &lt; Sheet3!$B$6, "Insufficient Reviews", IF(M534 &gt;= Sheet3!$B$2, "Highly Reliable", IF(M534 &gt;= Sheet3!$B$3, "Reliable", IF(M534 &gt;= Sheet3!$B$4, "Mixed Reviews", "Low Reliability")))))</f>
        <v>Reliable</v>
      </c>
    </row>
    <row r="535">
      <c r="A535" s="3">
        <f t="shared" si="1"/>
        <v>534</v>
      </c>
      <c r="B535" s="4" t="s">
        <v>4198</v>
      </c>
      <c r="C535" s="5">
        <v>39.3756512</v>
      </c>
      <c r="D535" s="5">
        <v>-76.723372</v>
      </c>
      <c r="E535" s="4" t="s">
        <v>4199</v>
      </c>
      <c r="F535" s="4" t="s">
        <v>4200</v>
      </c>
      <c r="G535" s="4"/>
      <c r="H535" s="4" t="s">
        <v>532</v>
      </c>
      <c r="I535" s="4" t="s">
        <v>35</v>
      </c>
      <c r="J535" s="4" t="s">
        <v>4201</v>
      </c>
      <c r="K535" s="8" t="s">
        <v>2853</v>
      </c>
      <c r="L535" s="4" t="s">
        <v>4202</v>
      </c>
      <c r="M535" s="4">
        <v>80.51106891</v>
      </c>
      <c r="N535" s="5">
        <v>95.21413673</v>
      </c>
      <c r="O535" s="5" t="s">
        <v>4203</v>
      </c>
      <c r="P535" s="9">
        <v>9082026.0</v>
      </c>
      <c r="Q535" s="7" t="str">
        <f>IF(OR(ISBLANK(M535), ISBLANK(N535)), "", IF(N535 &lt; Sheet3!$B$6, "Insufficient Reviews", IF(M535 &gt;= Sheet3!$B$2, "Highly Reliable", IF(M535 &gt;= Sheet3!$B$3, "Reliable", IF(M535 &gt;= Sheet3!$B$4, "Mixed Reviews", "Low Reliability")))))</f>
        <v>Reliable</v>
      </c>
    </row>
    <row r="536">
      <c r="A536" s="3">
        <f t="shared" si="1"/>
        <v>535</v>
      </c>
      <c r="B536" s="4" t="s">
        <v>4204</v>
      </c>
      <c r="C536" s="5">
        <v>39.3514124</v>
      </c>
      <c r="D536" s="5">
        <v>-76.6813468</v>
      </c>
      <c r="E536" s="4" t="s">
        <v>4205</v>
      </c>
      <c r="F536" s="4" t="s">
        <v>4206</v>
      </c>
      <c r="G536" s="14"/>
      <c r="H536" s="14"/>
      <c r="I536" s="4" t="s">
        <v>81</v>
      </c>
      <c r="J536" s="4" t="s">
        <v>4207</v>
      </c>
      <c r="K536" s="8" t="s">
        <v>4208</v>
      </c>
      <c r="L536" s="4" t="s">
        <v>4209</v>
      </c>
      <c r="M536" s="4">
        <v>12.0</v>
      </c>
      <c r="N536" s="5">
        <v>29.97333333</v>
      </c>
      <c r="O536" s="5" t="s">
        <v>4210</v>
      </c>
      <c r="P536" s="9">
        <v>9082026.0</v>
      </c>
      <c r="Q536" s="7" t="str">
        <f>IF(OR(ISBLANK(M536), ISBLANK(N536)), "", IF(N536 &lt; Sheet3!$B$6, "Insufficient Reviews", IF(M536 &gt;= Sheet3!$B$2, "Highly Reliable", IF(M536 &gt;= Sheet3!$B$3, "Reliable", IF(M536 &gt;= Sheet3!$B$4, "Mixed Reviews", "Low Reliability")))))</f>
        <v>Insufficient Reviews</v>
      </c>
    </row>
    <row r="537">
      <c r="A537" s="3">
        <f t="shared" si="1"/>
        <v>536</v>
      </c>
      <c r="B537" s="4" t="s">
        <v>4211</v>
      </c>
      <c r="C537" s="5">
        <v>39.3560673</v>
      </c>
      <c r="D537" s="5">
        <v>-76.5366057</v>
      </c>
      <c r="E537" s="4" t="s">
        <v>4212</v>
      </c>
      <c r="F537" s="4" t="s">
        <v>4206</v>
      </c>
      <c r="G537" s="14"/>
      <c r="H537" s="14"/>
      <c r="I537" s="4" t="s">
        <v>81</v>
      </c>
      <c r="J537" s="4" t="s">
        <v>4213</v>
      </c>
      <c r="K537" s="8" t="s">
        <v>4214</v>
      </c>
      <c r="L537" s="4" t="s">
        <v>4215</v>
      </c>
      <c r="M537" s="4">
        <v>72.0</v>
      </c>
      <c r="N537" s="5">
        <v>35.6627623</v>
      </c>
      <c r="O537" s="5" t="s">
        <v>4216</v>
      </c>
      <c r="P537" s="9">
        <v>9082026.0</v>
      </c>
      <c r="Q537" s="7" t="str">
        <f>IF(OR(ISBLANK(M537), ISBLANK(N537)), "", IF(N537 &lt; Sheet3!$B$6, "Insufficient Reviews", IF(M537 &gt;= Sheet3!$B$2, "Highly Reliable", IF(M537 &gt;= Sheet3!$B$3, "Reliable", IF(M537 &gt;= Sheet3!$B$4, "Mixed Reviews", "Low Reliability")))))</f>
        <v>Insufficient Reviews</v>
      </c>
    </row>
    <row r="538">
      <c r="A538" s="3">
        <f t="shared" si="1"/>
        <v>537</v>
      </c>
      <c r="B538" s="4" t="s">
        <v>4217</v>
      </c>
      <c r="C538" s="5">
        <v>39.3281718</v>
      </c>
      <c r="D538" s="5">
        <v>-76.5423205</v>
      </c>
      <c r="E538" s="4" t="s">
        <v>4218</v>
      </c>
      <c r="F538" s="4" t="s">
        <v>4219</v>
      </c>
      <c r="G538" s="4"/>
      <c r="H538" s="4" t="s">
        <v>135</v>
      </c>
      <c r="I538" s="4" t="s">
        <v>91</v>
      </c>
      <c r="J538" s="4" t="s">
        <v>4220</v>
      </c>
      <c r="K538" s="8" t="s">
        <v>4221</v>
      </c>
      <c r="L538" s="4" t="s">
        <v>4222</v>
      </c>
      <c r="M538" s="4">
        <v>76.76867163</v>
      </c>
      <c r="N538" s="5">
        <v>72.62781777</v>
      </c>
      <c r="O538" s="5" t="s">
        <v>4223</v>
      </c>
      <c r="P538" s="9">
        <v>9082026.0</v>
      </c>
      <c r="Q538" s="7" t="str">
        <f>IF(OR(ISBLANK(M538), ISBLANK(N538)), "", IF(N538 &lt; Sheet3!$B$6, "Insufficient Reviews", IF(M538 &gt;= Sheet3!$B$2, "Highly Reliable", IF(M538 &gt;= Sheet3!$B$3, "Reliable", IF(M538 &gt;= Sheet3!$B$4, "Mixed Reviews", "Low Reliability")))))</f>
        <v>Reliable</v>
      </c>
    </row>
    <row r="539">
      <c r="A539" s="3">
        <f t="shared" si="1"/>
        <v>538</v>
      </c>
      <c r="B539" s="4" t="s">
        <v>4224</v>
      </c>
      <c r="C539" s="5">
        <v>39.3476161</v>
      </c>
      <c r="D539" s="5">
        <v>-76.5342917</v>
      </c>
      <c r="E539" s="4" t="s">
        <v>4225</v>
      </c>
      <c r="F539" s="4" t="s">
        <v>4226</v>
      </c>
      <c r="G539" s="4"/>
      <c r="H539" s="4" t="s">
        <v>135</v>
      </c>
      <c r="I539" s="4" t="s">
        <v>81</v>
      </c>
      <c r="J539" s="4" t="s">
        <v>4227</v>
      </c>
      <c r="K539" s="4"/>
      <c r="L539" s="4" t="s">
        <v>4228</v>
      </c>
      <c r="M539" s="4">
        <v>72.92850564</v>
      </c>
      <c r="N539" s="5">
        <v>51.78043425</v>
      </c>
      <c r="O539" s="5" t="s">
        <v>4229</v>
      </c>
      <c r="P539" s="9">
        <v>9082026.0</v>
      </c>
      <c r="Q539" s="7" t="str">
        <f>IF(OR(ISBLANK(M539), ISBLANK(N539)), "", IF(N539 &lt; Sheet3!$B$6, "Insufficient Reviews", IF(M539 &gt;= Sheet3!$B$2, "Highly Reliable", IF(M539 &gt;= Sheet3!$B$3, "Reliable", IF(M539 &gt;= Sheet3!$B$4, "Mixed Reviews", "Low Reliability")))))</f>
        <v>Reliable</v>
      </c>
    </row>
    <row r="540">
      <c r="A540" s="3">
        <f t="shared" si="1"/>
        <v>539</v>
      </c>
      <c r="B540" s="4" t="s">
        <v>4230</v>
      </c>
      <c r="C540" s="5">
        <v>39.438543</v>
      </c>
      <c r="D540" s="5">
        <v>-76.773096</v>
      </c>
      <c r="E540" s="4" t="s">
        <v>4231</v>
      </c>
      <c r="F540" s="4" t="s">
        <v>4232</v>
      </c>
      <c r="G540" s="14"/>
      <c r="H540" s="4" t="s">
        <v>312</v>
      </c>
      <c r="I540" s="4" t="s">
        <v>35</v>
      </c>
      <c r="J540" s="4" t="s">
        <v>4233</v>
      </c>
      <c r="K540" s="8" t="s">
        <v>4234</v>
      </c>
      <c r="L540" s="4" t="s">
        <v>4235</v>
      </c>
      <c r="M540" s="4">
        <v>62.10618232</v>
      </c>
      <c r="N540" s="5">
        <v>75.88161378</v>
      </c>
      <c r="O540" s="5" t="s">
        <v>4236</v>
      </c>
      <c r="P540" s="9">
        <v>9082026.0</v>
      </c>
      <c r="Q540" s="7" t="str">
        <f>IF(OR(ISBLANK(M540), ISBLANK(N540)), "", IF(N540 &lt; Sheet3!$B$6, "Insufficient Reviews", IF(M540 &gt;= Sheet3!$B$2, "Highly Reliable", IF(M540 &gt;= Sheet3!$B$3, "Reliable", IF(M540 &gt;= Sheet3!$B$4, "Mixed Reviews", "Low Reliability")))))</f>
        <v>Mixed Reviews</v>
      </c>
    </row>
    <row r="541">
      <c r="A541" s="3">
        <f t="shared" si="1"/>
        <v>540</v>
      </c>
      <c r="B541" s="4" t="s">
        <v>4237</v>
      </c>
      <c r="C541" s="5">
        <v>39.367668</v>
      </c>
      <c r="D541" s="5">
        <v>-76.7184401</v>
      </c>
      <c r="E541" s="4" t="s">
        <v>4238</v>
      </c>
      <c r="F541" s="4" t="s">
        <v>4239</v>
      </c>
      <c r="G541" s="4" t="s">
        <v>4240</v>
      </c>
      <c r="H541" s="4" t="s">
        <v>4241</v>
      </c>
      <c r="I541" s="4" t="s">
        <v>44</v>
      </c>
      <c r="J541" s="4" t="s">
        <v>4242</v>
      </c>
      <c r="K541" s="8" t="s">
        <v>4243</v>
      </c>
      <c r="L541" s="4" t="s">
        <v>4244</v>
      </c>
      <c r="M541" s="4">
        <v>56.80578761</v>
      </c>
      <c r="N541" s="5">
        <v>80.30648503</v>
      </c>
      <c r="O541" s="5" t="s">
        <v>4245</v>
      </c>
      <c r="P541" s="9">
        <v>9082026.0</v>
      </c>
      <c r="Q541" s="7" t="str">
        <f>IF(OR(ISBLANK(M541), ISBLANK(N541)), "", IF(N541 &lt; Sheet3!$B$6, "Insufficient Reviews", IF(M541 &gt;= Sheet3!$B$2, "Highly Reliable", IF(M541 &gt;= Sheet3!$B$3, "Reliable", IF(M541 &gt;= Sheet3!$B$4, "Mixed Reviews", "Low Reliability")))))</f>
        <v>Low Reliability</v>
      </c>
    </row>
    <row r="542">
      <c r="A542" s="3">
        <f t="shared" si="1"/>
        <v>541</v>
      </c>
      <c r="B542" s="4" t="s">
        <v>2156</v>
      </c>
      <c r="C542" s="5">
        <v>39.3532371</v>
      </c>
      <c r="D542" s="5">
        <v>-76.7320569</v>
      </c>
      <c r="E542" s="4" t="s">
        <v>2157</v>
      </c>
      <c r="F542" s="4" t="s">
        <v>2158</v>
      </c>
      <c r="G542" s="4"/>
      <c r="H542" s="14"/>
      <c r="I542" s="4" t="s">
        <v>27</v>
      </c>
      <c r="J542" s="4" t="s">
        <v>4246</v>
      </c>
      <c r="K542" s="4"/>
      <c r="L542" s="4" t="s">
        <v>4247</v>
      </c>
      <c r="M542" s="4">
        <v>52.5</v>
      </c>
      <c r="N542" s="5">
        <v>24.64332537</v>
      </c>
      <c r="O542" s="5" t="s">
        <v>4248</v>
      </c>
      <c r="P542" s="9">
        <v>9082026.0</v>
      </c>
      <c r="Q542" s="7" t="str">
        <f>IF(OR(ISBLANK(M542), ISBLANK(N542)), "", IF(N542 &lt; Sheet3!$B$6, "Insufficient Reviews", IF(M542 &gt;= Sheet3!$B$2, "Highly Reliable", IF(M542 &gt;= Sheet3!$B$3, "Reliable", IF(M542 &gt;= Sheet3!$B$4, "Mixed Reviews", "Low Reliability")))))</f>
        <v>Insufficient Reviews</v>
      </c>
    </row>
    <row r="543">
      <c r="A543" s="3">
        <f t="shared" si="1"/>
        <v>542</v>
      </c>
      <c r="B543" s="4" t="s">
        <v>4249</v>
      </c>
      <c r="C543" s="5">
        <v>39.3095921</v>
      </c>
      <c r="D543" s="5">
        <v>-76.6010689</v>
      </c>
      <c r="E543" s="4" t="s">
        <v>4250</v>
      </c>
      <c r="F543" s="4" t="s">
        <v>4251</v>
      </c>
      <c r="G543" s="4" t="s">
        <v>4252</v>
      </c>
      <c r="H543" s="4" t="s">
        <v>3846</v>
      </c>
      <c r="I543" s="4" t="s">
        <v>81</v>
      </c>
      <c r="J543" s="4" t="s">
        <v>4253</v>
      </c>
      <c r="K543" s="8" t="s">
        <v>4254</v>
      </c>
      <c r="L543" s="4" t="s">
        <v>4255</v>
      </c>
      <c r="M543" s="4">
        <v>46.66542919</v>
      </c>
      <c r="N543" s="5">
        <v>60.37073004</v>
      </c>
      <c r="O543" s="5" t="s">
        <v>4256</v>
      </c>
      <c r="P543" s="9">
        <v>9082026.0</v>
      </c>
      <c r="Q543" s="7" t="str">
        <f>IF(OR(ISBLANK(M543), ISBLANK(N543)), "", IF(N543 &lt; Sheet3!$B$6, "Insufficient Reviews", IF(M543 &gt;= Sheet3!$B$2, "Highly Reliable", IF(M543 &gt;= Sheet3!$B$3, "Reliable", IF(M543 &gt;= Sheet3!$B$4, "Mixed Reviews", "Low Reliability")))))</f>
        <v>Low Reliability</v>
      </c>
    </row>
    <row r="544">
      <c r="A544" s="3">
        <f t="shared" si="1"/>
        <v>543</v>
      </c>
      <c r="B544" s="4" t="s">
        <v>4257</v>
      </c>
      <c r="C544" s="5">
        <v>39.3200657</v>
      </c>
      <c r="D544" s="5">
        <v>-76.5960432</v>
      </c>
      <c r="E544" s="4" t="s">
        <v>4258</v>
      </c>
      <c r="F544" s="4" t="s">
        <v>4259</v>
      </c>
      <c r="G544" s="14"/>
      <c r="H544" s="4" t="s">
        <v>135</v>
      </c>
      <c r="I544" s="4" t="s">
        <v>81</v>
      </c>
      <c r="J544" s="4" t="s">
        <v>4260</v>
      </c>
      <c r="K544" s="4"/>
      <c r="L544" s="4" t="s">
        <v>4261</v>
      </c>
      <c r="M544" s="4">
        <v>71.73343662</v>
      </c>
      <c r="N544" s="5">
        <v>50.91731698</v>
      </c>
      <c r="O544" s="5" t="s">
        <v>4262</v>
      </c>
      <c r="P544" s="9">
        <v>9082026.0</v>
      </c>
      <c r="Q544" s="7" t="str">
        <f>IF(OR(ISBLANK(M544), ISBLANK(N544)), "", IF(N544 &lt; Sheet3!$B$6, "Insufficient Reviews", IF(M544 &gt;= Sheet3!$B$2, "Highly Reliable", IF(M544 &gt;= Sheet3!$B$3, "Reliable", IF(M544 &gt;= Sheet3!$B$4, "Mixed Reviews", "Low Reliability")))))</f>
        <v>Reliable</v>
      </c>
    </row>
    <row r="545">
      <c r="A545" s="3">
        <f t="shared" si="1"/>
        <v>544</v>
      </c>
      <c r="B545" s="4" t="s">
        <v>4263</v>
      </c>
      <c r="C545" s="5">
        <v>39.43689</v>
      </c>
      <c r="D545" s="5">
        <v>-76.7708866</v>
      </c>
      <c r="E545" s="4" t="s">
        <v>4264</v>
      </c>
      <c r="F545" s="4" t="s">
        <v>4265</v>
      </c>
      <c r="G545" s="4"/>
      <c r="H545" s="14"/>
      <c r="I545" s="4" t="s">
        <v>91</v>
      </c>
      <c r="J545" s="4" t="s">
        <v>4266</v>
      </c>
      <c r="K545" s="8" t="s">
        <v>4267</v>
      </c>
      <c r="L545" s="4" t="s">
        <v>4268</v>
      </c>
      <c r="M545" s="4">
        <v>68.56664103</v>
      </c>
      <c r="N545" s="5">
        <v>59.09785278</v>
      </c>
      <c r="O545" s="5" t="s">
        <v>4269</v>
      </c>
      <c r="P545" s="9">
        <v>9082026.0</v>
      </c>
      <c r="Q545" s="7" t="str">
        <f>IF(OR(ISBLANK(M545), ISBLANK(N545)), "", IF(N545 &lt; Sheet3!$B$6, "Insufficient Reviews", IF(M545 &gt;= Sheet3!$B$2, "Highly Reliable", IF(M545 &gt;= Sheet3!$B$3, "Reliable", IF(M545 &gt;= Sheet3!$B$4, "Mixed Reviews", "Low Reliability")))))</f>
        <v>Mixed Reviews</v>
      </c>
    </row>
    <row r="546">
      <c r="A546" s="3">
        <f t="shared" si="1"/>
        <v>545</v>
      </c>
      <c r="B546" s="4" t="s">
        <v>4270</v>
      </c>
      <c r="C546" s="5">
        <v>39.3546228</v>
      </c>
      <c r="D546" s="5">
        <v>-76.7005796</v>
      </c>
      <c r="E546" s="4" t="s">
        <v>4271</v>
      </c>
      <c r="F546" s="4" t="s">
        <v>4272</v>
      </c>
      <c r="G546" s="4" t="s">
        <v>4273</v>
      </c>
      <c r="H546" s="4" t="s">
        <v>4274</v>
      </c>
      <c r="I546" s="4" t="s">
        <v>27</v>
      </c>
      <c r="J546" s="4" t="s">
        <v>4275</v>
      </c>
      <c r="K546" s="8" t="s">
        <v>4276</v>
      </c>
      <c r="L546" s="4" t="s">
        <v>4277</v>
      </c>
      <c r="M546" s="4">
        <v>68.54225856</v>
      </c>
      <c r="N546" s="5">
        <v>71.73083375</v>
      </c>
      <c r="O546" s="5" t="s">
        <v>4278</v>
      </c>
      <c r="P546" s="9">
        <v>9082026.0</v>
      </c>
      <c r="Q546" s="7" t="str">
        <f>IF(OR(ISBLANK(M546), ISBLANK(N546)), "", IF(N546 &lt; Sheet3!$B$6, "Insufficient Reviews", IF(M546 &gt;= Sheet3!$B$2, "Highly Reliable", IF(M546 &gt;= Sheet3!$B$3, "Reliable", IF(M546 &gt;= Sheet3!$B$4, "Mixed Reviews", "Low Reliability")))))</f>
        <v>Mixed Reviews</v>
      </c>
    </row>
    <row r="547">
      <c r="A547" s="3">
        <f t="shared" si="1"/>
        <v>546</v>
      </c>
      <c r="B547" s="4" t="s">
        <v>4279</v>
      </c>
      <c r="C547" s="5">
        <v>39.4512273</v>
      </c>
      <c r="D547" s="5">
        <v>-76.8180841</v>
      </c>
      <c r="E547" s="4" t="s">
        <v>4280</v>
      </c>
      <c r="F547" s="4" t="s">
        <v>4281</v>
      </c>
      <c r="G547" s="4"/>
      <c r="H547" s="4" t="s">
        <v>4282</v>
      </c>
      <c r="I547" s="4" t="s">
        <v>35</v>
      </c>
      <c r="J547" s="4" t="s">
        <v>4283</v>
      </c>
      <c r="K547" s="8" t="s">
        <v>4284</v>
      </c>
      <c r="L547" s="4" t="s">
        <v>4285</v>
      </c>
      <c r="M547" s="4">
        <v>77.25628812</v>
      </c>
      <c r="N547" s="5">
        <v>70.23752541</v>
      </c>
      <c r="O547" s="5" t="s">
        <v>4286</v>
      </c>
      <c r="P547" s="9">
        <v>9082026.0</v>
      </c>
      <c r="Q547" s="7" t="str">
        <f>IF(OR(ISBLANK(M547), ISBLANK(N547)), "", IF(N547 &lt; Sheet3!$B$6, "Insufficient Reviews", IF(M547 &gt;= Sheet3!$B$2, "Highly Reliable", IF(M547 &gt;= Sheet3!$B$3, "Reliable", IF(M547 &gt;= Sheet3!$B$4, "Mixed Reviews", "Low Reliability")))))</f>
        <v>Reliable</v>
      </c>
    </row>
    <row r="548">
      <c r="A548" s="3">
        <f t="shared" si="1"/>
        <v>547</v>
      </c>
      <c r="B548" s="4" t="s">
        <v>4287</v>
      </c>
      <c r="C548" s="5">
        <v>39.4708633</v>
      </c>
      <c r="D548" s="5">
        <v>-76.8349898</v>
      </c>
      <c r="E548" s="4" t="s">
        <v>4288</v>
      </c>
      <c r="F548" s="4" t="s">
        <v>4289</v>
      </c>
      <c r="G548" s="4"/>
      <c r="H548" s="4" t="s">
        <v>26</v>
      </c>
      <c r="I548" s="4" t="s">
        <v>81</v>
      </c>
      <c r="J548" s="4" t="s">
        <v>4290</v>
      </c>
      <c r="K548" s="8" t="s">
        <v>2241</v>
      </c>
      <c r="L548" s="4" t="s">
        <v>4291</v>
      </c>
      <c r="M548" s="4">
        <v>64.5</v>
      </c>
      <c r="N548" s="5">
        <v>35.6627623</v>
      </c>
      <c r="O548" s="5" t="s">
        <v>2680</v>
      </c>
      <c r="P548" s="9">
        <v>9082026.0</v>
      </c>
      <c r="Q548" s="7" t="str">
        <f>IF(OR(ISBLANK(M548), ISBLANK(N548)), "", IF(N548 &lt; Sheet3!$B$6, "Insufficient Reviews", IF(M548 &gt;= Sheet3!$B$2, "Highly Reliable", IF(M548 &gt;= Sheet3!$B$3, "Reliable", IF(M548 &gt;= Sheet3!$B$4, "Mixed Reviews", "Low Reliability")))))</f>
        <v>Insufficient Reviews</v>
      </c>
    </row>
    <row r="549">
      <c r="A549" s="3">
        <f t="shared" si="1"/>
        <v>548</v>
      </c>
      <c r="B549" s="4" t="s">
        <v>4292</v>
      </c>
      <c r="C549" s="5">
        <v>39.3736195</v>
      </c>
      <c r="D549" s="5">
        <v>-76.7218358</v>
      </c>
      <c r="E549" s="4" t="s">
        <v>4293</v>
      </c>
      <c r="F549" s="4" t="s">
        <v>4294</v>
      </c>
      <c r="G549" s="4" t="s">
        <v>4295</v>
      </c>
      <c r="H549" s="4" t="s">
        <v>153</v>
      </c>
      <c r="I549" s="4" t="s">
        <v>91</v>
      </c>
      <c r="J549" s="4" t="s">
        <v>4296</v>
      </c>
      <c r="K549" s="8" t="s">
        <v>4297</v>
      </c>
      <c r="L549" s="4" t="s">
        <v>4298</v>
      </c>
      <c r="M549" s="4">
        <v>16.5</v>
      </c>
      <c r="N549" s="5">
        <v>30.45333333</v>
      </c>
      <c r="O549" s="5" t="s">
        <v>4299</v>
      </c>
      <c r="P549" s="9">
        <v>9082026.0</v>
      </c>
      <c r="Q549" s="7" t="str">
        <f>IF(OR(ISBLANK(M549), ISBLANK(N549)), "", IF(N549 &lt; Sheet3!$B$6, "Insufficient Reviews", IF(M549 &gt;= Sheet3!$B$2, "Highly Reliable", IF(M549 &gt;= Sheet3!$B$3, "Reliable", IF(M549 &gt;= Sheet3!$B$4, "Mixed Reviews", "Low Reliability")))))</f>
        <v>Insufficient Reviews</v>
      </c>
    </row>
    <row r="550">
      <c r="A550" s="3">
        <f t="shared" si="1"/>
        <v>549</v>
      </c>
      <c r="B550" s="4" t="s">
        <v>4300</v>
      </c>
      <c r="C550" s="5">
        <v>39.3498458</v>
      </c>
      <c r="D550" s="5">
        <v>-76.7266349</v>
      </c>
      <c r="E550" s="4" t="s">
        <v>4301</v>
      </c>
      <c r="F550" s="4" t="s">
        <v>4302</v>
      </c>
      <c r="G550" s="14"/>
      <c r="H550" s="4" t="s">
        <v>135</v>
      </c>
      <c r="I550" s="4" t="s">
        <v>91</v>
      </c>
      <c r="J550" s="4" t="s">
        <v>4303</v>
      </c>
      <c r="K550" s="8" t="s">
        <v>4304</v>
      </c>
      <c r="L550" s="4" t="s">
        <v>4305</v>
      </c>
      <c r="M550" s="4">
        <v>74.02712487</v>
      </c>
      <c r="N550" s="5">
        <v>70.39897495</v>
      </c>
      <c r="O550" s="5" t="s">
        <v>4306</v>
      </c>
      <c r="P550" s="9">
        <v>9082026.0</v>
      </c>
      <c r="Q550" s="7" t="str">
        <f>IF(OR(ISBLANK(M550), ISBLANK(N550)), "", IF(N550 &lt; Sheet3!$B$6, "Insufficient Reviews", IF(M550 &gt;= Sheet3!$B$2, "Highly Reliable", IF(M550 &gt;= Sheet3!$B$3, "Reliable", IF(M550 &gt;= Sheet3!$B$4, "Mixed Reviews", "Low Reliability")))))</f>
        <v>Reliable</v>
      </c>
    </row>
    <row r="551">
      <c r="A551" s="3">
        <f t="shared" si="1"/>
        <v>550</v>
      </c>
      <c r="B551" s="4" t="s">
        <v>4307</v>
      </c>
      <c r="C551" s="5">
        <v>39.3208572</v>
      </c>
      <c r="D551" s="5">
        <v>-76.4445914</v>
      </c>
      <c r="E551" s="4" t="s">
        <v>4308</v>
      </c>
      <c r="F551" s="4" t="s">
        <v>4309</v>
      </c>
      <c r="G551" s="4" t="s">
        <v>4310</v>
      </c>
      <c r="H551" s="4" t="s">
        <v>2077</v>
      </c>
      <c r="I551" s="4" t="s">
        <v>81</v>
      </c>
      <c r="J551" s="4" t="s">
        <v>4311</v>
      </c>
      <c r="K551" s="8" t="s">
        <v>4312</v>
      </c>
      <c r="L551" s="4" t="s">
        <v>4313</v>
      </c>
      <c r="M551" s="4">
        <v>82.95273044</v>
      </c>
      <c r="N551" s="5">
        <v>73.40538846</v>
      </c>
      <c r="O551" s="5" t="s">
        <v>4314</v>
      </c>
      <c r="P551" s="9">
        <v>9082026.0</v>
      </c>
      <c r="Q551" s="7" t="str">
        <f>IF(OR(ISBLANK(M551), ISBLANK(N551)), "", IF(N551 &lt; Sheet3!$B$6, "Insufficient Reviews", IF(M551 &gt;= Sheet3!$B$2, "Highly Reliable", IF(M551 &gt;= Sheet3!$B$3, "Reliable", IF(M551 &gt;= Sheet3!$B$4, "Mixed Reviews", "Low Reliability")))))</f>
        <v>Highly Reliable</v>
      </c>
    </row>
    <row r="552">
      <c r="A552" s="3">
        <f t="shared" si="1"/>
        <v>551</v>
      </c>
      <c r="B552" s="4" t="s">
        <v>4315</v>
      </c>
      <c r="C552" s="5">
        <v>39.3029487</v>
      </c>
      <c r="D552" s="5">
        <v>-76.485835</v>
      </c>
      <c r="E552" s="4" t="s">
        <v>4316</v>
      </c>
      <c r="F552" s="4" t="s">
        <v>4317</v>
      </c>
      <c r="G552" s="4"/>
      <c r="H552" s="4" t="s">
        <v>135</v>
      </c>
      <c r="I552" s="4" t="s">
        <v>91</v>
      </c>
      <c r="J552" s="4" t="s">
        <v>4318</v>
      </c>
      <c r="K552" s="8" t="s">
        <v>4319</v>
      </c>
      <c r="L552" s="4" t="s">
        <v>4320</v>
      </c>
      <c r="M552" s="4">
        <v>82.21447376</v>
      </c>
      <c r="N552" s="5">
        <v>74.19486445</v>
      </c>
      <c r="O552" s="5" t="s">
        <v>4321</v>
      </c>
      <c r="P552" s="9">
        <v>9082026.0</v>
      </c>
      <c r="Q552" s="7" t="str">
        <f>IF(OR(ISBLANK(M552), ISBLANK(N552)), "", IF(N552 &lt; Sheet3!$B$6, "Insufficient Reviews", IF(M552 &gt;= Sheet3!$B$2, "Highly Reliable", IF(M552 &gt;= Sheet3!$B$3, "Reliable", IF(M552 &gt;= Sheet3!$B$4, "Mixed Reviews", "Low Reliability")))))</f>
        <v>Highly Reliable</v>
      </c>
    </row>
    <row r="553">
      <c r="A553" s="3">
        <f t="shared" si="1"/>
        <v>552</v>
      </c>
      <c r="B553" s="4" t="s">
        <v>4322</v>
      </c>
      <c r="C553" s="5">
        <v>39.3063682</v>
      </c>
      <c r="D553" s="5">
        <v>-76.6177519</v>
      </c>
      <c r="E553" s="4" t="s">
        <v>4323</v>
      </c>
      <c r="F553" s="4" t="s">
        <v>4324</v>
      </c>
      <c r="G553" s="14"/>
      <c r="H553" s="4" t="s">
        <v>4325</v>
      </c>
      <c r="I553" s="4" t="s">
        <v>203</v>
      </c>
      <c r="J553" s="4" t="s">
        <v>4326</v>
      </c>
      <c r="K553" s="8" t="s">
        <v>4327</v>
      </c>
      <c r="L553" s="4" t="s">
        <v>4328</v>
      </c>
      <c r="M553" s="4">
        <v>87.36574702</v>
      </c>
      <c r="N553" s="5">
        <v>66.44400411</v>
      </c>
      <c r="O553" s="5" t="s">
        <v>4329</v>
      </c>
      <c r="P553" s="9">
        <v>9082026.0</v>
      </c>
      <c r="Q553" s="7" t="str">
        <f>IF(OR(ISBLANK(M553), ISBLANK(N553)), "", IF(N553 &lt; Sheet3!$B$6, "Insufficient Reviews", IF(M553 &gt;= Sheet3!$B$2, "Highly Reliable", IF(M553 &gt;= Sheet3!$B$3, "Reliable", IF(M553 &gt;= Sheet3!$B$4, "Mixed Reviews", "Low Reliability")))))</f>
        <v>Highly Reliable</v>
      </c>
    </row>
    <row r="554">
      <c r="A554" s="3">
        <f t="shared" si="1"/>
        <v>553</v>
      </c>
      <c r="B554" s="4" t="s">
        <v>4330</v>
      </c>
      <c r="C554" s="5">
        <v>39.3559987</v>
      </c>
      <c r="D554" s="5">
        <v>-76.6350856</v>
      </c>
      <c r="E554" s="4" t="s">
        <v>4331</v>
      </c>
      <c r="F554" s="4" t="s">
        <v>4332</v>
      </c>
      <c r="G554" s="4"/>
      <c r="H554" s="4" t="s">
        <v>2417</v>
      </c>
      <c r="I554" s="4" t="s">
        <v>203</v>
      </c>
      <c r="J554" s="4" t="s">
        <v>4333</v>
      </c>
      <c r="K554" s="8" t="s">
        <v>4334</v>
      </c>
      <c r="L554" s="4" t="s">
        <v>4335</v>
      </c>
      <c r="M554" s="4">
        <v>82.36545901</v>
      </c>
      <c r="N554" s="5">
        <v>73.90801644</v>
      </c>
      <c r="O554" s="5" t="s">
        <v>4336</v>
      </c>
      <c r="P554" s="9">
        <v>9082026.0</v>
      </c>
      <c r="Q554" s="7" t="str">
        <f>IF(OR(ISBLANK(M554), ISBLANK(N554)), "", IF(N554 &lt; Sheet3!$B$6, "Insufficient Reviews", IF(M554 &gt;= Sheet3!$B$2, "Highly Reliable", IF(M554 &gt;= Sheet3!$B$3, "Reliable", IF(M554 &gt;= Sheet3!$B$4, "Mixed Reviews", "Low Reliability")))))</f>
        <v>Highly Reliable</v>
      </c>
    </row>
    <row r="555">
      <c r="A555" s="3">
        <f t="shared" si="1"/>
        <v>554</v>
      </c>
      <c r="B555" s="4" t="s">
        <v>4337</v>
      </c>
      <c r="C555" s="5">
        <v>39.3381441</v>
      </c>
      <c r="D555" s="5">
        <v>-76.6321308</v>
      </c>
      <c r="E555" s="4" t="s">
        <v>4338</v>
      </c>
      <c r="F555" s="4" t="s">
        <v>4339</v>
      </c>
      <c r="G555" s="14"/>
      <c r="H555" s="4" t="s">
        <v>126</v>
      </c>
      <c r="I555" s="4" t="s">
        <v>81</v>
      </c>
      <c r="J555" s="4" t="s">
        <v>4340</v>
      </c>
      <c r="K555" s="8" t="s">
        <v>4341</v>
      </c>
      <c r="L555" s="4" t="s">
        <v>4342</v>
      </c>
      <c r="M555" s="4">
        <v>83.48664428</v>
      </c>
      <c r="N555" s="5">
        <v>94.56999896</v>
      </c>
      <c r="O555" s="5" t="s">
        <v>4343</v>
      </c>
      <c r="P555" s="9">
        <v>9082026.0</v>
      </c>
      <c r="Q555" s="7" t="str">
        <f>IF(OR(ISBLANK(M555), ISBLANK(N555)), "", IF(N555 &lt; Sheet3!$B$6, "Insufficient Reviews", IF(M555 &gt;= Sheet3!$B$2, "Highly Reliable", IF(M555 &gt;= Sheet3!$B$3, "Reliable", IF(M555 &gt;= Sheet3!$B$4, "Mixed Reviews", "Low Reliability")))))</f>
        <v>Highly Reliable</v>
      </c>
    </row>
    <row r="556">
      <c r="A556" s="3">
        <f t="shared" si="1"/>
        <v>555</v>
      </c>
      <c r="B556" s="4" t="s">
        <v>4344</v>
      </c>
      <c r="C556" s="5">
        <v>39.3463452</v>
      </c>
      <c r="D556" s="5">
        <v>-76.6408271</v>
      </c>
      <c r="E556" s="4" t="s">
        <v>4345</v>
      </c>
      <c r="F556" s="4" t="s">
        <v>4346</v>
      </c>
      <c r="G556" s="4"/>
      <c r="H556" s="4" t="s">
        <v>135</v>
      </c>
      <c r="I556" s="4" t="s">
        <v>91</v>
      </c>
      <c r="J556" s="4" t="s">
        <v>4347</v>
      </c>
      <c r="K556" s="8" t="s">
        <v>4348</v>
      </c>
      <c r="L556" s="4" t="s">
        <v>4349</v>
      </c>
      <c r="M556" s="4">
        <v>76.63767651</v>
      </c>
      <c r="N556" s="5">
        <v>73.12124626</v>
      </c>
      <c r="O556" s="5" t="s">
        <v>4350</v>
      </c>
      <c r="P556" s="9">
        <v>9082026.0</v>
      </c>
      <c r="Q556" s="7" t="str">
        <f>IF(OR(ISBLANK(M556), ISBLANK(N556)), "", IF(N556 &lt; Sheet3!$B$6, "Insufficient Reviews", IF(M556 &gt;= Sheet3!$B$2, "Highly Reliable", IF(M556 &gt;= Sheet3!$B$3, "Reliable", IF(M556 &gt;= Sheet3!$B$4, "Mixed Reviews", "Low Reliability")))))</f>
        <v>Reliable</v>
      </c>
    </row>
    <row r="557">
      <c r="A557" s="3">
        <f t="shared" si="1"/>
        <v>556</v>
      </c>
      <c r="B557" s="4" t="s">
        <v>4351</v>
      </c>
      <c r="C557" s="5">
        <v>39.3365542</v>
      </c>
      <c r="D557" s="5">
        <v>-76.632705</v>
      </c>
      <c r="E557" s="4" t="s">
        <v>4352</v>
      </c>
      <c r="F557" s="4" t="s">
        <v>4353</v>
      </c>
      <c r="G557" s="4" t="s">
        <v>4354</v>
      </c>
      <c r="H557" s="4" t="s">
        <v>126</v>
      </c>
      <c r="I557" s="4" t="s">
        <v>81</v>
      </c>
      <c r="J557" s="4" t="s">
        <v>4355</v>
      </c>
      <c r="K557" s="8" t="s">
        <v>4356</v>
      </c>
      <c r="L557" s="4" t="s">
        <v>4357</v>
      </c>
      <c r="M557" s="4">
        <v>75.61256676</v>
      </c>
      <c r="N557" s="5">
        <v>56.69112147</v>
      </c>
      <c r="O557" s="5" t="s">
        <v>4358</v>
      </c>
      <c r="P557" s="9">
        <v>9082026.0</v>
      </c>
      <c r="Q557" s="7" t="str">
        <f>IF(OR(ISBLANK(M557), ISBLANK(N557)), "", IF(N557 &lt; Sheet3!$B$6, "Insufficient Reviews", IF(M557 &gt;= Sheet3!$B$2, "Highly Reliable", IF(M557 &gt;= Sheet3!$B$3, "Reliable", IF(M557 &gt;= Sheet3!$B$4, "Mixed Reviews", "Low Reliability")))))</f>
        <v>Reliable</v>
      </c>
    </row>
    <row r="558">
      <c r="A558" s="3">
        <f t="shared" si="1"/>
        <v>557</v>
      </c>
      <c r="B558" s="4" t="s">
        <v>4359</v>
      </c>
      <c r="C558" s="5">
        <v>39.2775868</v>
      </c>
      <c r="D558" s="5">
        <v>-76.7544926</v>
      </c>
      <c r="E558" s="4" t="s">
        <v>4360</v>
      </c>
      <c r="F558" s="4" t="s">
        <v>4361</v>
      </c>
      <c r="G558" s="4"/>
      <c r="H558" s="4" t="s">
        <v>4362</v>
      </c>
      <c r="I558" s="4" t="s">
        <v>81</v>
      </c>
      <c r="J558" s="4" t="s">
        <v>4363</v>
      </c>
      <c r="K558" s="8" t="s">
        <v>4364</v>
      </c>
      <c r="L558" s="4" t="s">
        <v>4365</v>
      </c>
      <c r="M558" s="4">
        <v>72.89284714</v>
      </c>
      <c r="N558" s="5">
        <v>56.26175245</v>
      </c>
      <c r="O558" s="5" t="s">
        <v>4366</v>
      </c>
      <c r="P558" s="9">
        <v>9082026.0</v>
      </c>
      <c r="Q558" s="7" t="str">
        <f>IF(OR(ISBLANK(M558), ISBLANK(N558)), "", IF(N558 &lt; Sheet3!$B$6, "Insufficient Reviews", IF(M558 &gt;= Sheet3!$B$2, "Highly Reliable", IF(M558 &gt;= Sheet3!$B$3, "Reliable", IF(M558 &gt;= Sheet3!$B$4, "Mixed Reviews", "Low Reliability")))))</f>
        <v>Reliable</v>
      </c>
    </row>
    <row r="559">
      <c r="A559" s="3">
        <f t="shared" si="1"/>
        <v>558</v>
      </c>
      <c r="B559" s="4" t="s">
        <v>4367</v>
      </c>
      <c r="C559" s="5">
        <v>39.33738</v>
      </c>
      <c r="D559" s="5">
        <v>-76.5938216</v>
      </c>
      <c r="E559" s="4" t="s">
        <v>4368</v>
      </c>
      <c r="F559" s="4" t="s">
        <v>4369</v>
      </c>
      <c r="G559" s="14"/>
      <c r="H559" s="14"/>
      <c r="I559" s="4" t="s">
        <v>27</v>
      </c>
      <c r="J559" s="4" t="s">
        <v>4370</v>
      </c>
      <c r="K559" s="4"/>
      <c r="L559" s="4" t="s">
        <v>4371</v>
      </c>
      <c r="M559" s="4">
        <v>10.5</v>
      </c>
      <c r="N559" s="5">
        <v>15.91666667</v>
      </c>
      <c r="O559" s="5" t="s">
        <v>741</v>
      </c>
      <c r="P559" s="9">
        <v>9082026.0</v>
      </c>
      <c r="Q559" s="7" t="str">
        <f>IF(OR(ISBLANK(M559), ISBLANK(N559)), "", IF(N559 &lt; Sheet3!$B$6, "Insufficient Reviews", IF(M559 &gt;= Sheet3!$B$2, "Highly Reliable", IF(M559 &gt;= Sheet3!$B$3, "Reliable", IF(M559 &gt;= Sheet3!$B$4, "Mixed Reviews", "Low Reliability")))))</f>
        <v>Insufficient Reviews</v>
      </c>
    </row>
    <row r="560">
      <c r="A560" s="3">
        <f t="shared" si="1"/>
        <v>559</v>
      </c>
      <c r="B560" s="4" t="s">
        <v>4372</v>
      </c>
      <c r="C560" s="5">
        <v>39.3425474</v>
      </c>
      <c r="D560" s="5">
        <v>-76.4861018</v>
      </c>
      <c r="E560" s="4" t="s">
        <v>4373</v>
      </c>
      <c r="F560" s="4" t="s">
        <v>4374</v>
      </c>
      <c r="G560" s="4"/>
      <c r="H560" s="4" t="s">
        <v>135</v>
      </c>
      <c r="I560" s="4" t="s">
        <v>91</v>
      </c>
      <c r="J560" s="4" t="s">
        <v>4375</v>
      </c>
      <c r="K560" s="8" t="s">
        <v>4376</v>
      </c>
      <c r="L560" s="4" t="s">
        <v>4377</v>
      </c>
      <c r="M560" s="4">
        <v>78.6666649</v>
      </c>
      <c r="N560" s="5">
        <v>73.08954925</v>
      </c>
      <c r="O560" s="5" t="s">
        <v>4378</v>
      </c>
      <c r="P560" s="9">
        <v>9082026.0</v>
      </c>
      <c r="Q560" s="7" t="str">
        <f>IF(OR(ISBLANK(M560), ISBLANK(N560)), "", IF(N560 &lt; Sheet3!$B$6, "Insufficient Reviews", IF(M560 &gt;= Sheet3!$B$2, "Highly Reliable", IF(M560 &gt;= Sheet3!$B$3, "Reliable", IF(M560 &gt;= Sheet3!$B$4, "Mixed Reviews", "Low Reliability")))))</f>
        <v>Reliable</v>
      </c>
    </row>
    <row r="561">
      <c r="A561" s="3">
        <f t="shared" si="1"/>
        <v>560</v>
      </c>
      <c r="B561" s="4" t="s">
        <v>4379</v>
      </c>
      <c r="C561" s="5">
        <v>39.3497357</v>
      </c>
      <c r="D561" s="5">
        <v>-76.5497037</v>
      </c>
      <c r="E561" s="4" t="s">
        <v>4380</v>
      </c>
      <c r="F561" s="4" t="s">
        <v>4381</v>
      </c>
      <c r="G561" s="4"/>
      <c r="H561" s="14"/>
      <c r="I561" s="4" t="s">
        <v>81</v>
      </c>
      <c r="J561" s="4" t="s">
        <v>4382</v>
      </c>
      <c r="K561" s="4"/>
      <c r="L561" s="4" t="s">
        <v>4383</v>
      </c>
      <c r="M561" s="4">
        <v>64.5</v>
      </c>
      <c r="N561" s="5">
        <v>22.42116797</v>
      </c>
      <c r="O561" s="5" t="s">
        <v>4384</v>
      </c>
      <c r="P561" s="9">
        <v>9082026.0</v>
      </c>
      <c r="Q561" s="7" t="str">
        <f>IF(OR(ISBLANK(M561), ISBLANK(N561)), "", IF(N561 &lt; Sheet3!$B$6, "Insufficient Reviews", IF(M561 &gt;= Sheet3!$B$2, "Highly Reliable", IF(M561 &gt;= Sheet3!$B$3, "Reliable", IF(M561 &gt;= Sheet3!$B$4, "Mixed Reviews", "Low Reliability")))))</f>
        <v>Insufficient Reviews</v>
      </c>
    </row>
    <row r="562">
      <c r="A562" s="3">
        <f t="shared" si="1"/>
        <v>561</v>
      </c>
      <c r="B562" s="4" t="s">
        <v>4385</v>
      </c>
      <c r="C562" s="5">
        <v>39.3470707</v>
      </c>
      <c r="D562" s="5">
        <v>-76.6588591</v>
      </c>
      <c r="E562" s="4" t="s">
        <v>4386</v>
      </c>
      <c r="F562" s="4" t="s">
        <v>4387</v>
      </c>
      <c r="G562" s="4" t="s">
        <v>4388</v>
      </c>
      <c r="H562" s="4" t="s">
        <v>4389</v>
      </c>
      <c r="I562" s="4" t="s">
        <v>81</v>
      </c>
      <c r="J562" s="4" t="s">
        <v>4390</v>
      </c>
      <c r="K562" s="8" t="s">
        <v>4391</v>
      </c>
      <c r="L562" s="4" t="s">
        <v>4392</v>
      </c>
      <c r="M562" s="4">
        <v>74.07801373</v>
      </c>
      <c r="N562" s="5">
        <v>69.68928125</v>
      </c>
      <c r="O562" s="5" t="s">
        <v>4393</v>
      </c>
      <c r="P562" s="9">
        <v>9082026.0</v>
      </c>
      <c r="Q562" s="7" t="str">
        <f>IF(OR(ISBLANK(M562), ISBLANK(N562)), "", IF(N562 &lt; Sheet3!$B$6, "Insufficient Reviews", IF(M562 &gt;= Sheet3!$B$2, "Highly Reliable", IF(M562 &gt;= Sheet3!$B$3, "Reliable", IF(M562 &gt;= Sheet3!$B$4, "Mixed Reviews", "Low Reliability")))))</f>
        <v>Reliable</v>
      </c>
    </row>
    <row r="563">
      <c r="A563" s="3">
        <f t="shared" si="1"/>
        <v>562</v>
      </c>
      <c r="B563" s="4" t="s">
        <v>4394</v>
      </c>
      <c r="C563" s="5">
        <v>39.4438952</v>
      </c>
      <c r="D563" s="5">
        <v>-76.821741</v>
      </c>
      <c r="E563" s="4" t="s">
        <v>4395</v>
      </c>
      <c r="F563" s="4" t="s">
        <v>4396</v>
      </c>
      <c r="G563" s="4"/>
      <c r="H563" s="14"/>
      <c r="I563" s="4" t="s">
        <v>81</v>
      </c>
      <c r="J563" s="4" t="s">
        <v>4397</v>
      </c>
      <c r="K563" s="4"/>
      <c r="L563" s="4" t="s">
        <v>4398</v>
      </c>
      <c r="M563" s="4">
        <v>70.5</v>
      </c>
      <c r="N563" s="5">
        <v>23.57552459</v>
      </c>
      <c r="O563" s="5" t="s">
        <v>4399</v>
      </c>
      <c r="P563" s="9">
        <v>9082026.0</v>
      </c>
      <c r="Q563" s="7" t="str">
        <f>IF(OR(ISBLANK(M563), ISBLANK(N563)), "", IF(N563 &lt; Sheet3!$B$6, "Insufficient Reviews", IF(M563 &gt;= Sheet3!$B$2, "Highly Reliable", IF(M563 &gt;= Sheet3!$B$3, "Reliable", IF(M563 &gt;= Sheet3!$B$4, "Mixed Reviews", "Low Reliability")))))</f>
        <v>Insufficient Reviews</v>
      </c>
    </row>
    <row r="564">
      <c r="A564" s="3">
        <f t="shared" si="1"/>
        <v>563</v>
      </c>
      <c r="B564" s="4" t="s">
        <v>4400</v>
      </c>
      <c r="C564" s="5">
        <v>39.306579</v>
      </c>
      <c r="D564" s="5">
        <v>-76.6436742</v>
      </c>
      <c r="E564" s="4" t="s">
        <v>4401</v>
      </c>
      <c r="F564" s="4" t="s">
        <v>4402</v>
      </c>
      <c r="G564" s="4"/>
      <c r="H564" s="14"/>
      <c r="I564" s="4" t="s">
        <v>27</v>
      </c>
      <c r="J564" s="4" t="s">
        <v>4403</v>
      </c>
      <c r="K564" s="8" t="s">
        <v>4404</v>
      </c>
      <c r="L564" s="4" t="s">
        <v>4405</v>
      </c>
      <c r="M564" s="4">
        <v>76.77057812</v>
      </c>
      <c r="N564" s="5">
        <v>66.61334988</v>
      </c>
      <c r="O564" s="5" t="s">
        <v>4406</v>
      </c>
      <c r="P564" s="9">
        <v>9082026.0</v>
      </c>
      <c r="Q564" s="7" t="str">
        <f>IF(OR(ISBLANK(M564), ISBLANK(N564)), "", IF(N564 &lt; Sheet3!$B$6, "Insufficient Reviews", IF(M564 &gt;= Sheet3!$B$2, "Highly Reliable", IF(M564 &gt;= Sheet3!$B$3, "Reliable", IF(M564 &gt;= Sheet3!$B$4, "Mixed Reviews", "Low Reliability")))))</f>
        <v>Reliable</v>
      </c>
    </row>
    <row r="565">
      <c r="A565" s="3">
        <f t="shared" si="1"/>
        <v>564</v>
      </c>
      <c r="B565" s="4" t="s">
        <v>4407</v>
      </c>
      <c r="C565" s="5">
        <v>39.3654777</v>
      </c>
      <c r="D565" s="5">
        <v>-76.7772485</v>
      </c>
      <c r="E565" s="4" t="s">
        <v>4408</v>
      </c>
      <c r="F565" s="4" t="s">
        <v>4409</v>
      </c>
      <c r="G565" s="14"/>
      <c r="H565" s="4" t="s">
        <v>135</v>
      </c>
      <c r="I565" s="4" t="s">
        <v>81</v>
      </c>
      <c r="J565" s="4" t="s">
        <v>4410</v>
      </c>
      <c r="K565" s="4"/>
      <c r="L565" s="4" t="s">
        <v>4411</v>
      </c>
      <c r="M565" s="4">
        <v>72.0</v>
      </c>
      <c r="N565" s="5">
        <v>20.25609563</v>
      </c>
      <c r="O565" s="5" t="s">
        <v>4412</v>
      </c>
      <c r="P565" s="9">
        <v>9082026.0</v>
      </c>
      <c r="Q565" s="7" t="str">
        <f>IF(OR(ISBLANK(M565), ISBLANK(N565)), "", IF(N565 &lt; Sheet3!$B$6, "Insufficient Reviews", IF(M565 &gt;= Sheet3!$B$2, "Highly Reliable", IF(M565 &gt;= Sheet3!$B$3, "Reliable", IF(M565 &gt;= Sheet3!$B$4, "Mixed Reviews", "Low Reliability")))))</f>
        <v>Insufficient Reviews</v>
      </c>
    </row>
    <row r="566">
      <c r="A566" s="3">
        <f t="shared" si="1"/>
        <v>565</v>
      </c>
      <c r="B566" s="4" t="s">
        <v>4413</v>
      </c>
      <c r="C566" s="5">
        <v>39.3924463</v>
      </c>
      <c r="D566" s="5">
        <v>-76.6039717</v>
      </c>
      <c r="E566" s="4" t="s">
        <v>4414</v>
      </c>
      <c r="F566" s="4" t="s">
        <v>4415</v>
      </c>
      <c r="G566" s="14"/>
      <c r="H566" s="4" t="s">
        <v>3216</v>
      </c>
      <c r="I566" s="4" t="s">
        <v>81</v>
      </c>
      <c r="J566" s="4" t="s">
        <v>4416</v>
      </c>
      <c r="K566" s="8" t="s">
        <v>4417</v>
      </c>
      <c r="L566" s="4" t="s">
        <v>4418</v>
      </c>
      <c r="M566" s="4">
        <v>75.96675066</v>
      </c>
      <c r="N566" s="5">
        <v>71.6908779</v>
      </c>
      <c r="O566" s="5" t="s">
        <v>4419</v>
      </c>
      <c r="P566" s="9">
        <v>9082026.0</v>
      </c>
      <c r="Q566" s="7" t="str">
        <f>IF(OR(ISBLANK(M566), ISBLANK(N566)), "", IF(N566 &lt; Sheet3!$B$6, "Insufficient Reviews", IF(M566 &gt;= Sheet3!$B$2, "Highly Reliable", IF(M566 &gt;= Sheet3!$B$3, "Reliable", IF(M566 &gt;= Sheet3!$B$4, "Mixed Reviews", "Low Reliability")))))</f>
        <v>Reliable</v>
      </c>
    </row>
    <row r="567">
      <c r="A567" s="3">
        <f t="shared" si="1"/>
        <v>566</v>
      </c>
      <c r="B567" s="4" t="s">
        <v>4420</v>
      </c>
      <c r="C567" s="5">
        <v>39.3558093</v>
      </c>
      <c r="D567" s="5">
        <v>-76.5510382</v>
      </c>
      <c r="E567" s="4" t="s">
        <v>4421</v>
      </c>
      <c r="F567" s="4" t="s">
        <v>4422</v>
      </c>
      <c r="G567" s="14"/>
      <c r="H567" s="14"/>
      <c r="I567" s="4" t="s">
        <v>81</v>
      </c>
      <c r="J567" s="4" t="s">
        <v>4423</v>
      </c>
      <c r="K567" s="4"/>
      <c r="L567" s="4" t="s">
        <v>4424</v>
      </c>
      <c r="M567" s="4">
        <v>46.5</v>
      </c>
      <c r="N567" s="5">
        <v>22.43616797</v>
      </c>
      <c r="O567" s="5" t="s">
        <v>4425</v>
      </c>
      <c r="P567" s="9">
        <v>9082026.0</v>
      </c>
      <c r="Q567" s="7" t="str">
        <f>IF(OR(ISBLANK(M567), ISBLANK(N567)), "", IF(N567 &lt; Sheet3!$B$6, "Insufficient Reviews", IF(M567 &gt;= Sheet3!$B$2, "Highly Reliable", IF(M567 &gt;= Sheet3!$B$3, "Reliable", IF(M567 &gt;= Sheet3!$B$4, "Mixed Reviews", "Low Reliability")))))</f>
        <v>Insufficient Reviews</v>
      </c>
    </row>
    <row r="568">
      <c r="A568" s="3">
        <f t="shared" si="1"/>
        <v>567</v>
      </c>
      <c r="B568" s="4" t="s">
        <v>4426</v>
      </c>
      <c r="C568" s="5">
        <v>39.3862382</v>
      </c>
      <c r="D568" s="5">
        <v>-76.5711272</v>
      </c>
      <c r="E568" s="4" t="s">
        <v>4427</v>
      </c>
      <c r="F568" s="4" t="s">
        <v>4428</v>
      </c>
      <c r="G568" s="14"/>
      <c r="H568" s="4" t="s">
        <v>4429</v>
      </c>
      <c r="I568" s="4" t="s">
        <v>27</v>
      </c>
      <c r="J568" s="4" t="s">
        <v>4430</v>
      </c>
      <c r="K568" s="8" t="s">
        <v>4431</v>
      </c>
      <c r="L568" s="4" t="s">
        <v>4432</v>
      </c>
      <c r="M568" s="4">
        <v>82.2695778</v>
      </c>
      <c r="N568" s="5">
        <v>57.77857646</v>
      </c>
      <c r="O568" s="5" t="s">
        <v>4433</v>
      </c>
      <c r="P568" s="9">
        <v>9082026.0</v>
      </c>
      <c r="Q568" s="7" t="str">
        <f>IF(OR(ISBLANK(M568), ISBLANK(N568)), "", IF(N568 &lt; Sheet3!$B$6, "Insufficient Reviews", IF(M568 &gt;= Sheet3!$B$2, "Highly Reliable", IF(M568 &gt;= Sheet3!$B$3, "Reliable", IF(M568 &gt;= Sheet3!$B$4, "Mixed Reviews", "Low Reliability")))))</f>
        <v>Highly Reliable</v>
      </c>
    </row>
    <row r="569">
      <c r="A569" s="3">
        <f t="shared" si="1"/>
        <v>568</v>
      </c>
      <c r="B569" s="4" t="s">
        <v>4434</v>
      </c>
      <c r="C569" s="5">
        <v>39.3623344</v>
      </c>
      <c r="D569" s="5">
        <v>-76.6105997</v>
      </c>
      <c r="E569" s="4" t="s">
        <v>4435</v>
      </c>
      <c r="F569" s="4" t="s">
        <v>4436</v>
      </c>
      <c r="G569" s="4" t="s">
        <v>4437</v>
      </c>
      <c r="H569" s="4" t="s">
        <v>4438</v>
      </c>
      <c r="I569" s="4" t="s">
        <v>27</v>
      </c>
      <c r="J569" s="4" t="s">
        <v>4439</v>
      </c>
      <c r="K569" s="8" t="s">
        <v>4440</v>
      </c>
      <c r="L569" s="4" t="s">
        <v>4441</v>
      </c>
      <c r="M569" s="4">
        <v>79.87751745</v>
      </c>
      <c r="N569" s="5">
        <v>64.86584621</v>
      </c>
      <c r="O569" s="5" t="s">
        <v>4442</v>
      </c>
      <c r="P569" s="9">
        <v>9082026.0</v>
      </c>
      <c r="Q569" s="7" t="str">
        <f>IF(OR(ISBLANK(M569), ISBLANK(N569)), "", IF(N569 &lt; Sheet3!$B$6, "Insufficient Reviews", IF(M569 &gt;= Sheet3!$B$2, "Highly Reliable", IF(M569 &gt;= Sheet3!$B$3, "Reliable", IF(M569 &gt;= Sheet3!$B$4, "Mixed Reviews", "Low Reliability")))))</f>
        <v>Reliable</v>
      </c>
    </row>
    <row r="570">
      <c r="A570" s="3">
        <f t="shared" si="1"/>
        <v>569</v>
      </c>
      <c r="B570" s="4" t="s">
        <v>4443</v>
      </c>
      <c r="C570" s="5">
        <v>39.3316314</v>
      </c>
      <c r="D570" s="5">
        <v>-76.693537</v>
      </c>
      <c r="E570" s="4" t="s">
        <v>4444</v>
      </c>
      <c r="F570" s="4" t="s">
        <v>4445</v>
      </c>
      <c r="G570" s="14"/>
      <c r="H570" s="14"/>
      <c r="I570" s="4" t="s">
        <v>81</v>
      </c>
      <c r="J570" s="4" t="s">
        <v>4446</v>
      </c>
      <c r="K570" s="4"/>
      <c r="L570" s="4" t="s">
        <v>4447</v>
      </c>
      <c r="M570" s="4">
        <v>7.5</v>
      </c>
      <c r="N570" s="5">
        <v>15.91666667</v>
      </c>
      <c r="O570" s="5" t="s">
        <v>741</v>
      </c>
      <c r="P570" s="9">
        <v>9082026.0</v>
      </c>
      <c r="Q570" s="7" t="str">
        <f>IF(OR(ISBLANK(M570), ISBLANK(N570)), "", IF(N570 &lt; Sheet3!$B$6, "Insufficient Reviews", IF(M570 &gt;= Sheet3!$B$2, "Highly Reliable", IF(M570 &gt;= Sheet3!$B$3, "Reliable", IF(M570 &gt;= Sheet3!$B$4, "Mixed Reviews", "Low Reliability")))))</f>
        <v>Insufficient Reviews</v>
      </c>
    </row>
    <row r="571">
      <c r="A571" s="3">
        <f t="shared" si="1"/>
        <v>570</v>
      </c>
      <c r="B571" s="4" t="s">
        <v>4448</v>
      </c>
      <c r="C571" s="5">
        <v>39.3149265</v>
      </c>
      <c r="D571" s="5">
        <v>-76.6777215</v>
      </c>
      <c r="E571" s="4" t="s">
        <v>4449</v>
      </c>
      <c r="F571" s="4" t="s">
        <v>4450</v>
      </c>
      <c r="G571" s="14"/>
      <c r="H571" s="4" t="s">
        <v>4451</v>
      </c>
      <c r="I571" s="4" t="s">
        <v>81</v>
      </c>
      <c r="J571" s="4" t="s">
        <v>4452</v>
      </c>
      <c r="K571" s="8" t="s">
        <v>4453</v>
      </c>
      <c r="L571" s="4" t="s">
        <v>4454</v>
      </c>
      <c r="M571" s="4">
        <v>73.5</v>
      </c>
      <c r="N571" s="5">
        <v>36.5627623</v>
      </c>
      <c r="O571" s="5" t="s">
        <v>4455</v>
      </c>
      <c r="P571" s="9">
        <v>9082026.0</v>
      </c>
      <c r="Q571" s="7" t="str">
        <f>IF(OR(ISBLANK(M571), ISBLANK(N571)), "", IF(N571 &lt; Sheet3!$B$6, "Insufficient Reviews", IF(M571 &gt;= Sheet3!$B$2, "Highly Reliable", IF(M571 &gt;= Sheet3!$B$3, "Reliable", IF(M571 &gt;= Sheet3!$B$4, "Mixed Reviews", "Low Reliability")))))</f>
        <v>Insufficient Reviews</v>
      </c>
    </row>
    <row r="572">
      <c r="A572" s="3">
        <f t="shared" si="1"/>
        <v>571</v>
      </c>
      <c r="B572" s="4" t="s">
        <v>4456</v>
      </c>
      <c r="C572" s="5">
        <v>39.3522652</v>
      </c>
      <c r="D572" s="5">
        <v>-76.5448277</v>
      </c>
      <c r="E572" s="4" t="s">
        <v>4457</v>
      </c>
      <c r="F572" s="4" t="s">
        <v>4458</v>
      </c>
      <c r="G572" s="4"/>
      <c r="H572" s="14"/>
      <c r="I572" s="4" t="s">
        <v>81</v>
      </c>
      <c r="J572" s="4" t="s">
        <v>4459</v>
      </c>
      <c r="K572" s="4"/>
      <c r="L572" s="4" t="s">
        <v>4460</v>
      </c>
      <c r="M572" s="4">
        <v>51.9</v>
      </c>
      <c r="N572" s="5">
        <v>24.01052459</v>
      </c>
      <c r="O572" s="5" t="s">
        <v>3604</v>
      </c>
      <c r="P572" s="9">
        <v>9082026.0</v>
      </c>
      <c r="Q572" s="7" t="str">
        <f>IF(OR(ISBLANK(M572), ISBLANK(N572)), "", IF(N572 &lt; Sheet3!$B$6, "Insufficient Reviews", IF(M572 &gt;= Sheet3!$B$2, "Highly Reliable", IF(M572 &gt;= Sheet3!$B$3, "Reliable", IF(M572 &gt;= Sheet3!$B$4, "Mixed Reviews", "Low Reliability")))))</f>
        <v>Insufficient Reviews</v>
      </c>
    </row>
    <row r="573">
      <c r="A573" s="3">
        <f t="shared" si="1"/>
        <v>572</v>
      </c>
      <c r="B573" s="4" t="s">
        <v>4461</v>
      </c>
      <c r="C573" s="5">
        <v>39.3078224</v>
      </c>
      <c r="D573" s="5">
        <v>-76.6313924</v>
      </c>
      <c r="E573" s="4" t="s">
        <v>4462</v>
      </c>
      <c r="F573" s="4" t="s">
        <v>4463</v>
      </c>
      <c r="G573" s="14"/>
      <c r="H573" s="4" t="s">
        <v>53</v>
      </c>
      <c r="I573" s="4" t="s">
        <v>81</v>
      </c>
      <c r="J573" s="4" t="s">
        <v>4464</v>
      </c>
      <c r="K573" s="8" t="s">
        <v>4465</v>
      </c>
      <c r="L573" s="4" t="s">
        <v>4466</v>
      </c>
      <c r="M573" s="4">
        <v>67.2184878</v>
      </c>
      <c r="N573" s="5">
        <v>68.74687678</v>
      </c>
      <c r="O573" s="5" t="s">
        <v>4467</v>
      </c>
      <c r="P573" s="9">
        <v>9082026.0</v>
      </c>
      <c r="Q573" s="7" t="str">
        <f>IF(OR(ISBLANK(M573), ISBLANK(N573)), "", IF(N573 &lt; Sheet3!$B$6, "Insufficient Reviews", IF(M573 &gt;= Sheet3!$B$2, "Highly Reliable", IF(M573 &gt;= Sheet3!$B$3, "Reliable", IF(M573 &gt;= Sheet3!$B$4, "Mixed Reviews", "Low Reliability")))))</f>
        <v>Mixed Reviews</v>
      </c>
    </row>
    <row r="574">
      <c r="A574" s="3">
        <f t="shared" si="1"/>
        <v>573</v>
      </c>
      <c r="B574" s="4" t="s">
        <v>4468</v>
      </c>
      <c r="C574" s="5">
        <v>39.4047425</v>
      </c>
      <c r="D574" s="5">
        <v>-76.486431</v>
      </c>
      <c r="E574" s="4" t="s">
        <v>4469</v>
      </c>
      <c r="F574" s="4" t="s">
        <v>4470</v>
      </c>
      <c r="G574" s="4"/>
      <c r="H574" s="4" t="s">
        <v>532</v>
      </c>
      <c r="I574" s="4" t="s">
        <v>35</v>
      </c>
      <c r="J574" s="4" t="s">
        <v>4471</v>
      </c>
      <c r="K574" s="8" t="s">
        <v>4472</v>
      </c>
      <c r="L574" s="4" t="s">
        <v>4473</v>
      </c>
      <c r="M574" s="4">
        <v>79.90207617</v>
      </c>
      <c r="N574" s="5">
        <v>94.61984768</v>
      </c>
      <c r="O574" s="5" t="s">
        <v>4474</v>
      </c>
      <c r="P574" s="9">
        <v>9082026.0</v>
      </c>
      <c r="Q574" s="7" t="str">
        <f>IF(OR(ISBLANK(M574), ISBLANK(N574)), "", IF(N574 &lt; Sheet3!$B$6, "Insufficient Reviews", IF(M574 &gt;= Sheet3!$B$2, "Highly Reliable", IF(M574 &gt;= Sheet3!$B$3, "Reliable", IF(M574 &gt;= Sheet3!$B$4, "Mixed Reviews", "Low Reliability")))))</f>
        <v>Reliable</v>
      </c>
    </row>
    <row r="575">
      <c r="A575" s="3">
        <f t="shared" si="1"/>
        <v>574</v>
      </c>
      <c r="B575" s="4" t="s">
        <v>4475</v>
      </c>
      <c r="C575" s="5">
        <v>39.3535697</v>
      </c>
      <c r="D575" s="5">
        <v>-76.5697836</v>
      </c>
      <c r="E575" s="4" t="s">
        <v>4476</v>
      </c>
      <c r="F575" s="4" t="s">
        <v>4477</v>
      </c>
      <c r="G575" s="4"/>
      <c r="H575" s="4" t="s">
        <v>135</v>
      </c>
      <c r="I575" s="4" t="s">
        <v>81</v>
      </c>
      <c r="J575" s="4" t="s">
        <v>4478</v>
      </c>
      <c r="K575" s="8" t="s">
        <v>4479</v>
      </c>
      <c r="L575" s="4" t="s">
        <v>4480</v>
      </c>
      <c r="M575" s="4">
        <v>86.14042648</v>
      </c>
      <c r="N575" s="5">
        <v>75.22513228</v>
      </c>
      <c r="O575" s="5" t="s">
        <v>4481</v>
      </c>
      <c r="P575" s="9">
        <v>9082026.0</v>
      </c>
      <c r="Q575" s="7" t="str">
        <f>IF(OR(ISBLANK(M575), ISBLANK(N575)), "", IF(N575 &lt; Sheet3!$B$6, "Insufficient Reviews", IF(M575 &gt;= Sheet3!$B$2, "Highly Reliable", IF(M575 &gt;= Sheet3!$B$3, "Reliable", IF(M575 &gt;= Sheet3!$B$4, "Mixed Reviews", "Low Reliability")))))</f>
        <v>Highly Reliable</v>
      </c>
    </row>
    <row r="576">
      <c r="A576" s="3">
        <f t="shared" si="1"/>
        <v>575</v>
      </c>
      <c r="B576" s="4" t="s">
        <v>4482</v>
      </c>
      <c r="C576" s="5">
        <v>39.2784246</v>
      </c>
      <c r="D576" s="5">
        <v>-76.6168549</v>
      </c>
      <c r="E576" s="4" t="s">
        <v>4483</v>
      </c>
      <c r="F576" s="4" t="s">
        <v>4484</v>
      </c>
      <c r="G576" s="4" t="s">
        <v>4485</v>
      </c>
      <c r="H576" s="4" t="s">
        <v>4486</v>
      </c>
      <c r="I576" s="4" t="s">
        <v>81</v>
      </c>
      <c r="J576" s="4" t="s">
        <v>4487</v>
      </c>
      <c r="K576" s="8" t="s">
        <v>4488</v>
      </c>
      <c r="L576" s="4" t="s">
        <v>4489</v>
      </c>
      <c r="M576" s="4">
        <v>59.05025413</v>
      </c>
      <c r="N576" s="5">
        <v>68.24724554</v>
      </c>
      <c r="O576" s="5" t="s">
        <v>4490</v>
      </c>
      <c r="P576" s="9">
        <v>9082026.0</v>
      </c>
      <c r="Q576" s="7" t="str">
        <f>IF(OR(ISBLANK(M576), ISBLANK(N576)), "", IF(N576 &lt; Sheet3!$B$6, "Insufficient Reviews", IF(M576 &gt;= Sheet3!$B$2, "Highly Reliable", IF(M576 &gt;= Sheet3!$B$3, "Reliable", IF(M576 &gt;= Sheet3!$B$4, "Mixed Reviews", "Low Reliability")))))</f>
        <v>Low Reliability</v>
      </c>
    </row>
    <row r="577">
      <c r="A577" s="3">
        <f t="shared" si="1"/>
        <v>576</v>
      </c>
      <c r="B577" s="4" t="s">
        <v>4491</v>
      </c>
      <c r="C577" s="5">
        <v>39.4711312</v>
      </c>
      <c r="D577" s="5">
        <v>-76.806048</v>
      </c>
      <c r="E577" s="4" t="s">
        <v>4492</v>
      </c>
      <c r="F577" s="4" t="s">
        <v>4493</v>
      </c>
      <c r="G577" s="4" t="s">
        <v>4494</v>
      </c>
      <c r="H577" s="4" t="s">
        <v>43</v>
      </c>
      <c r="I577" s="4" t="s">
        <v>35</v>
      </c>
      <c r="J577" s="4" t="s">
        <v>4495</v>
      </c>
      <c r="K577" s="8" t="s">
        <v>4496</v>
      </c>
      <c r="L577" s="4" t="s">
        <v>4497</v>
      </c>
      <c r="M577" s="4">
        <v>16.5</v>
      </c>
      <c r="N577" s="5">
        <v>32.64333333</v>
      </c>
      <c r="O577" s="5" t="s">
        <v>4498</v>
      </c>
      <c r="P577" s="9">
        <v>9082026.0</v>
      </c>
      <c r="Q577" s="7" t="str">
        <f>IF(OR(ISBLANK(M577), ISBLANK(N577)), "", IF(N577 &lt; Sheet3!$B$6, "Insufficient Reviews", IF(M577 &gt;= Sheet3!$B$2, "Highly Reliable", IF(M577 &gt;= Sheet3!$B$3, "Reliable", IF(M577 &gt;= Sheet3!$B$4, "Mixed Reviews", "Low Reliability")))))</f>
        <v>Insufficient Reviews</v>
      </c>
    </row>
    <row r="578">
      <c r="A578" s="3">
        <f t="shared" si="1"/>
        <v>577</v>
      </c>
      <c r="B578" s="4" t="s">
        <v>4499</v>
      </c>
      <c r="C578" s="5">
        <v>39.4908734</v>
      </c>
      <c r="D578" s="5">
        <v>-76.6538252</v>
      </c>
      <c r="E578" s="4" t="s">
        <v>4500</v>
      </c>
      <c r="F578" s="4" t="s">
        <v>4501</v>
      </c>
      <c r="G578" s="4" t="s">
        <v>4502</v>
      </c>
      <c r="H578" s="4" t="s">
        <v>43</v>
      </c>
      <c r="I578" s="4" t="s">
        <v>203</v>
      </c>
      <c r="J578" s="4" t="s">
        <v>4503</v>
      </c>
      <c r="K578" s="8" t="s">
        <v>4504</v>
      </c>
      <c r="L578" s="4" t="s">
        <v>4505</v>
      </c>
      <c r="M578" s="4">
        <v>13.5</v>
      </c>
      <c r="N578" s="5">
        <v>32.10333333</v>
      </c>
      <c r="O578" s="5" t="s">
        <v>4506</v>
      </c>
      <c r="P578" s="9">
        <v>9082026.0</v>
      </c>
      <c r="Q578" s="7" t="str">
        <f>IF(OR(ISBLANK(M578), ISBLANK(N578)), "", IF(N578 &lt; Sheet3!$B$6, "Insufficient Reviews", IF(M578 &gt;= Sheet3!$B$2, "Highly Reliable", IF(M578 &gt;= Sheet3!$B$3, "Reliable", IF(M578 &gt;= Sheet3!$B$4, "Mixed Reviews", "Low Reliability")))))</f>
        <v>Insufficient Reviews</v>
      </c>
    </row>
    <row r="579">
      <c r="A579" s="3">
        <f t="shared" si="1"/>
        <v>578</v>
      </c>
      <c r="B579" s="4" t="s">
        <v>158</v>
      </c>
      <c r="C579" s="5">
        <v>39.3910477</v>
      </c>
      <c r="D579" s="5">
        <v>-76.6198323</v>
      </c>
      <c r="E579" s="4" t="s">
        <v>4507</v>
      </c>
      <c r="F579" s="4" t="s">
        <v>4508</v>
      </c>
      <c r="G579" s="4" t="s">
        <v>4509</v>
      </c>
      <c r="H579" s="4"/>
      <c r="I579" s="4" t="s">
        <v>44</v>
      </c>
      <c r="J579" s="4" t="s">
        <v>4510</v>
      </c>
      <c r="K579" s="8" t="s">
        <v>4511</v>
      </c>
      <c r="L579" s="4" t="s">
        <v>4512</v>
      </c>
      <c r="M579" s="4">
        <v>16.5</v>
      </c>
      <c r="N579" s="5">
        <v>54.34</v>
      </c>
      <c r="O579" s="5" t="s">
        <v>4513</v>
      </c>
      <c r="P579" s="9">
        <v>9082026.0</v>
      </c>
      <c r="Q579" s="7" t="str">
        <f>IF(OR(ISBLANK(M579), ISBLANK(N579)), "", IF(N579 &lt; Sheet3!$B$6, "Insufficient Reviews", IF(M579 &gt;= Sheet3!$B$2, "Highly Reliable", IF(M579 &gt;= Sheet3!$B$3, "Reliable", IF(M579 &gt;= Sheet3!$B$4, "Mixed Reviews", "Low Reliability")))))</f>
        <v>Low Reliability</v>
      </c>
    </row>
    <row r="580">
      <c r="A580" s="3">
        <f t="shared" si="1"/>
        <v>579</v>
      </c>
      <c r="B580" s="4" t="s">
        <v>4514</v>
      </c>
      <c r="C580" s="5">
        <v>39.1927654</v>
      </c>
      <c r="D580" s="5">
        <v>-76.7674978</v>
      </c>
      <c r="E580" s="4" t="s">
        <v>4515</v>
      </c>
      <c r="F580" s="4" t="s">
        <v>4516</v>
      </c>
      <c r="G580" s="4" t="s">
        <v>4517</v>
      </c>
      <c r="H580" s="4" t="s">
        <v>4518</v>
      </c>
      <c r="I580" s="4" t="s">
        <v>44</v>
      </c>
      <c r="J580" s="4" t="s">
        <v>4519</v>
      </c>
      <c r="K580" s="8" t="s">
        <v>4520</v>
      </c>
      <c r="L580" s="4" t="s">
        <v>4521</v>
      </c>
      <c r="M580" s="4">
        <v>61.32034271</v>
      </c>
      <c r="N580" s="5">
        <v>70.9038125</v>
      </c>
      <c r="O580" s="5" t="s">
        <v>4522</v>
      </c>
      <c r="P580" s="9">
        <v>9082026.0</v>
      </c>
      <c r="Q580" s="7" t="str">
        <f>IF(OR(ISBLANK(M580), ISBLANK(N580)), "", IF(N580 &lt; Sheet3!$B$6, "Insufficient Reviews", IF(M580 &gt;= Sheet3!$B$2, "Highly Reliable", IF(M580 &gt;= Sheet3!$B$3, "Reliable", IF(M580 &gt;= Sheet3!$B$4, "Mixed Reviews", "Low Reliability")))))</f>
        <v>Mixed Reviews</v>
      </c>
    </row>
    <row r="581">
      <c r="A581" s="3">
        <f t="shared" si="1"/>
        <v>580</v>
      </c>
      <c r="B581" s="4" t="s">
        <v>4523</v>
      </c>
      <c r="C581" s="5">
        <v>39.4217766</v>
      </c>
      <c r="D581" s="5">
        <v>-76.5990341</v>
      </c>
      <c r="E581" s="4" t="s">
        <v>4524</v>
      </c>
      <c r="F581" s="4" t="s">
        <v>4525</v>
      </c>
      <c r="G581" s="4"/>
      <c r="H581" s="14"/>
      <c r="I581" s="4" t="s">
        <v>81</v>
      </c>
      <c r="J581" s="4" t="s">
        <v>4526</v>
      </c>
      <c r="K581" s="4"/>
      <c r="L581" s="4" t="s">
        <v>4527</v>
      </c>
      <c r="M581" s="4">
        <v>78.80198112</v>
      </c>
      <c r="N581" s="5">
        <v>33.46574971</v>
      </c>
      <c r="O581" s="5" t="s">
        <v>4528</v>
      </c>
      <c r="P581" s="9">
        <v>9082026.0</v>
      </c>
      <c r="Q581" s="7" t="str">
        <f>IF(OR(ISBLANK(M581), ISBLANK(N581)), "", IF(N581 &lt; Sheet3!$B$6, "Insufficient Reviews", IF(M581 &gt;= Sheet3!$B$2, "Highly Reliable", IF(M581 &gt;= Sheet3!$B$3, "Reliable", IF(M581 &gt;= Sheet3!$B$4, "Mixed Reviews", "Low Reliability")))))</f>
        <v>Insufficient Reviews</v>
      </c>
    </row>
    <row r="582">
      <c r="A582" s="3">
        <f t="shared" si="1"/>
        <v>581</v>
      </c>
      <c r="B582" s="4" t="s">
        <v>4529</v>
      </c>
      <c r="C582" s="5">
        <v>39.2626666</v>
      </c>
      <c r="D582" s="5">
        <v>-76.4823023</v>
      </c>
      <c r="E582" s="4" t="s">
        <v>4530</v>
      </c>
      <c r="F582" s="4" t="s">
        <v>4531</v>
      </c>
      <c r="G582" s="4"/>
      <c r="H582" s="4" t="s">
        <v>3480</v>
      </c>
      <c r="I582" s="4" t="s">
        <v>91</v>
      </c>
      <c r="J582" s="4" t="s">
        <v>4532</v>
      </c>
      <c r="K582" s="8" t="s">
        <v>4533</v>
      </c>
      <c r="L582" s="4" t="s">
        <v>4534</v>
      </c>
      <c r="M582" s="4">
        <v>78.24114815</v>
      </c>
      <c r="N582" s="5">
        <v>57.89302903</v>
      </c>
      <c r="O582" s="5" t="s">
        <v>4535</v>
      </c>
      <c r="P582" s="9">
        <v>9082026.0</v>
      </c>
      <c r="Q582" s="7" t="str">
        <f>IF(OR(ISBLANK(M582), ISBLANK(N582)), "", IF(N582 &lt; Sheet3!$B$6, "Insufficient Reviews", IF(M582 &gt;= Sheet3!$B$2, "Highly Reliable", IF(M582 &gt;= Sheet3!$B$3, "Reliable", IF(M582 &gt;= Sheet3!$B$4, "Mixed Reviews", "Low Reliability")))))</f>
        <v>Reliable</v>
      </c>
    </row>
    <row r="583">
      <c r="A583" s="3">
        <f t="shared" si="1"/>
        <v>582</v>
      </c>
      <c r="B583" s="4" t="s">
        <v>4536</v>
      </c>
      <c r="C583" s="5">
        <v>39.3525448</v>
      </c>
      <c r="D583" s="5">
        <v>-76.6611259</v>
      </c>
      <c r="E583" s="4" t="s">
        <v>4537</v>
      </c>
      <c r="F583" s="4" t="s">
        <v>4538</v>
      </c>
      <c r="G583" s="14"/>
      <c r="H583" s="4" t="s">
        <v>135</v>
      </c>
      <c r="I583" s="4" t="s">
        <v>91</v>
      </c>
      <c r="J583" s="4" t="s">
        <v>4539</v>
      </c>
      <c r="K583" s="8" t="s">
        <v>4540</v>
      </c>
      <c r="L583" s="4" t="s">
        <v>4541</v>
      </c>
      <c r="M583" s="4">
        <v>76.34829548</v>
      </c>
      <c r="N583" s="5">
        <v>93.44929048</v>
      </c>
      <c r="O583" s="5" t="s">
        <v>4542</v>
      </c>
      <c r="P583" s="9">
        <v>9082026.0</v>
      </c>
      <c r="Q583" s="7" t="str">
        <f>IF(OR(ISBLANK(M583), ISBLANK(N583)), "", IF(N583 &lt; Sheet3!$B$6, "Insufficient Reviews", IF(M583 &gt;= Sheet3!$B$2, "Highly Reliable", IF(M583 &gt;= Sheet3!$B$3, "Reliable", IF(M583 &gt;= Sheet3!$B$4, "Mixed Reviews", "Low Reliability")))))</f>
        <v>Reliable</v>
      </c>
    </row>
    <row r="584">
      <c r="A584" s="3">
        <f t="shared" si="1"/>
        <v>583</v>
      </c>
      <c r="B584" s="4" t="s">
        <v>4543</v>
      </c>
      <c r="C584" s="5">
        <v>39.2436635</v>
      </c>
      <c r="D584" s="5">
        <v>-76.5087845</v>
      </c>
      <c r="E584" s="4" t="s">
        <v>4544</v>
      </c>
      <c r="F584" s="4" t="s">
        <v>4545</v>
      </c>
      <c r="G584" s="14"/>
      <c r="H584" s="14"/>
      <c r="I584" s="4" t="s">
        <v>27</v>
      </c>
      <c r="J584" s="4" t="s">
        <v>4546</v>
      </c>
      <c r="K584" s="4"/>
      <c r="L584" s="4" t="s">
        <v>4547</v>
      </c>
      <c r="M584" s="4">
        <v>7.5</v>
      </c>
      <c r="N584" s="5">
        <v>16.44166667</v>
      </c>
      <c r="O584" s="5" t="s">
        <v>2456</v>
      </c>
      <c r="P584" s="9">
        <v>9082026.0</v>
      </c>
      <c r="Q584" s="7" t="str">
        <f>IF(OR(ISBLANK(M584), ISBLANK(N584)), "", IF(N584 &lt; Sheet3!$B$6, "Insufficient Reviews", IF(M584 &gt;= Sheet3!$B$2, "Highly Reliable", IF(M584 &gt;= Sheet3!$B$3, "Reliable", IF(M584 &gt;= Sheet3!$B$4, "Mixed Reviews", "Low Reliability")))))</f>
        <v>Insufficient Reviews</v>
      </c>
    </row>
    <row r="585">
      <c r="A585" s="3">
        <f t="shared" si="1"/>
        <v>584</v>
      </c>
      <c r="B585" s="4" t="s">
        <v>4548</v>
      </c>
      <c r="C585" s="5">
        <v>39.2785721</v>
      </c>
      <c r="D585" s="5">
        <v>-76.6108259</v>
      </c>
      <c r="E585" s="4" t="s">
        <v>4549</v>
      </c>
      <c r="F585" s="4" t="s">
        <v>4550</v>
      </c>
      <c r="G585" s="4"/>
      <c r="H585" s="14"/>
      <c r="I585" s="4" t="s">
        <v>81</v>
      </c>
      <c r="J585" s="4" t="s">
        <v>4551</v>
      </c>
      <c r="K585" s="4"/>
      <c r="L585" s="4" t="s">
        <v>4552</v>
      </c>
      <c r="M585" s="4">
        <v>78.00629198</v>
      </c>
      <c r="N585" s="5">
        <v>35.40029028</v>
      </c>
      <c r="O585" s="5" t="s">
        <v>4553</v>
      </c>
      <c r="P585" s="9">
        <v>9082026.0</v>
      </c>
      <c r="Q585" s="7" t="str">
        <f>IF(OR(ISBLANK(M585), ISBLANK(N585)), "", IF(N585 &lt; Sheet3!$B$6, "Insufficient Reviews", IF(M585 &gt;= Sheet3!$B$2, "Highly Reliable", IF(M585 &gt;= Sheet3!$B$3, "Reliable", IF(M585 &gt;= Sheet3!$B$4, "Mixed Reviews", "Low Reliability")))))</f>
        <v>Insufficient Reviews</v>
      </c>
    </row>
    <row r="586">
      <c r="A586" s="3">
        <f t="shared" si="1"/>
        <v>585</v>
      </c>
      <c r="B586" s="4" t="s">
        <v>4554</v>
      </c>
      <c r="C586" s="5">
        <v>39.264345</v>
      </c>
      <c r="D586" s="5">
        <v>-76.7214978</v>
      </c>
      <c r="E586" s="4" t="s">
        <v>4555</v>
      </c>
      <c r="F586" s="4" t="s">
        <v>4556</v>
      </c>
      <c r="G586" s="4" t="s">
        <v>4557</v>
      </c>
      <c r="H586" s="4" t="s">
        <v>4558</v>
      </c>
      <c r="I586" s="4" t="s">
        <v>91</v>
      </c>
      <c r="J586" s="4" t="s">
        <v>4559</v>
      </c>
      <c r="K586" s="8" t="s">
        <v>4560</v>
      </c>
      <c r="L586" s="4" t="s">
        <v>4561</v>
      </c>
      <c r="M586" s="4">
        <v>15.0</v>
      </c>
      <c r="N586" s="5">
        <v>33.33333333</v>
      </c>
      <c r="O586" s="5" t="s">
        <v>4562</v>
      </c>
      <c r="P586" s="9">
        <v>9082026.0</v>
      </c>
      <c r="Q586" s="7" t="str">
        <f>IF(OR(ISBLANK(M586), ISBLANK(N586)), "", IF(N586 &lt; Sheet3!$B$6, "Insufficient Reviews", IF(M586 &gt;= Sheet3!$B$2, "Highly Reliable", IF(M586 &gt;= Sheet3!$B$3, "Reliable", IF(M586 &gt;= Sheet3!$B$4, "Mixed Reviews", "Low Reliability")))))</f>
        <v>Insufficient Reviews</v>
      </c>
    </row>
    <row r="587">
      <c r="A587" s="3">
        <f t="shared" si="1"/>
        <v>586</v>
      </c>
      <c r="B587" s="4" t="s">
        <v>4563</v>
      </c>
      <c r="C587" s="5">
        <v>39.3582041</v>
      </c>
      <c r="D587" s="5">
        <v>-76.6621964</v>
      </c>
      <c r="E587" s="4" t="s">
        <v>4564</v>
      </c>
      <c r="F587" s="4" t="s">
        <v>4565</v>
      </c>
      <c r="G587" s="4"/>
      <c r="H587" s="4" t="s">
        <v>62</v>
      </c>
      <c r="I587" s="4" t="s">
        <v>81</v>
      </c>
      <c r="J587" s="4" t="s">
        <v>4566</v>
      </c>
      <c r="K587" s="8" t="s">
        <v>4567</v>
      </c>
      <c r="L587" s="4" t="s">
        <v>4568</v>
      </c>
      <c r="M587" s="4">
        <v>72.71347456</v>
      </c>
      <c r="N587" s="5">
        <v>68.36506143</v>
      </c>
      <c r="O587" s="5" t="s">
        <v>4569</v>
      </c>
      <c r="P587" s="9">
        <v>9082026.0</v>
      </c>
      <c r="Q587" s="7" t="str">
        <f>IF(OR(ISBLANK(M587), ISBLANK(N587)), "", IF(N587 &lt; Sheet3!$B$6, "Insufficient Reviews", IF(M587 &gt;= Sheet3!$B$2, "Highly Reliable", IF(M587 &gt;= Sheet3!$B$3, "Reliable", IF(M587 &gt;= Sheet3!$B$4, "Mixed Reviews", "Low Reliability")))))</f>
        <v>Reliable</v>
      </c>
    </row>
    <row r="588">
      <c r="A588" s="3">
        <f t="shared" si="1"/>
        <v>587</v>
      </c>
      <c r="B588" s="4" t="s">
        <v>4570</v>
      </c>
      <c r="C588" s="5">
        <v>39.2700424</v>
      </c>
      <c r="D588" s="5">
        <v>-76.6707245</v>
      </c>
      <c r="E588" s="4" t="s">
        <v>4571</v>
      </c>
      <c r="F588" s="4" t="s">
        <v>4572</v>
      </c>
      <c r="G588" s="4" t="s">
        <v>4573</v>
      </c>
      <c r="H588" s="4" t="s">
        <v>4574</v>
      </c>
      <c r="I588" s="4" t="s">
        <v>27</v>
      </c>
      <c r="J588" s="4" t="s">
        <v>4575</v>
      </c>
      <c r="K588" s="8" t="s">
        <v>4576</v>
      </c>
      <c r="L588" s="4" t="s">
        <v>4577</v>
      </c>
      <c r="M588" s="4">
        <v>57.92704048</v>
      </c>
      <c r="N588" s="5">
        <v>49.30799432</v>
      </c>
      <c r="O588" s="5" t="s">
        <v>4578</v>
      </c>
      <c r="P588" s="9">
        <v>9082026.0</v>
      </c>
      <c r="Q588" s="7" t="str">
        <f>IF(OR(ISBLANK(M588), ISBLANK(N588)), "", IF(N588 &lt; Sheet3!$B$6, "Insufficient Reviews", IF(M588 &gt;= Sheet3!$B$2, "Highly Reliable", IF(M588 &gt;= Sheet3!$B$3, "Reliable", IF(M588 &gt;= Sheet3!$B$4, "Mixed Reviews", "Low Reliability")))))</f>
        <v>Low Reliability</v>
      </c>
    </row>
    <row r="589">
      <c r="A589" s="3">
        <f t="shared" si="1"/>
        <v>588</v>
      </c>
      <c r="B589" s="4" t="s">
        <v>4579</v>
      </c>
      <c r="C589" s="5">
        <v>39.374247</v>
      </c>
      <c r="D589" s="5">
        <v>-76.7252301</v>
      </c>
      <c r="E589" s="4" t="s">
        <v>4580</v>
      </c>
      <c r="F589" s="4" t="s">
        <v>4581</v>
      </c>
      <c r="G589" s="4" t="s">
        <v>4582</v>
      </c>
      <c r="H589" s="4"/>
      <c r="I589" s="4" t="s">
        <v>81</v>
      </c>
      <c r="J589" s="4" t="s">
        <v>4583</v>
      </c>
      <c r="K589" s="8" t="s">
        <v>2241</v>
      </c>
      <c r="L589" s="4" t="s">
        <v>4584</v>
      </c>
      <c r="M589" s="4">
        <v>76.93099719</v>
      </c>
      <c r="N589" s="5">
        <v>46.14009376</v>
      </c>
      <c r="O589" s="5" t="s">
        <v>4585</v>
      </c>
      <c r="P589" s="9">
        <v>9082026.0</v>
      </c>
      <c r="Q589" s="7" t="str">
        <f>IF(OR(ISBLANK(M589), ISBLANK(N589)), "", IF(N589 &lt; Sheet3!$B$6, "Insufficient Reviews", IF(M589 &gt;= Sheet3!$B$2, "Highly Reliable", IF(M589 &gt;= Sheet3!$B$3, "Reliable", IF(M589 &gt;= Sheet3!$B$4, "Mixed Reviews", "Low Reliability")))))</f>
        <v>Reliable</v>
      </c>
    </row>
    <row r="590">
      <c r="A590" s="3">
        <f t="shared" si="1"/>
        <v>589</v>
      </c>
      <c r="B590" s="4" t="s">
        <v>4586</v>
      </c>
      <c r="C590" s="5">
        <v>39.4595089</v>
      </c>
      <c r="D590" s="5">
        <v>-76.5971528</v>
      </c>
      <c r="E590" s="4" t="s">
        <v>4587</v>
      </c>
      <c r="F590" s="4" t="s">
        <v>4588</v>
      </c>
      <c r="G590" s="14"/>
      <c r="H590" s="14"/>
      <c r="I590" s="4" t="s">
        <v>81</v>
      </c>
      <c r="J590" s="4" t="s">
        <v>4589</v>
      </c>
      <c r="K590" s="8" t="s">
        <v>4590</v>
      </c>
      <c r="L590" s="4" t="s">
        <v>4591</v>
      </c>
      <c r="M590" s="4">
        <v>67.67984654</v>
      </c>
      <c r="N590" s="5">
        <v>77.00616196</v>
      </c>
      <c r="O590" s="5" t="s">
        <v>4592</v>
      </c>
      <c r="P590" s="9">
        <v>9082026.0</v>
      </c>
      <c r="Q590" s="7" t="str">
        <f>IF(OR(ISBLANK(M590), ISBLANK(N590)), "", IF(N590 &lt; Sheet3!$B$6, "Insufficient Reviews", IF(M590 &gt;= Sheet3!$B$2, "Highly Reliable", IF(M590 &gt;= Sheet3!$B$3, "Reliable", IF(M590 &gt;= Sheet3!$B$4, "Mixed Reviews", "Low Reliability")))))</f>
        <v>Mixed Reviews</v>
      </c>
    </row>
    <row r="591">
      <c r="A591" s="3">
        <f t="shared" si="1"/>
        <v>590</v>
      </c>
      <c r="B591" s="4" t="s">
        <v>4593</v>
      </c>
      <c r="C591" s="5">
        <v>39.2700592</v>
      </c>
      <c r="D591" s="5">
        <v>-76.6715595</v>
      </c>
      <c r="E591" s="4" t="s">
        <v>4594</v>
      </c>
      <c r="F591" s="4" t="s">
        <v>4595</v>
      </c>
      <c r="G591" s="4" t="s">
        <v>4596</v>
      </c>
      <c r="H591" s="4" t="s">
        <v>135</v>
      </c>
      <c r="I591" s="4" t="s">
        <v>91</v>
      </c>
      <c r="J591" s="4" t="s">
        <v>4597</v>
      </c>
      <c r="K591" s="8" t="s">
        <v>4598</v>
      </c>
      <c r="L591" s="4" t="s">
        <v>4599</v>
      </c>
      <c r="M591" s="4">
        <v>84.2965683</v>
      </c>
      <c r="N591" s="5">
        <v>76.21030934</v>
      </c>
      <c r="O591" s="5" t="s">
        <v>4600</v>
      </c>
      <c r="P591" s="9">
        <v>9082026.0</v>
      </c>
      <c r="Q591" s="7" t="str">
        <f>IF(OR(ISBLANK(M591), ISBLANK(N591)), "", IF(N591 &lt; Sheet3!$B$6, "Insufficient Reviews", IF(M591 &gt;= Sheet3!$B$2, "Highly Reliable", IF(M591 &gt;= Sheet3!$B$3, "Reliable", IF(M591 &gt;= Sheet3!$B$4, "Mixed Reviews", "Low Reliability")))))</f>
        <v>Highly Reliable</v>
      </c>
    </row>
    <row r="592">
      <c r="A592" s="3">
        <f t="shared" si="1"/>
        <v>591</v>
      </c>
      <c r="B592" s="4" t="s">
        <v>4601</v>
      </c>
      <c r="C592" s="5">
        <v>39.2985315</v>
      </c>
      <c r="D592" s="5">
        <v>-76.6355506</v>
      </c>
      <c r="E592" s="4" t="s">
        <v>4602</v>
      </c>
      <c r="F592" s="4" t="s">
        <v>4603</v>
      </c>
      <c r="G592" s="4"/>
      <c r="H592" s="4"/>
      <c r="I592" s="4" t="s">
        <v>81</v>
      </c>
      <c r="J592" s="4" t="s">
        <v>4604</v>
      </c>
      <c r="K592" s="8" t="s">
        <v>4605</v>
      </c>
      <c r="L592" s="4" t="s">
        <v>4606</v>
      </c>
      <c r="M592" s="4">
        <v>58.51918669</v>
      </c>
      <c r="N592" s="5">
        <v>85.71407218</v>
      </c>
      <c r="O592" s="5" t="s">
        <v>4607</v>
      </c>
      <c r="P592" s="9">
        <v>9082026.0</v>
      </c>
      <c r="Q592" s="7" t="str">
        <f>IF(OR(ISBLANK(M592), ISBLANK(N592)), "", IF(N592 &lt; Sheet3!$B$6, "Insufficient Reviews", IF(M592 &gt;= Sheet3!$B$2, "Highly Reliable", IF(M592 &gt;= Sheet3!$B$3, "Reliable", IF(M592 &gt;= Sheet3!$B$4, "Mixed Reviews", "Low Reliability")))))</f>
        <v>Low Reliability</v>
      </c>
    </row>
    <row r="593">
      <c r="A593" s="3">
        <f t="shared" si="1"/>
        <v>592</v>
      </c>
      <c r="B593" s="4" t="s">
        <v>4608</v>
      </c>
      <c r="C593" s="5">
        <v>39.269602</v>
      </c>
      <c r="D593" s="5">
        <v>-76.6726945</v>
      </c>
      <c r="E593" s="4" t="s">
        <v>4609</v>
      </c>
      <c r="F593" s="4" t="s">
        <v>4610</v>
      </c>
      <c r="G593" s="4" t="s">
        <v>4611</v>
      </c>
      <c r="H593" s="4" t="s">
        <v>26</v>
      </c>
      <c r="I593" s="4" t="s">
        <v>81</v>
      </c>
      <c r="J593" s="4" t="s">
        <v>4612</v>
      </c>
      <c r="K593" s="8" t="s">
        <v>2241</v>
      </c>
      <c r="L593" s="4" t="s">
        <v>4613</v>
      </c>
      <c r="M593" s="4">
        <v>66.04822272</v>
      </c>
      <c r="N593" s="5">
        <v>49.23825229</v>
      </c>
      <c r="O593" s="5" t="s">
        <v>4614</v>
      </c>
      <c r="P593" s="9">
        <v>9082026.0</v>
      </c>
      <c r="Q593" s="7" t="str">
        <f>IF(OR(ISBLANK(M593), ISBLANK(N593)), "", IF(N593 &lt; Sheet3!$B$6, "Insufficient Reviews", IF(M593 &gt;= Sheet3!$B$2, "Highly Reliable", IF(M593 &gt;= Sheet3!$B$3, "Reliable", IF(M593 &gt;= Sheet3!$B$4, "Mixed Reviews", "Low Reliability")))))</f>
        <v>Mixed Reviews</v>
      </c>
    </row>
    <row r="594">
      <c r="A594" s="3">
        <f t="shared" si="1"/>
        <v>593</v>
      </c>
      <c r="B594" s="4" t="s">
        <v>4615</v>
      </c>
      <c r="C594" s="5">
        <v>39.4773265</v>
      </c>
      <c r="D594" s="5">
        <v>-76.6607525</v>
      </c>
      <c r="E594" s="4" t="s">
        <v>4616</v>
      </c>
      <c r="F594" s="4" t="s">
        <v>4617</v>
      </c>
      <c r="G594" s="4"/>
      <c r="H594" s="14"/>
      <c r="I594" s="4" t="s">
        <v>27</v>
      </c>
      <c r="J594" s="4" t="s">
        <v>4618</v>
      </c>
      <c r="K594" s="4"/>
      <c r="L594" s="4" t="s">
        <v>4619</v>
      </c>
      <c r="M594" s="4">
        <v>10.5</v>
      </c>
      <c r="N594" s="5">
        <v>15.91666667</v>
      </c>
      <c r="O594" s="5" t="s">
        <v>741</v>
      </c>
      <c r="P594" s="9">
        <v>9082026.0</v>
      </c>
      <c r="Q594" s="7" t="str">
        <f>IF(OR(ISBLANK(M594), ISBLANK(N594)), "", IF(N594 &lt; Sheet3!$B$6, "Insufficient Reviews", IF(M594 &gt;= Sheet3!$B$2, "Highly Reliable", IF(M594 &gt;= Sheet3!$B$3, "Reliable", IF(M594 &gt;= Sheet3!$B$4, "Mixed Reviews", "Low Reliability")))))</f>
        <v>Insufficient Reviews</v>
      </c>
    </row>
    <row r="595">
      <c r="A595" s="3">
        <f t="shared" si="1"/>
        <v>594</v>
      </c>
      <c r="B595" s="4" t="s">
        <v>4620</v>
      </c>
      <c r="C595" s="5">
        <v>39.2594517</v>
      </c>
      <c r="D595" s="5">
        <v>-76.7378271</v>
      </c>
      <c r="E595" s="4" t="s">
        <v>4621</v>
      </c>
      <c r="F595" s="4" t="s">
        <v>4622</v>
      </c>
      <c r="G595" s="4"/>
      <c r="H595" s="14"/>
      <c r="I595" s="4" t="s">
        <v>91</v>
      </c>
      <c r="J595" s="4" t="s">
        <v>4623</v>
      </c>
      <c r="K595" s="8" t="s">
        <v>4624</v>
      </c>
      <c r="L595" s="4" t="s">
        <v>4625</v>
      </c>
      <c r="M595" s="4">
        <v>78.48758762</v>
      </c>
      <c r="N595" s="5">
        <v>92.34187747</v>
      </c>
      <c r="O595" s="5" t="s">
        <v>4626</v>
      </c>
      <c r="P595" s="9">
        <v>9082026.0</v>
      </c>
      <c r="Q595" s="7" t="str">
        <f>IF(OR(ISBLANK(M595), ISBLANK(N595)), "", IF(N595 &lt; Sheet3!$B$6, "Insufficient Reviews", IF(M595 &gt;= Sheet3!$B$2, "Highly Reliable", IF(M595 &gt;= Sheet3!$B$3, "Reliable", IF(M595 &gt;= Sheet3!$B$4, "Mixed Reviews", "Low Reliability")))))</f>
        <v>Reliable</v>
      </c>
    </row>
    <row r="596">
      <c r="A596" s="3">
        <f t="shared" si="1"/>
        <v>595</v>
      </c>
      <c r="B596" s="4" t="s">
        <v>4627</v>
      </c>
      <c r="C596" s="5">
        <v>39.2347403</v>
      </c>
      <c r="D596" s="5">
        <v>-76.4449366</v>
      </c>
      <c r="E596" s="4" t="s">
        <v>4628</v>
      </c>
      <c r="F596" s="4" t="s">
        <v>4629</v>
      </c>
      <c r="G596" s="4" t="s">
        <v>4630</v>
      </c>
      <c r="H596" s="4" t="s">
        <v>26</v>
      </c>
      <c r="I596" s="4" t="s">
        <v>81</v>
      </c>
      <c r="J596" s="4" t="s">
        <v>4631</v>
      </c>
      <c r="K596" s="8" t="s">
        <v>2241</v>
      </c>
      <c r="L596" s="4" t="s">
        <v>4632</v>
      </c>
      <c r="M596" s="4">
        <v>81.73547042</v>
      </c>
      <c r="N596" s="5">
        <v>58.16917626</v>
      </c>
      <c r="O596" s="5" t="s">
        <v>4633</v>
      </c>
      <c r="P596" s="9">
        <v>9082026.0</v>
      </c>
      <c r="Q596" s="7" t="str">
        <f>IF(OR(ISBLANK(M596), ISBLANK(N596)), "", IF(N596 &lt; Sheet3!$B$6, "Insufficient Reviews", IF(M596 &gt;= Sheet3!$B$2, "Highly Reliable", IF(M596 &gt;= Sheet3!$B$3, "Reliable", IF(M596 &gt;= Sheet3!$B$4, "Mixed Reviews", "Low Reliability")))))</f>
        <v>Reliable</v>
      </c>
    </row>
    <row r="597">
      <c r="A597" s="3">
        <f t="shared" si="1"/>
        <v>596</v>
      </c>
      <c r="B597" s="4" t="s">
        <v>4634</v>
      </c>
      <c r="C597" s="5">
        <v>39.2724146</v>
      </c>
      <c r="D597" s="5">
        <v>-76.7364071</v>
      </c>
      <c r="E597" s="4" t="s">
        <v>4635</v>
      </c>
      <c r="F597" s="4" t="s">
        <v>4636</v>
      </c>
      <c r="G597" s="4" t="s">
        <v>4637</v>
      </c>
      <c r="H597" s="4"/>
      <c r="I597" s="4" t="s">
        <v>81</v>
      </c>
      <c r="J597" s="4" t="s">
        <v>4638</v>
      </c>
      <c r="K597" s="8" t="s">
        <v>2241</v>
      </c>
      <c r="L597" s="4" t="s">
        <v>4639</v>
      </c>
      <c r="M597" s="4">
        <v>62.51544117</v>
      </c>
      <c r="N597" s="5">
        <v>47.97549039</v>
      </c>
      <c r="O597" s="5" t="s">
        <v>4640</v>
      </c>
      <c r="P597" s="9">
        <v>9082026.0</v>
      </c>
      <c r="Q597" s="7" t="str">
        <f>IF(OR(ISBLANK(M597), ISBLANK(N597)), "", IF(N597 &lt; Sheet3!$B$6, "Insufficient Reviews", IF(M597 &gt;= Sheet3!$B$2, "Highly Reliable", IF(M597 &gt;= Sheet3!$B$3, "Reliable", IF(M597 &gt;= Sheet3!$B$4, "Mixed Reviews", "Low Reliability")))))</f>
        <v>Mixed Reviews</v>
      </c>
    </row>
    <row r="598">
      <c r="A598" s="3">
        <f t="shared" si="1"/>
        <v>597</v>
      </c>
      <c r="B598" s="4" t="s">
        <v>4641</v>
      </c>
      <c r="C598" s="5">
        <v>39.3141717</v>
      </c>
      <c r="D598" s="5">
        <v>-76.6153001</v>
      </c>
      <c r="E598" s="4" t="s">
        <v>4642</v>
      </c>
      <c r="F598" s="4" t="s">
        <v>4643</v>
      </c>
      <c r="G598" s="4"/>
      <c r="H598" s="4" t="s">
        <v>4644</v>
      </c>
      <c r="I598" s="4" t="s">
        <v>81</v>
      </c>
      <c r="J598" s="4" t="s">
        <v>4645</v>
      </c>
      <c r="K598" s="8" t="s">
        <v>4646</v>
      </c>
      <c r="L598" s="4" t="s">
        <v>4647</v>
      </c>
      <c r="M598" s="4">
        <v>80.42111477</v>
      </c>
      <c r="N598" s="5">
        <v>46.26683881</v>
      </c>
      <c r="O598" s="5" t="s">
        <v>4648</v>
      </c>
      <c r="P598" s="9">
        <v>9082026.0</v>
      </c>
      <c r="Q598" s="7" t="str">
        <f>IF(OR(ISBLANK(M598), ISBLANK(N598)), "", IF(N598 &lt; Sheet3!$B$6, "Insufficient Reviews", IF(M598 &gt;= Sheet3!$B$2, "Highly Reliable", IF(M598 &gt;= Sheet3!$B$3, "Reliable", IF(M598 &gt;= Sheet3!$B$4, "Mixed Reviews", "Low Reliability")))))</f>
        <v>Reliable</v>
      </c>
    </row>
    <row r="599">
      <c r="A599" s="3">
        <f t="shared" si="1"/>
        <v>598</v>
      </c>
      <c r="B599" s="4" t="s">
        <v>4649</v>
      </c>
      <c r="C599" s="5">
        <v>39.3059636</v>
      </c>
      <c r="D599" s="5">
        <v>-76.6718146</v>
      </c>
      <c r="E599" s="4" t="s">
        <v>4650</v>
      </c>
      <c r="F599" s="4" t="s">
        <v>4651</v>
      </c>
      <c r="G599" s="14"/>
      <c r="H599" s="14"/>
      <c r="I599" s="4" t="s">
        <v>81</v>
      </c>
      <c r="J599" s="4" t="s">
        <v>4652</v>
      </c>
      <c r="K599" s="8" t="s">
        <v>4653</v>
      </c>
      <c r="L599" s="4" t="s">
        <v>4654</v>
      </c>
      <c r="M599" s="4">
        <v>15.0</v>
      </c>
      <c r="N599" s="5">
        <v>31.47333333</v>
      </c>
      <c r="O599" s="5" t="s">
        <v>4655</v>
      </c>
      <c r="P599" s="9">
        <v>9082026.0</v>
      </c>
      <c r="Q599" s="7" t="str">
        <f>IF(OR(ISBLANK(M599), ISBLANK(N599)), "", IF(N599 &lt; Sheet3!$B$6, "Insufficient Reviews", IF(M599 &gt;= Sheet3!$B$2, "Highly Reliable", IF(M599 &gt;= Sheet3!$B$3, "Reliable", IF(M599 &gt;= Sheet3!$B$4, "Mixed Reviews", "Low Reliability")))))</f>
        <v>Insufficient Reviews</v>
      </c>
    </row>
    <row r="600">
      <c r="A600" s="3">
        <f t="shared" si="1"/>
        <v>599</v>
      </c>
      <c r="B600" s="4" t="s">
        <v>3651</v>
      </c>
      <c r="C600" s="5">
        <v>39.3669031</v>
      </c>
      <c r="D600" s="5">
        <v>-76.7078747</v>
      </c>
      <c r="E600" s="4" t="s">
        <v>4656</v>
      </c>
      <c r="F600" s="4" t="s">
        <v>4657</v>
      </c>
      <c r="G600" s="4" t="s">
        <v>4658</v>
      </c>
      <c r="H600" s="4" t="s">
        <v>135</v>
      </c>
      <c r="I600" s="4" t="s">
        <v>81</v>
      </c>
      <c r="J600" s="4" t="s">
        <v>4659</v>
      </c>
      <c r="K600" s="8" t="s">
        <v>4660</v>
      </c>
      <c r="L600" s="4" t="s">
        <v>4661</v>
      </c>
      <c r="M600" s="4">
        <v>76.48349255</v>
      </c>
      <c r="N600" s="5">
        <v>60.4036727</v>
      </c>
      <c r="O600" s="5" t="s">
        <v>4662</v>
      </c>
      <c r="P600" s="9">
        <v>9082026.0</v>
      </c>
      <c r="Q600" s="7" t="str">
        <f>IF(OR(ISBLANK(M600), ISBLANK(N600)), "", IF(N600 &lt; Sheet3!$B$6, "Insufficient Reviews", IF(M600 &gt;= Sheet3!$B$2, "Highly Reliable", IF(M600 &gt;= Sheet3!$B$3, "Reliable", IF(M600 &gt;= Sheet3!$B$4, "Mixed Reviews", "Low Reliability")))))</f>
        <v>Reliable</v>
      </c>
    </row>
    <row r="601">
      <c r="A601" s="3">
        <f t="shared" si="1"/>
        <v>600</v>
      </c>
      <c r="B601" s="4" t="s">
        <v>4663</v>
      </c>
      <c r="C601" s="5">
        <v>39.3542955</v>
      </c>
      <c r="D601" s="5">
        <v>-76.5788082</v>
      </c>
      <c r="E601" s="4" t="s">
        <v>4664</v>
      </c>
      <c r="F601" s="4" t="s">
        <v>4665</v>
      </c>
      <c r="G601" s="4" t="s">
        <v>4666</v>
      </c>
      <c r="H601" s="4" t="s">
        <v>2077</v>
      </c>
      <c r="I601" s="4" t="s">
        <v>81</v>
      </c>
      <c r="J601" s="4" t="s">
        <v>4667</v>
      </c>
      <c r="K601" s="8" t="s">
        <v>4668</v>
      </c>
      <c r="L601" s="4" t="s">
        <v>4669</v>
      </c>
      <c r="M601" s="4">
        <v>85.38939841</v>
      </c>
      <c r="N601" s="5">
        <v>54.21910025</v>
      </c>
      <c r="O601" s="5" t="s">
        <v>4670</v>
      </c>
      <c r="P601" s="9">
        <v>9082026.0</v>
      </c>
      <c r="Q601" s="7" t="str">
        <f>IF(OR(ISBLANK(M601), ISBLANK(N601)), "", IF(N601 &lt; Sheet3!$B$6, "Insufficient Reviews", IF(M601 &gt;= Sheet3!$B$2, "Highly Reliable", IF(M601 &gt;= Sheet3!$B$3, "Reliable", IF(M601 &gt;= Sheet3!$B$4, "Mixed Reviews", "Low Reliability")))))</f>
        <v>Highly Reliable</v>
      </c>
    </row>
    <row r="602">
      <c r="A602" s="3">
        <f t="shared" si="1"/>
        <v>601</v>
      </c>
      <c r="B602" s="4" t="s">
        <v>4671</v>
      </c>
      <c r="C602" s="5">
        <v>39.2702654</v>
      </c>
      <c r="D602" s="5">
        <v>-76.7492965</v>
      </c>
      <c r="E602" s="4" t="s">
        <v>4672</v>
      </c>
      <c r="F602" s="4" t="s">
        <v>4673</v>
      </c>
      <c r="G602" s="4"/>
      <c r="H602" s="4" t="s">
        <v>135</v>
      </c>
      <c r="I602" s="4" t="s">
        <v>91</v>
      </c>
      <c r="J602" s="4" t="s">
        <v>4674</v>
      </c>
      <c r="K602" s="8" t="s">
        <v>4675</v>
      </c>
      <c r="L602" s="4" t="s">
        <v>4676</v>
      </c>
      <c r="M602" s="4">
        <v>78.96799912</v>
      </c>
      <c r="N602" s="5">
        <v>73.21060394</v>
      </c>
      <c r="O602" s="5" t="s">
        <v>4677</v>
      </c>
      <c r="P602" s="9">
        <v>9082026.0</v>
      </c>
      <c r="Q602" s="7" t="str">
        <f>IF(OR(ISBLANK(M602), ISBLANK(N602)), "", IF(N602 &lt; Sheet3!$B$6, "Insufficient Reviews", IF(M602 &gt;= Sheet3!$B$2, "Highly Reliable", IF(M602 &gt;= Sheet3!$B$3, "Reliable", IF(M602 &gt;= Sheet3!$B$4, "Mixed Reviews", "Low Reliability")))))</f>
        <v>Reliable</v>
      </c>
    </row>
    <row r="603">
      <c r="A603" s="3">
        <f t="shared" si="1"/>
        <v>602</v>
      </c>
      <c r="B603" s="4" t="s">
        <v>4678</v>
      </c>
      <c r="C603" s="5">
        <v>39.3159645</v>
      </c>
      <c r="D603" s="5">
        <v>-76.6778762</v>
      </c>
      <c r="E603" s="4" t="s">
        <v>4679</v>
      </c>
      <c r="F603" s="4" t="s">
        <v>4680</v>
      </c>
      <c r="G603" s="4"/>
      <c r="H603" s="4" t="s">
        <v>4681</v>
      </c>
      <c r="I603" s="4" t="s">
        <v>81</v>
      </c>
      <c r="J603" s="4" t="s">
        <v>4682</v>
      </c>
      <c r="K603" s="8" t="s">
        <v>4683</v>
      </c>
      <c r="L603" s="4" t="s">
        <v>4684</v>
      </c>
      <c r="M603" s="4">
        <v>74.21392498</v>
      </c>
      <c r="N603" s="5">
        <v>49.67878463</v>
      </c>
      <c r="O603" s="5" t="s">
        <v>4685</v>
      </c>
      <c r="P603" s="9">
        <v>9082026.0</v>
      </c>
      <c r="Q603" s="7" t="str">
        <f>IF(OR(ISBLANK(M603), ISBLANK(N603)), "", IF(N603 &lt; Sheet3!$B$6, "Insufficient Reviews", IF(M603 &gt;= Sheet3!$B$2, "Highly Reliable", IF(M603 &gt;= Sheet3!$B$3, "Reliable", IF(M603 &gt;= Sheet3!$B$4, "Mixed Reviews", "Low Reliability")))))</f>
        <v>Reliable</v>
      </c>
    </row>
    <row r="604">
      <c r="A604" s="3">
        <f t="shared" si="1"/>
        <v>603</v>
      </c>
      <c r="B604" s="4" t="s">
        <v>4686</v>
      </c>
      <c r="C604" s="5">
        <v>39.3784988</v>
      </c>
      <c r="D604" s="5">
        <v>-76.7296486</v>
      </c>
      <c r="E604" s="4" t="s">
        <v>4687</v>
      </c>
      <c r="F604" s="4" t="s">
        <v>4688</v>
      </c>
      <c r="G604" s="14"/>
      <c r="H604" s="4" t="s">
        <v>135</v>
      </c>
      <c r="I604" s="4" t="s">
        <v>81</v>
      </c>
      <c r="J604" s="4" t="s">
        <v>4689</v>
      </c>
      <c r="K604" s="8" t="s">
        <v>4690</v>
      </c>
      <c r="L604" s="4" t="s">
        <v>4691</v>
      </c>
      <c r="M604" s="4">
        <v>80.04515425</v>
      </c>
      <c r="N604" s="5">
        <v>72.17921406</v>
      </c>
      <c r="O604" s="5" t="s">
        <v>4692</v>
      </c>
      <c r="P604" s="9">
        <v>9082026.0</v>
      </c>
      <c r="Q604" s="7" t="str">
        <f>IF(OR(ISBLANK(M604), ISBLANK(N604)), "", IF(N604 &lt; Sheet3!$B$6, "Insufficient Reviews", IF(M604 &gt;= Sheet3!$B$2, "Highly Reliable", IF(M604 &gt;= Sheet3!$B$3, "Reliable", IF(M604 &gt;= Sheet3!$B$4, "Mixed Reviews", "Low Reliability")))))</f>
        <v>Reliable</v>
      </c>
    </row>
    <row r="605">
      <c r="A605" s="3">
        <f t="shared" si="1"/>
        <v>604</v>
      </c>
      <c r="B605" s="4" t="s">
        <v>4693</v>
      </c>
      <c r="C605" s="5">
        <v>39.3239747</v>
      </c>
      <c r="D605" s="5">
        <v>-76.6893848</v>
      </c>
      <c r="E605" s="4" t="s">
        <v>4694</v>
      </c>
      <c r="F605" s="4" t="s">
        <v>4695</v>
      </c>
      <c r="G605" s="4"/>
      <c r="H605" s="14"/>
      <c r="I605" s="4" t="s">
        <v>91</v>
      </c>
      <c r="J605" s="4" t="s">
        <v>4696</v>
      </c>
      <c r="K605" s="4"/>
      <c r="L605" s="4" t="s">
        <v>4697</v>
      </c>
      <c r="M605" s="5">
        <v>67.5</v>
      </c>
      <c r="N605" s="5">
        <v>21.98616797</v>
      </c>
      <c r="O605" s="4" t="s">
        <v>4698</v>
      </c>
      <c r="P605" s="9">
        <v>9082026.0</v>
      </c>
      <c r="Q605" s="7" t="str">
        <f>IF(OR(ISBLANK(M605), ISBLANK(N605)), "", IF(N605 &lt; Sheet3!$B$6, "Insufficient Reviews", IF(M605 &gt;= Sheet3!$B$2, "Highly Reliable", IF(M605 &gt;= Sheet3!$B$3, "Reliable", IF(M605 &gt;= Sheet3!$B$4, "Mixed Reviews", "Low Reliability")))))</f>
        <v>Insufficient Reviews</v>
      </c>
    </row>
    <row r="606">
      <c r="A606" s="3">
        <f t="shared" si="1"/>
        <v>605</v>
      </c>
      <c r="B606" s="4" t="s">
        <v>4699</v>
      </c>
      <c r="C606" s="5">
        <v>39.3425693</v>
      </c>
      <c r="D606" s="5">
        <v>-76.6343107</v>
      </c>
      <c r="E606" s="4" t="s">
        <v>4700</v>
      </c>
      <c r="F606" s="4" t="s">
        <v>4701</v>
      </c>
      <c r="G606" s="14"/>
      <c r="H606" s="4" t="s">
        <v>135</v>
      </c>
      <c r="I606" s="4" t="s">
        <v>81</v>
      </c>
      <c r="J606" s="4" t="s">
        <v>4702</v>
      </c>
      <c r="K606" s="8" t="s">
        <v>4703</v>
      </c>
      <c r="L606" s="4" t="s">
        <v>4704</v>
      </c>
      <c r="M606" s="4">
        <v>85.44964997</v>
      </c>
      <c r="N606" s="5">
        <v>76.01971803</v>
      </c>
      <c r="O606" s="5" t="s">
        <v>4705</v>
      </c>
      <c r="P606" s="9">
        <v>9082026.0</v>
      </c>
      <c r="Q606" s="7" t="str">
        <f>IF(OR(ISBLANK(M606), ISBLANK(N606)), "", IF(N606 &lt; Sheet3!$B$6, "Insufficient Reviews", IF(M606 &gt;= Sheet3!$B$2, "Highly Reliable", IF(M606 &gt;= Sheet3!$B$3, "Reliable", IF(M606 &gt;= Sheet3!$B$4, "Mixed Reviews", "Low Reliability")))))</f>
        <v>Highly Reliable</v>
      </c>
    </row>
    <row r="607">
      <c r="A607" s="3">
        <f t="shared" si="1"/>
        <v>606</v>
      </c>
      <c r="B607" s="4" t="s">
        <v>4706</v>
      </c>
      <c r="C607" s="5">
        <v>39.4019074</v>
      </c>
      <c r="D607" s="5">
        <v>-76.5978888</v>
      </c>
      <c r="E607" s="4" t="s">
        <v>4707</v>
      </c>
      <c r="F607" s="4" t="s">
        <v>4708</v>
      </c>
      <c r="G607" s="14"/>
      <c r="H607" s="4" t="s">
        <v>62</v>
      </c>
      <c r="I607" s="4" t="s">
        <v>81</v>
      </c>
      <c r="J607" s="4" t="s">
        <v>4709</v>
      </c>
      <c r="K607" s="8" t="s">
        <v>4710</v>
      </c>
      <c r="L607" s="4" t="s">
        <v>4711</v>
      </c>
      <c r="M607" s="4">
        <v>71.72772523</v>
      </c>
      <c r="N607" s="5">
        <v>60.35285345</v>
      </c>
      <c r="O607" s="5" t="s">
        <v>4712</v>
      </c>
      <c r="P607" s="9">
        <v>9082026.0</v>
      </c>
      <c r="Q607" s="7" t="str">
        <f>IF(OR(ISBLANK(M607), ISBLANK(N607)), "", IF(N607 &lt; Sheet3!$B$6, "Insufficient Reviews", IF(M607 &gt;= Sheet3!$B$2, "Highly Reliable", IF(M607 &gt;= Sheet3!$B$3, "Reliable", IF(M607 &gt;= Sheet3!$B$4, "Mixed Reviews", "Low Reliability")))))</f>
        <v>Reliable</v>
      </c>
    </row>
    <row r="608">
      <c r="A608" s="3">
        <f t="shared" si="1"/>
        <v>607</v>
      </c>
      <c r="B608" s="4" t="s">
        <v>4713</v>
      </c>
      <c r="C608" s="5">
        <v>39.3350612</v>
      </c>
      <c r="D608" s="5">
        <v>-76.6801386</v>
      </c>
      <c r="E608" s="4" t="s">
        <v>4714</v>
      </c>
      <c r="F608" s="4" t="s">
        <v>4715</v>
      </c>
      <c r="G608" s="4"/>
      <c r="H608" s="14"/>
      <c r="I608" s="4" t="s">
        <v>81</v>
      </c>
      <c r="J608" s="4" t="s">
        <v>4716</v>
      </c>
      <c r="K608" s="4"/>
      <c r="L608" s="4" t="s">
        <v>4717</v>
      </c>
      <c r="M608" s="4">
        <v>22.5</v>
      </c>
      <c r="N608" s="5">
        <v>19.95609563</v>
      </c>
      <c r="O608" s="5" t="s">
        <v>4718</v>
      </c>
      <c r="P608" s="9">
        <v>9082026.0</v>
      </c>
      <c r="Q608" s="7" t="str">
        <f>IF(OR(ISBLANK(M608), ISBLANK(N608)), "", IF(N608 &lt; Sheet3!$B$6, "Insufficient Reviews", IF(M608 &gt;= Sheet3!$B$2, "Highly Reliable", IF(M608 &gt;= Sheet3!$B$3, "Reliable", IF(M608 &gt;= Sheet3!$B$4, "Mixed Reviews", "Low Reliability")))))</f>
        <v>Insufficient Reviews</v>
      </c>
    </row>
    <row r="609">
      <c r="A609" s="3">
        <f t="shared" si="1"/>
        <v>608</v>
      </c>
      <c r="B609" s="4" t="s">
        <v>4719</v>
      </c>
      <c r="C609" s="5">
        <v>39.2923832</v>
      </c>
      <c r="D609" s="5">
        <v>-76.6305164</v>
      </c>
      <c r="E609" s="4" t="s">
        <v>4720</v>
      </c>
      <c r="F609" s="4" t="s">
        <v>4721</v>
      </c>
      <c r="G609" s="4" t="s">
        <v>4722</v>
      </c>
      <c r="H609" s="4" t="s">
        <v>80</v>
      </c>
      <c r="I609" s="4" t="s">
        <v>81</v>
      </c>
      <c r="J609" s="4" t="s">
        <v>4723</v>
      </c>
      <c r="K609" s="8" t="s">
        <v>4724</v>
      </c>
      <c r="L609" s="4" t="s">
        <v>4725</v>
      </c>
      <c r="M609" s="4">
        <v>46.93209677</v>
      </c>
      <c r="N609" s="5">
        <v>55.75376783</v>
      </c>
      <c r="O609" s="5" t="s">
        <v>4726</v>
      </c>
      <c r="P609" s="9">
        <v>9082026.0</v>
      </c>
      <c r="Q609" s="7" t="str">
        <f>IF(OR(ISBLANK(M609), ISBLANK(N609)), "", IF(N609 &lt; Sheet3!$B$6, "Insufficient Reviews", IF(M609 &gt;= Sheet3!$B$2, "Highly Reliable", IF(M609 &gt;= Sheet3!$B$3, "Reliable", IF(M609 &gt;= Sheet3!$B$4, "Mixed Reviews", "Low Reliability")))))</f>
        <v>Low Reliability</v>
      </c>
    </row>
    <row r="610">
      <c r="A610" s="3">
        <f t="shared" si="1"/>
        <v>609</v>
      </c>
      <c r="B610" s="4" t="s">
        <v>4727</v>
      </c>
      <c r="C610" s="5">
        <v>39.2862065</v>
      </c>
      <c r="D610" s="5">
        <v>-76.6695291</v>
      </c>
      <c r="E610" s="4" t="s">
        <v>4728</v>
      </c>
      <c r="F610" s="4" t="s">
        <v>4729</v>
      </c>
      <c r="G610" s="4"/>
      <c r="H610" s="4" t="s">
        <v>135</v>
      </c>
      <c r="I610" s="4" t="s">
        <v>81</v>
      </c>
      <c r="J610" s="4" t="s">
        <v>4730</v>
      </c>
      <c r="K610" s="8" t="s">
        <v>4731</v>
      </c>
      <c r="L610" s="4" t="s">
        <v>4732</v>
      </c>
      <c r="M610" s="4">
        <v>78.83356249</v>
      </c>
      <c r="N610" s="5">
        <v>58.37797193</v>
      </c>
      <c r="O610" s="5" t="s">
        <v>4733</v>
      </c>
      <c r="P610" s="9">
        <v>9082026.0</v>
      </c>
      <c r="Q610" s="7" t="str">
        <f>IF(OR(ISBLANK(M610), ISBLANK(N610)), "", IF(N610 &lt; Sheet3!$B$6, "Insufficient Reviews", IF(M610 &gt;= Sheet3!$B$2, "Highly Reliable", IF(M610 &gt;= Sheet3!$B$3, "Reliable", IF(M610 &gt;= Sheet3!$B$4, "Mixed Reviews", "Low Reliability")))))</f>
        <v>Reliable</v>
      </c>
    </row>
    <row r="611">
      <c r="A611" s="3">
        <f t="shared" si="1"/>
        <v>610</v>
      </c>
      <c r="B611" s="4" t="s">
        <v>4734</v>
      </c>
      <c r="C611" s="5">
        <v>39.3426447</v>
      </c>
      <c r="D611" s="5">
        <v>-76.7099657</v>
      </c>
      <c r="E611" s="4" t="s">
        <v>4735</v>
      </c>
      <c r="F611" s="4" t="s">
        <v>4736</v>
      </c>
      <c r="G611" s="4" t="s">
        <v>4737</v>
      </c>
      <c r="H611" s="4"/>
      <c r="I611" s="4" t="s">
        <v>203</v>
      </c>
      <c r="J611" s="4" t="s">
        <v>4738</v>
      </c>
      <c r="K611" s="8" t="s">
        <v>4739</v>
      </c>
      <c r="L611" s="4" t="s">
        <v>4740</v>
      </c>
      <c r="M611" s="4">
        <v>15.0</v>
      </c>
      <c r="N611" s="5">
        <v>32.70333333</v>
      </c>
      <c r="O611" s="5" t="s">
        <v>1991</v>
      </c>
      <c r="P611" s="9">
        <v>9082026.0</v>
      </c>
      <c r="Q611" s="7" t="str">
        <f>IF(OR(ISBLANK(M611), ISBLANK(N611)), "", IF(N611 &lt; Sheet3!$B$6, "Insufficient Reviews", IF(M611 &gt;= Sheet3!$B$2, "Highly Reliable", IF(M611 &gt;= Sheet3!$B$3, "Reliable", IF(M611 &gt;= Sheet3!$B$4, "Mixed Reviews", "Low Reliability")))))</f>
        <v>Insufficient Reviews</v>
      </c>
    </row>
    <row r="612">
      <c r="A612" s="3">
        <f t="shared" si="1"/>
        <v>611</v>
      </c>
      <c r="B612" s="4" t="s">
        <v>4741</v>
      </c>
      <c r="C612" s="5">
        <v>39.4081727</v>
      </c>
      <c r="D612" s="5">
        <v>-76.4919232</v>
      </c>
      <c r="E612" s="4" t="s">
        <v>4742</v>
      </c>
      <c r="F612" s="4" t="s">
        <v>4743</v>
      </c>
      <c r="G612" s="14"/>
      <c r="H612" s="4" t="s">
        <v>135</v>
      </c>
      <c r="I612" s="4" t="s">
        <v>81</v>
      </c>
      <c r="J612" s="4" t="s">
        <v>4744</v>
      </c>
      <c r="K612" s="8" t="s">
        <v>4745</v>
      </c>
      <c r="L612" s="4" t="s">
        <v>4746</v>
      </c>
      <c r="M612" s="4">
        <v>84.50788997</v>
      </c>
      <c r="N612" s="5">
        <v>73.16106501</v>
      </c>
      <c r="O612" s="5" t="s">
        <v>4747</v>
      </c>
      <c r="P612" s="9">
        <v>9082026.0</v>
      </c>
      <c r="Q612" s="7" t="str">
        <f>IF(OR(ISBLANK(M612), ISBLANK(N612)), "", IF(N612 &lt; Sheet3!$B$6, "Insufficient Reviews", IF(M612 &gt;= Sheet3!$B$2, "Highly Reliable", IF(M612 &gt;= Sheet3!$B$3, "Reliable", IF(M612 &gt;= Sheet3!$B$4, "Mixed Reviews", "Low Reliability")))))</f>
        <v>Highly Reliable</v>
      </c>
    </row>
    <row r="613">
      <c r="A613" s="3">
        <f t="shared" si="1"/>
        <v>612</v>
      </c>
      <c r="B613" s="4" t="s">
        <v>4748</v>
      </c>
      <c r="C613" s="5">
        <v>39.2971444</v>
      </c>
      <c r="D613" s="5">
        <v>-76.6555589</v>
      </c>
      <c r="E613" s="4" t="s">
        <v>4749</v>
      </c>
      <c r="F613" s="4" t="s">
        <v>4750</v>
      </c>
      <c r="G613" s="14"/>
      <c r="H613" s="4" t="s">
        <v>135</v>
      </c>
      <c r="I613" s="4" t="s">
        <v>81</v>
      </c>
      <c r="J613" s="4" t="s">
        <v>4751</v>
      </c>
      <c r="K613" s="8" t="s">
        <v>4752</v>
      </c>
      <c r="L613" s="4" t="s">
        <v>4753</v>
      </c>
      <c r="M613" s="4">
        <v>81.88118525</v>
      </c>
      <c r="N613" s="5">
        <v>53.73029147</v>
      </c>
      <c r="O613" s="5" t="s">
        <v>4754</v>
      </c>
      <c r="P613" s="9">
        <v>9082026.0</v>
      </c>
      <c r="Q613" s="7" t="str">
        <f>IF(OR(ISBLANK(M613), ISBLANK(N613)), "", IF(N613 &lt; Sheet3!$B$6, "Insufficient Reviews", IF(M613 &gt;= Sheet3!$B$2, "Highly Reliable", IF(M613 &gt;= Sheet3!$B$3, "Reliable", IF(M613 &gt;= Sheet3!$B$4, "Mixed Reviews", "Low Reliability")))))</f>
        <v>Reliable</v>
      </c>
    </row>
    <row r="614">
      <c r="A614" s="3">
        <f t="shared" si="1"/>
        <v>613</v>
      </c>
      <c r="B614" s="4" t="s">
        <v>4755</v>
      </c>
      <c r="C614" s="5">
        <v>39.2381677</v>
      </c>
      <c r="D614" s="5">
        <v>-76.6434442</v>
      </c>
      <c r="E614" s="4" t="s">
        <v>4756</v>
      </c>
      <c r="F614" s="4" t="s">
        <v>4757</v>
      </c>
      <c r="G614" s="4" t="s">
        <v>4758</v>
      </c>
      <c r="H614" s="4" t="s">
        <v>312</v>
      </c>
      <c r="I614" s="4" t="s">
        <v>81</v>
      </c>
      <c r="J614" s="4" t="s">
        <v>4759</v>
      </c>
      <c r="K614" s="8" t="s">
        <v>4760</v>
      </c>
      <c r="L614" s="4" t="s">
        <v>4761</v>
      </c>
      <c r="M614" s="4">
        <v>70.89443583</v>
      </c>
      <c r="N614" s="5">
        <v>54.28538014</v>
      </c>
      <c r="O614" s="5" t="s">
        <v>4762</v>
      </c>
      <c r="P614" s="9">
        <v>9082026.0</v>
      </c>
      <c r="Q614" s="7" t="str">
        <f>IF(OR(ISBLANK(M614), ISBLANK(N614)), "", IF(N614 &lt; Sheet3!$B$6, "Insufficient Reviews", IF(M614 &gt;= Sheet3!$B$2, "Highly Reliable", IF(M614 &gt;= Sheet3!$B$3, "Reliable", IF(M614 &gt;= Sheet3!$B$4, "Mixed Reviews", "Low Reliability")))))</f>
        <v>Reliable</v>
      </c>
    </row>
    <row r="615">
      <c r="A615" s="3">
        <f t="shared" si="1"/>
        <v>614</v>
      </c>
      <c r="B615" s="4" t="s">
        <v>4763</v>
      </c>
      <c r="C615" s="5">
        <v>39.3787578</v>
      </c>
      <c r="D615" s="5">
        <v>-76.8195668</v>
      </c>
      <c r="E615" s="4" t="s">
        <v>4764</v>
      </c>
      <c r="F615" s="4" t="s">
        <v>4765</v>
      </c>
      <c r="G615" s="4" t="s">
        <v>4766</v>
      </c>
      <c r="H615" s="4" t="s">
        <v>4767</v>
      </c>
      <c r="I615" s="4" t="s">
        <v>81</v>
      </c>
      <c r="J615" s="4" t="s">
        <v>4768</v>
      </c>
      <c r="K615" s="8" t="s">
        <v>4769</v>
      </c>
      <c r="L615" s="4" t="s">
        <v>4770</v>
      </c>
      <c r="M615" s="4">
        <v>63.62876064</v>
      </c>
      <c r="N615" s="5">
        <v>58.49910883</v>
      </c>
      <c r="O615" s="5" t="s">
        <v>4771</v>
      </c>
      <c r="P615" s="9">
        <v>9082026.0</v>
      </c>
      <c r="Q615" s="7" t="str">
        <f>IF(OR(ISBLANK(M615), ISBLANK(N615)), "", IF(N615 &lt; Sheet3!$B$6, "Insufficient Reviews", IF(M615 &gt;= Sheet3!$B$2, "Highly Reliable", IF(M615 &gt;= Sheet3!$B$3, "Reliable", IF(M615 &gt;= Sheet3!$B$4, "Mixed Reviews", "Low Reliability")))))</f>
        <v>Mixed Reviews</v>
      </c>
    </row>
    <row r="616">
      <c r="A616" s="3">
        <f t="shared" si="1"/>
        <v>615</v>
      </c>
      <c r="B616" s="4" t="s">
        <v>4772</v>
      </c>
      <c r="C616" s="5">
        <v>39.2481697</v>
      </c>
      <c r="D616" s="5">
        <v>-76.5176809</v>
      </c>
      <c r="E616" s="4" t="s">
        <v>4773</v>
      </c>
      <c r="F616" s="4" t="s">
        <v>4774</v>
      </c>
      <c r="G616" s="4" t="s">
        <v>4775</v>
      </c>
      <c r="H616" s="4" t="s">
        <v>312</v>
      </c>
      <c r="I616" s="4" t="s">
        <v>81</v>
      </c>
      <c r="J616" s="4" t="s">
        <v>4776</v>
      </c>
      <c r="K616" s="8" t="s">
        <v>4777</v>
      </c>
      <c r="L616" s="4" t="s">
        <v>4778</v>
      </c>
      <c r="M616" s="4">
        <v>55.22782295</v>
      </c>
      <c r="N616" s="5">
        <v>62.90634204</v>
      </c>
      <c r="O616" s="5" t="s">
        <v>4779</v>
      </c>
      <c r="P616" s="9">
        <v>9082026.0</v>
      </c>
      <c r="Q616" s="7" t="str">
        <f>IF(OR(ISBLANK(M616), ISBLANK(N616)), "", IF(N616 &lt; Sheet3!$B$6, "Insufficient Reviews", IF(M616 &gt;= Sheet3!$B$2, "Highly Reliable", IF(M616 &gt;= Sheet3!$B$3, "Reliable", IF(M616 &gt;= Sheet3!$B$4, "Mixed Reviews", "Low Reliability")))))</f>
        <v>Low Reliability</v>
      </c>
    </row>
    <row r="617">
      <c r="A617" s="3">
        <f t="shared" si="1"/>
        <v>616</v>
      </c>
      <c r="B617" s="4" t="s">
        <v>4780</v>
      </c>
      <c r="C617" s="5">
        <v>39.3034958</v>
      </c>
      <c r="D617" s="5">
        <v>-76.7529886</v>
      </c>
      <c r="E617" s="4" t="s">
        <v>4781</v>
      </c>
      <c r="F617" s="4" t="s">
        <v>4782</v>
      </c>
      <c r="G617" s="4" t="s">
        <v>4783</v>
      </c>
      <c r="H617" s="4" t="s">
        <v>126</v>
      </c>
      <c r="I617" s="4" t="s">
        <v>81</v>
      </c>
      <c r="J617" s="4" t="s">
        <v>4784</v>
      </c>
      <c r="K617" s="8" t="s">
        <v>4785</v>
      </c>
      <c r="L617" s="4" t="s">
        <v>4786</v>
      </c>
      <c r="M617" s="4">
        <v>75.33037528</v>
      </c>
      <c r="N617" s="5">
        <v>62.07596919</v>
      </c>
      <c r="O617" s="5" t="s">
        <v>4787</v>
      </c>
      <c r="P617" s="9">
        <v>9082026.0</v>
      </c>
      <c r="Q617" s="7" t="str">
        <f>IF(OR(ISBLANK(M617), ISBLANK(N617)), "", IF(N617 &lt; Sheet3!$B$6, "Insufficient Reviews", IF(M617 &gt;= Sheet3!$B$2, "Highly Reliable", IF(M617 &gt;= Sheet3!$B$3, "Reliable", IF(M617 &gt;= Sheet3!$B$4, "Mixed Reviews", "Low Reliability")))))</f>
        <v>Reliable</v>
      </c>
    </row>
    <row r="618">
      <c r="A618" s="3">
        <f t="shared" si="1"/>
        <v>617</v>
      </c>
      <c r="B618" s="4" t="s">
        <v>4788</v>
      </c>
      <c r="C618" s="5">
        <v>39.4213812</v>
      </c>
      <c r="D618" s="5">
        <v>-76.8062713</v>
      </c>
      <c r="E618" s="4" t="s">
        <v>4789</v>
      </c>
      <c r="F618" s="4" t="s">
        <v>4790</v>
      </c>
      <c r="G618" s="4"/>
      <c r="H618" s="4" t="s">
        <v>153</v>
      </c>
      <c r="I618" s="4" t="s">
        <v>203</v>
      </c>
      <c r="J618" s="4" t="s">
        <v>4791</v>
      </c>
      <c r="K618" s="8" t="s">
        <v>4792</v>
      </c>
      <c r="L618" s="4" t="s">
        <v>4793</v>
      </c>
      <c r="M618" s="4">
        <v>18.0</v>
      </c>
      <c r="N618" s="5">
        <v>53.5</v>
      </c>
      <c r="O618" s="5" t="s">
        <v>4794</v>
      </c>
      <c r="P618" s="9">
        <v>9082026.0</v>
      </c>
      <c r="Q618" s="7" t="str">
        <f>IF(OR(ISBLANK(M618), ISBLANK(N618)), "", IF(N618 &lt; Sheet3!$B$6, "Insufficient Reviews", IF(M618 &gt;= Sheet3!$B$2, "Highly Reliable", IF(M618 &gt;= Sheet3!$B$3, "Reliable", IF(M618 &gt;= Sheet3!$B$4, "Mixed Reviews", "Low Reliability")))))</f>
        <v>Low Reliability</v>
      </c>
    </row>
    <row r="619">
      <c r="A619" s="3">
        <f t="shared" si="1"/>
        <v>618</v>
      </c>
      <c r="B619" s="4" t="s">
        <v>4795</v>
      </c>
      <c r="C619" s="5">
        <v>39.2847064</v>
      </c>
      <c r="D619" s="5">
        <v>-76.620486</v>
      </c>
      <c r="E619" s="4" t="s">
        <v>4796</v>
      </c>
      <c r="F619" s="4" t="s">
        <v>4797</v>
      </c>
      <c r="G619" s="14"/>
      <c r="H619" s="4" t="s">
        <v>4798</v>
      </c>
      <c r="I619" s="4" t="s">
        <v>81</v>
      </c>
      <c r="J619" s="4" t="s">
        <v>4799</v>
      </c>
      <c r="K619" s="8" t="s">
        <v>4800</v>
      </c>
      <c r="L619" s="4" t="s">
        <v>4801</v>
      </c>
      <c r="M619" s="5">
        <v>74.75449181</v>
      </c>
      <c r="N619" s="5">
        <v>53.92851914</v>
      </c>
      <c r="O619" s="4" t="s">
        <v>4802</v>
      </c>
      <c r="P619" s="9">
        <v>9082026.0</v>
      </c>
      <c r="Q619" s="7" t="str">
        <f>IF(OR(ISBLANK(M619), ISBLANK(N619)), "", IF(N619 &lt; Sheet3!$B$6, "Insufficient Reviews", IF(M619 &gt;= Sheet3!$B$2, "Highly Reliable", IF(M619 &gt;= Sheet3!$B$3, "Reliable", IF(M619 &gt;= Sheet3!$B$4, "Mixed Reviews", "Low Reliability")))))</f>
        <v>Reliable</v>
      </c>
    </row>
    <row r="620">
      <c r="A620" s="3">
        <f t="shared" si="1"/>
        <v>619</v>
      </c>
      <c r="B620" s="4" t="s">
        <v>4803</v>
      </c>
      <c r="C620" s="5">
        <v>39.3445161</v>
      </c>
      <c r="D620" s="5">
        <v>-76.5988533</v>
      </c>
      <c r="E620" s="4" t="s">
        <v>4804</v>
      </c>
      <c r="F620" s="4" t="s">
        <v>4805</v>
      </c>
      <c r="G620" s="4"/>
      <c r="H620" s="4" t="s">
        <v>4806</v>
      </c>
      <c r="I620" s="4" t="s">
        <v>35</v>
      </c>
      <c r="J620" s="4" t="s">
        <v>4807</v>
      </c>
      <c r="K620" s="8" t="s">
        <v>4808</v>
      </c>
      <c r="L620" s="4" t="s">
        <v>4809</v>
      </c>
      <c r="M620" s="4">
        <v>84.58319228</v>
      </c>
      <c r="N620" s="5">
        <v>94.95300837</v>
      </c>
      <c r="O620" s="5" t="s">
        <v>4810</v>
      </c>
      <c r="P620" s="9">
        <v>9082026.0</v>
      </c>
      <c r="Q620" s="7" t="str">
        <f>IF(OR(ISBLANK(M620), ISBLANK(N620)), "", IF(N620 &lt; Sheet3!$B$6, "Insufficient Reviews", IF(M620 &gt;= Sheet3!$B$2, "Highly Reliable", IF(M620 &gt;= Sheet3!$B$3, "Reliable", IF(M620 &gt;= Sheet3!$B$4, "Mixed Reviews", "Low Reliability")))))</f>
        <v>Highly Reliable</v>
      </c>
    </row>
    <row r="621">
      <c r="A621" s="3">
        <f t="shared" si="1"/>
        <v>620</v>
      </c>
      <c r="B621" s="4" t="s">
        <v>4811</v>
      </c>
      <c r="C621" s="5">
        <v>39.4710547</v>
      </c>
      <c r="D621" s="5">
        <v>-76.835339</v>
      </c>
      <c r="E621" s="4" t="s">
        <v>4812</v>
      </c>
      <c r="F621" s="4" t="s">
        <v>4813</v>
      </c>
      <c r="G621" s="4" t="s">
        <v>4814</v>
      </c>
      <c r="H621" s="4" t="s">
        <v>4767</v>
      </c>
      <c r="I621" s="4" t="s">
        <v>81</v>
      </c>
      <c r="J621" s="4" t="s">
        <v>4815</v>
      </c>
      <c r="K621" s="8" t="s">
        <v>4816</v>
      </c>
      <c r="L621" s="4" t="s">
        <v>4817</v>
      </c>
      <c r="M621" s="4">
        <v>53.93011622</v>
      </c>
      <c r="N621" s="5">
        <v>59.57139995</v>
      </c>
      <c r="O621" s="5" t="s">
        <v>4818</v>
      </c>
      <c r="P621" s="9">
        <v>9082026.0</v>
      </c>
      <c r="Q621" s="7" t="str">
        <f>IF(OR(ISBLANK(M621), ISBLANK(N621)), "", IF(N621 &lt; Sheet3!$B$6, "Insufficient Reviews", IF(M621 &gt;= Sheet3!$B$2, "Highly Reliable", IF(M621 &gt;= Sheet3!$B$3, "Reliable", IF(M621 &gt;= Sheet3!$B$4, "Mixed Reviews", "Low Reliability")))))</f>
        <v>Low Reliability</v>
      </c>
    </row>
    <row r="622">
      <c r="A622" s="3">
        <f t="shared" si="1"/>
        <v>621</v>
      </c>
      <c r="B622" s="4" t="s">
        <v>4819</v>
      </c>
      <c r="C622" s="5">
        <v>39.3509087</v>
      </c>
      <c r="D622" s="5">
        <v>-76.5932148</v>
      </c>
      <c r="E622" s="4" t="s">
        <v>4820</v>
      </c>
      <c r="F622" s="4" t="s">
        <v>4821</v>
      </c>
      <c r="G622" s="14"/>
      <c r="H622" s="4" t="s">
        <v>3216</v>
      </c>
      <c r="I622" s="4" t="s">
        <v>81</v>
      </c>
      <c r="J622" s="4" t="s">
        <v>4822</v>
      </c>
      <c r="K622" s="8" t="s">
        <v>4823</v>
      </c>
      <c r="L622" s="4" t="s">
        <v>4824</v>
      </c>
      <c r="M622" s="4">
        <v>76.60799957</v>
      </c>
      <c r="N622" s="5">
        <v>45.22476201</v>
      </c>
      <c r="O622" s="5" t="s">
        <v>4825</v>
      </c>
      <c r="P622" s="9">
        <v>9082026.0</v>
      </c>
      <c r="Q622" s="7" t="str">
        <f>IF(OR(ISBLANK(M622), ISBLANK(N622)), "", IF(N622 &lt; Sheet3!$B$6, "Insufficient Reviews", IF(M622 &gt;= Sheet3!$B$2, "Highly Reliable", IF(M622 &gt;= Sheet3!$B$3, "Reliable", IF(M622 &gt;= Sheet3!$B$4, "Mixed Reviews", "Low Reliability")))))</f>
        <v>Reliable</v>
      </c>
    </row>
    <row r="623">
      <c r="A623" s="3">
        <f t="shared" si="1"/>
        <v>622</v>
      </c>
      <c r="B623" s="4" t="s">
        <v>4826</v>
      </c>
      <c r="C623" s="5">
        <v>39.3291973</v>
      </c>
      <c r="D623" s="5">
        <v>-76.6009353</v>
      </c>
      <c r="E623" s="4" t="s">
        <v>4827</v>
      </c>
      <c r="F623" s="4" t="s">
        <v>4828</v>
      </c>
      <c r="G623" s="4" t="s">
        <v>4829</v>
      </c>
      <c r="H623" s="4" t="s">
        <v>3772</v>
      </c>
      <c r="I623" s="4" t="s">
        <v>81</v>
      </c>
      <c r="J623" s="4" t="s">
        <v>4830</v>
      </c>
      <c r="K623" s="8" t="s">
        <v>4831</v>
      </c>
      <c r="L623" s="4" t="s">
        <v>4832</v>
      </c>
      <c r="M623" s="4">
        <v>77.10956596</v>
      </c>
      <c r="N623" s="5">
        <v>71.83300643</v>
      </c>
      <c r="O623" s="5" t="s">
        <v>4833</v>
      </c>
      <c r="P623" s="9">
        <v>9082026.0</v>
      </c>
      <c r="Q623" s="7" t="str">
        <f>IF(OR(ISBLANK(M623), ISBLANK(N623)), "", IF(N623 &lt; Sheet3!$B$6, "Insufficient Reviews", IF(M623 &gt;= Sheet3!$B$2, "Highly Reliable", IF(M623 &gt;= Sheet3!$B$3, "Reliable", IF(M623 &gt;= Sheet3!$B$4, "Mixed Reviews", "Low Reliability")))))</f>
        <v>Reliable</v>
      </c>
    </row>
    <row r="624">
      <c r="A624" s="3">
        <f t="shared" si="1"/>
        <v>623</v>
      </c>
      <c r="B624" s="4" t="s">
        <v>4834</v>
      </c>
      <c r="C624" s="5">
        <v>39.4073399</v>
      </c>
      <c r="D624" s="5">
        <v>-76.6949498</v>
      </c>
      <c r="E624" s="4" t="s">
        <v>4835</v>
      </c>
      <c r="F624" s="4" t="s">
        <v>4836</v>
      </c>
      <c r="G624" s="4" t="s">
        <v>4837</v>
      </c>
      <c r="H624" s="4" t="s">
        <v>153</v>
      </c>
      <c r="I624" s="4" t="s">
        <v>203</v>
      </c>
      <c r="J624" s="4" t="s">
        <v>4838</v>
      </c>
      <c r="K624" s="8" t="s">
        <v>4839</v>
      </c>
      <c r="L624" s="4" t="s">
        <v>4840</v>
      </c>
      <c r="M624" s="4">
        <v>18.0</v>
      </c>
      <c r="N624" s="5">
        <v>53.5</v>
      </c>
      <c r="O624" s="5" t="s">
        <v>4794</v>
      </c>
      <c r="P624" s="9">
        <v>9082026.0</v>
      </c>
      <c r="Q624" s="7" t="str">
        <f>IF(OR(ISBLANK(M624), ISBLANK(N624)), "", IF(N624 &lt; Sheet3!$B$6, "Insufficient Reviews", IF(M624 &gt;= Sheet3!$B$2, "Highly Reliable", IF(M624 &gt;= Sheet3!$B$3, "Reliable", IF(M624 &gt;= Sheet3!$B$4, "Mixed Reviews", "Low Reliability")))))</f>
        <v>Low Reliability</v>
      </c>
    </row>
    <row r="625">
      <c r="A625" s="3">
        <f t="shared" si="1"/>
        <v>624</v>
      </c>
      <c r="B625" s="4" t="s">
        <v>4841</v>
      </c>
      <c r="C625" s="5">
        <v>39.4419792</v>
      </c>
      <c r="D625" s="5">
        <v>-76.7756857</v>
      </c>
      <c r="E625" s="4" t="s">
        <v>4842</v>
      </c>
      <c r="F625" s="4" t="s">
        <v>4843</v>
      </c>
      <c r="G625" s="14"/>
      <c r="H625" s="4" t="s">
        <v>80</v>
      </c>
      <c r="I625" s="4" t="s">
        <v>203</v>
      </c>
      <c r="J625" s="4" t="s">
        <v>4844</v>
      </c>
      <c r="K625" s="8" t="s">
        <v>4845</v>
      </c>
      <c r="L625" s="4" t="s">
        <v>4846</v>
      </c>
      <c r="M625" s="4">
        <v>13.5</v>
      </c>
      <c r="N625" s="5">
        <v>32.82333333</v>
      </c>
      <c r="O625" s="5" t="s">
        <v>4498</v>
      </c>
      <c r="P625" s="9">
        <v>9082026.0</v>
      </c>
      <c r="Q625" s="7" t="str">
        <f>IF(OR(ISBLANK(M625), ISBLANK(N625)), "", IF(N625 &lt; Sheet3!$B$6, "Insufficient Reviews", IF(M625 &gt;= Sheet3!$B$2, "Highly Reliable", IF(M625 &gt;= Sheet3!$B$3, "Reliable", IF(M625 &gt;= Sheet3!$B$4, "Mixed Reviews", "Low Reliability")))))</f>
        <v>Insufficient Reviews</v>
      </c>
    </row>
    <row r="626">
      <c r="A626" s="3">
        <f t="shared" si="1"/>
        <v>625</v>
      </c>
      <c r="B626" s="4" t="s">
        <v>4847</v>
      </c>
      <c r="C626" s="5">
        <v>39.2774403</v>
      </c>
      <c r="D626" s="5">
        <v>-76.7539173</v>
      </c>
      <c r="E626" s="4" t="s">
        <v>4848</v>
      </c>
      <c r="F626" s="4" t="s">
        <v>4849</v>
      </c>
      <c r="G626" s="4"/>
      <c r="H626" s="14"/>
      <c r="I626" s="4" t="s">
        <v>81</v>
      </c>
      <c r="J626" s="4" t="s">
        <v>4850</v>
      </c>
      <c r="K626" s="8" t="s">
        <v>4851</v>
      </c>
      <c r="L626" s="4" t="s">
        <v>4852</v>
      </c>
      <c r="M626" s="4">
        <v>75.0</v>
      </c>
      <c r="N626" s="5">
        <v>37.06283464</v>
      </c>
      <c r="O626" s="5" t="s">
        <v>4853</v>
      </c>
      <c r="P626" s="9">
        <v>9082026.0</v>
      </c>
      <c r="Q626" s="7" t="str">
        <f>IF(OR(ISBLANK(M626), ISBLANK(N626)), "", IF(N626 &lt; Sheet3!$B$6, "Insufficient Reviews", IF(M626 &gt;= Sheet3!$B$2, "Highly Reliable", IF(M626 &gt;= Sheet3!$B$3, "Reliable", IF(M626 &gt;= Sheet3!$B$4, "Mixed Reviews", "Low Reliability")))))</f>
        <v>Insufficient Reviews</v>
      </c>
    </row>
    <row r="627">
      <c r="A627" s="3">
        <f t="shared" si="1"/>
        <v>626</v>
      </c>
      <c r="B627" s="4" t="s">
        <v>4854</v>
      </c>
      <c r="C627" s="5">
        <v>39.3508217</v>
      </c>
      <c r="D627" s="5">
        <v>-76.560164</v>
      </c>
      <c r="E627" s="4" t="s">
        <v>4855</v>
      </c>
      <c r="F627" s="4" t="s">
        <v>4856</v>
      </c>
      <c r="G627" s="4"/>
      <c r="H627" s="4" t="s">
        <v>4857</v>
      </c>
      <c r="I627" s="4" t="s">
        <v>91</v>
      </c>
      <c r="J627" s="4" t="s">
        <v>4858</v>
      </c>
      <c r="K627" s="4"/>
      <c r="L627" s="4" t="s">
        <v>4859</v>
      </c>
      <c r="M627" s="4">
        <v>51.24881947</v>
      </c>
      <c r="N627" s="5">
        <v>33.61460623</v>
      </c>
      <c r="O627" s="5" t="s">
        <v>4860</v>
      </c>
      <c r="P627" s="9">
        <v>9082026.0</v>
      </c>
      <c r="Q627" s="7" t="str">
        <f>IF(OR(ISBLANK(M627), ISBLANK(N627)), "", IF(N627 &lt; Sheet3!$B$6, "Insufficient Reviews", IF(M627 &gt;= Sheet3!$B$2, "Highly Reliable", IF(M627 &gt;= Sheet3!$B$3, "Reliable", IF(M627 &gt;= Sheet3!$B$4, "Mixed Reviews", "Low Reliability")))))</f>
        <v>Insufficient Reviews</v>
      </c>
    </row>
    <row r="628">
      <c r="A628" s="3">
        <f t="shared" si="1"/>
        <v>627</v>
      </c>
      <c r="B628" s="4" t="s">
        <v>4861</v>
      </c>
      <c r="C628" s="5">
        <v>39.4171588</v>
      </c>
      <c r="D628" s="5">
        <v>-76.4595669</v>
      </c>
      <c r="E628" s="4" t="s">
        <v>4862</v>
      </c>
      <c r="F628" s="4" t="s">
        <v>4863</v>
      </c>
      <c r="G628" s="4"/>
      <c r="H628" s="4" t="s">
        <v>4864</v>
      </c>
      <c r="I628" s="4" t="s">
        <v>91</v>
      </c>
      <c r="J628" s="4" t="s">
        <v>4865</v>
      </c>
      <c r="K628" s="8" t="s">
        <v>4866</v>
      </c>
      <c r="L628" s="4" t="s">
        <v>4867</v>
      </c>
      <c r="M628" s="4">
        <v>84.22216464</v>
      </c>
      <c r="N628" s="5">
        <v>73.13655116</v>
      </c>
      <c r="O628" s="5" t="s">
        <v>4868</v>
      </c>
      <c r="P628" s="9">
        <v>9082026.0</v>
      </c>
      <c r="Q628" s="7" t="str">
        <f>IF(OR(ISBLANK(M628), ISBLANK(N628)), "", IF(N628 &lt; Sheet3!$B$6, "Insufficient Reviews", IF(M628 &gt;= Sheet3!$B$2, "Highly Reliable", IF(M628 &gt;= Sheet3!$B$3, "Reliable", IF(M628 &gt;= Sheet3!$B$4, "Mixed Reviews", "Low Reliability")))))</f>
        <v>Highly Reliable</v>
      </c>
    </row>
    <row r="629">
      <c r="A629" s="3">
        <f t="shared" si="1"/>
        <v>628</v>
      </c>
      <c r="B629" s="4" t="s">
        <v>4869</v>
      </c>
      <c r="C629" s="5">
        <v>39.4008189</v>
      </c>
      <c r="D629" s="5">
        <v>-76.593664</v>
      </c>
      <c r="E629" s="4" t="s">
        <v>4870</v>
      </c>
      <c r="F629" s="4" t="s">
        <v>4871</v>
      </c>
      <c r="G629" s="4"/>
      <c r="H629" s="4" t="s">
        <v>135</v>
      </c>
      <c r="I629" s="4" t="s">
        <v>91</v>
      </c>
      <c r="J629" s="4" t="s">
        <v>4872</v>
      </c>
      <c r="K629" s="8" t="s">
        <v>4873</v>
      </c>
      <c r="L629" s="4" t="s">
        <v>4874</v>
      </c>
      <c r="M629" s="4">
        <v>76.02250303</v>
      </c>
      <c r="N629" s="5">
        <v>72.62812712</v>
      </c>
      <c r="O629" s="5" t="s">
        <v>4875</v>
      </c>
      <c r="P629" s="9">
        <v>9082026.0</v>
      </c>
      <c r="Q629" s="7" t="str">
        <f>IF(OR(ISBLANK(M629), ISBLANK(N629)), "", IF(N629 &lt; Sheet3!$B$6, "Insufficient Reviews", IF(M629 &gt;= Sheet3!$B$2, "Highly Reliable", IF(M629 &gt;= Sheet3!$B$3, "Reliable", IF(M629 &gt;= Sheet3!$B$4, "Mixed Reviews", "Low Reliability")))))</f>
        <v>Reliable</v>
      </c>
    </row>
    <row r="630">
      <c r="A630" s="3">
        <f t="shared" si="1"/>
        <v>629</v>
      </c>
      <c r="B630" s="4" t="s">
        <v>3739</v>
      </c>
      <c r="C630" s="5">
        <v>39.2930125</v>
      </c>
      <c r="D630" s="5">
        <v>-76.6131938</v>
      </c>
      <c r="E630" s="4" t="s">
        <v>4876</v>
      </c>
      <c r="F630" s="4" t="s">
        <v>4877</v>
      </c>
      <c r="G630" s="14"/>
      <c r="H630" s="4" t="s">
        <v>135</v>
      </c>
      <c r="I630" s="4" t="s">
        <v>91</v>
      </c>
      <c r="J630" s="4" t="s">
        <v>4878</v>
      </c>
      <c r="K630" s="8" t="s">
        <v>4879</v>
      </c>
      <c r="L630" s="4" t="s">
        <v>4880</v>
      </c>
      <c r="M630" s="5">
        <v>30.0</v>
      </c>
      <c r="N630" s="5">
        <v>58.07942896</v>
      </c>
      <c r="O630" s="4" t="s">
        <v>4881</v>
      </c>
      <c r="P630" s="9">
        <v>9082026.0</v>
      </c>
      <c r="Q630" s="7" t="str">
        <f>IF(OR(ISBLANK(M630), ISBLANK(N630)), "", IF(N630 &lt; Sheet3!$B$6, "Insufficient Reviews", IF(M630 &gt;= Sheet3!$B$2, "Highly Reliable", IF(M630 &gt;= Sheet3!$B$3, "Reliable", IF(M630 &gt;= Sheet3!$B$4, "Mixed Reviews", "Low Reliability")))))</f>
        <v>Low Reliability</v>
      </c>
    </row>
    <row r="631">
      <c r="A631" s="3">
        <f t="shared" si="1"/>
        <v>630</v>
      </c>
      <c r="B631" s="4" t="s">
        <v>4882</v>
      </c>
      <c r="C631" s="5">
        <v>39.5234761</v>
      </c>
      <c r="D631" s="5">
        <v>-76.6447207</v>
      </c>
      <c r="E631" s="4" t="s">
        <v>4883</v>
      </c>
      <c r="F631" s="4" t="s">
        <v>4884</v>
      </c>
      <c r="G631" s="4" t="s">
        <v>4885</v>
      </c>
      <c r="H631" s="4" t="s">
        <v>43</v>
      </c>
      <c r="I631" s="4" t="s">
        <v>203</v>
      </c>
      <c r="J631" s="4" t="s">
        <v>4886</v>
      </c>
      <c r="K631" s="8" t="s">
        <v>4887</v>
      </c>
      <c r="L631" s="4" t="s">
        <v>4888</v>
      </c>
      <c r="M631" s="4">
        <v>86.46223436</v>
      </c>
      <c r="N631" s="5">
        <v>53.94432421</v>
      </c>
      <c r="O631" s="5" t="s">
        <v>4889</v>
      </c>
      <c r="P631" s="9">
        <v>9082026.0</v>
      </c>
      <c r="Q631" s="7" t="str">
        <f>IF(OR(ISBLANK(M631), ISBLANK(N631)), "", IF(N631 &lt; Sheet3!$B$6, "Insufficient Reviews", IF(M631 &gt;= Sheet3!$B$2, "Highly Reliable", IF(M631 &gt;= Sheet3!$B$3, "Reliable", IF(M631 &gt;= Sheet3!$B$4, "Mixed Reviews", "Low Reliability")))))</f>
        <v>Highly Reliable</v>
      </c>
    </row>
    <row r="632">
      <c r="A632" s="3">
        <f t="shared" si="1"/>
        <v>631</v>
      </c>
      <c r="B632" s="4" t="s">
        <v>4890</v>
      </c>
      <c r="C632" s="5">
        <v>39.3510917</v>
      </c>
      <c r="D632" s="5">
        <v>-76.6010817</v>
      </c>
      <c r="E632" s="4" t="s">
        <v>4891</v>
      </c>
      <c r="F632" s="4" t="s">
        <v>4892</v>
      </c>
      <c r="G632" s="4"/>
      <c r="H632" s="4" t="s">
        <v>4893</v>
      </c>
      <c r="I632" s="4" t="s">
        <v>91</v>
      </c>
      <c r="J632" s="4" t="s">
        <v>4894</v>
      </c>
      <c r="K632" s="8" t="s">
        <v>4895</v>
      </c>
      <c r="L632" s="4" t="s">
        <v>4896</v>
      </c>
      <c r="M632" s="4">
        <v>76.24905373</v>
      </c>
      <c r="N632" s="5">
        <v>46.62546478</v>
      </c>
      <c r="O632" s="5" t="s">
        <v>3235</v>
      </c>
      <c r="P632" s="9">
        <v>9082026.0</v>
      </c>
      <c r="Q632" s="7" t="str">
        <f>IF(OR(ISBLANK(M632), ISBLANK(N632)), "", IF(N632 &lt; Sheet3!$B$6, "Insufficient Reviews", IF(M632 &gt;= Sheet3!$B$2, "Highly Reliable", IF(M632 &gt;= Sheet3!$B$3, "Reliable", IF(M632 &gt;= Sheet3!$B$4, "Mixed Reviews", "Low Reliability")))))</f>
        <v>Reliable</v>
      </c>
    </row>
    <row r="633">
      <c r="A633" s="3">
        <f t="shared" si="1"/>
        <v>632</v>
      </c>
      <c r="B633" s="4" t="s">
        <v>4897</v>
      </c>
      <c r="C633" s="5">
        <v>39.399587</v>
      </c>
      <c r="D633" s="5">
        <v>-76.6004413</v>
      </c>
      <c r="E633" s="4" t="s">
        <v>4898</v>
      </c>
      <c r="F633" s="4" t="s">
        <v>4899</v>
      </c>
      <c r="G633" s="4" t="s">
        <v>4900</v>
      </c>
      <c r="H633" s="4" t="s">
        <v>26</v>
      </c>
      <c r="I633" s="4" t="s">
        <v>81</v>
      </c>
      <c r="J633" s="4" t="s">
        <v>4901</v>
      </c>
      <c r="K633" s="8" t="s">
        <v>2241</v>
      </c>
      <c r="L633" s="4" t="s">
        <v>4902</v>
      </c>
      <c r="M633" s="4">
        <v>72.80677553</v>
      </c>
      <c r="N633" s="5">
        <v>54.52980634</v>
      </c>
      <c r="O633" s="5" t="s">
        <v>4903</v>
      </c>
      <c r="P633" s="9">
        <v>9082026.0</v>
      </c>
      <c r="Q633" s="7" t="str">
        <f>IF(OR(ISBLANK(M633), ISBLANK(N633)), "", IF(N633 &lt; Sheet3!$B$6, "Insufficient Reviews", IF(M633 &gt;= Sheet3!$B$2, "Highly Reliable", IF(M633 &gt;= Sheet3!$B$3, "Reliable", IF(M633 &gt;= Sheet3!$B$4, "Mixed Reviews", "Low Reliability")))))</f>
        <v>Reliable</v>
      </c>
    </row>
    <row r="634">
      <c r="A634" s="3">
        <f t="shared" si="1"/>
        <v>633</v>
      </c>
      <c r="B634" s="4" t="s">
        <v>4904</v>
      </c>
      <c r="C634" s="5">
        <v>39.3485631</v>
      </c>
      <c r="D634" s="5">
        <v>-76.5608025</v>
      </c>
      <c r="E634" s="4" t="s">
        <v>4905</v>
      </c>
      <c r="F634" s="4" t="s">
        <v>4906</v>
      </c>
      <c r="G634" s="4" t="s">
        <v>4907</v>
      </c>
      <c r="H634" s="4"/>
      <c r="I634" s="4" t="s">
        <v>81</v>
      </c>
      <c r="J634" s="4" t="s">
        <v>4908</v>
      </c>
      <c r="K634" s="8" t="s">
        <v>4909</v>
      </c>
      <c r="L634" s="4" t="s">
        <v>4910</v>
      </c>
      <c r="M634" s="4">
        <v>84.25106868</v>
      </c>
      <c r="N634" s="5">
        <v>61.82964272</v>
      </c>
      <c r="O634" s="5" t="s">
        <v>4911</v>
      </c>
      <c r="P634" s="9">
        <v>9082026.0</v>
      </c>
      <c r="Q634" s="7" t="str">
        <f>IF(OR(ISBLANK(M634), ISBLANK(N634)), "", IF(N634 &lt; Sheet3!$B$6, "Insufficient Reviews", IF(M634 &gt;= Sheet3!$B$2, "Highly Reliable", IF(M634 &gt;= Sheet3!$B$3, "Reliable", IF(M634 &gt;= Sheet3!$B$4, "Mixed Reviews", "Low Reliability")))))</f>
        <v>Highly Reliable</v>
      </c>
    </row>
    <row r="635">
      <c r="A635" s="3">
        <f t="shared" si="1"/>
        <v>634</v>
      </c>
      <c r="B635" s="4" t="s">
        <v>4912</v>
      </c>
      <c r="C635" s="5">
        <v>39.3800081</v>
      </c>
      <c r="D635" s="5">
        <v>-76.8170659</v>
      </c>
      <c r="E635" s="4" t="s">
        <v>4913</v>
      </c>
      <c r="F635" s="4" t="s">
        <v>4914</v>
      </c>
      <c r="G635" s="4"/>
      <c r="H635" s="4" t="s">
        <v>135</v>
      </c>
      <c r="I635" s="4" t="s">
        <v>81</v>
      </c>
      <c r="J635" s="4" t="s">
        <v>4915</v>
      </c>
      <c r="K635" s="8" t="s">
        <v>4916</v>
      </c>
      <c r="L635" s="4" t="s">
        <v>4917</v>
      </c>
      <c r="M635" s="4">
        <v>78.79320153</v>
      </c>
      <c r="N635" s="5">
        <v>56.62379305</v>
      </c>
      <c r="O635" s="5" t="s">
        <v>4918</v>
      </c>
      <c r="P635" s="9">
        <v>9082026.0</v>
      </c>
      <c r="Q635" s="7" t="str">
        <f>IF(OR(ISBLANK(M635), ISBLANK(N635)), "", IF(N635 &lt; Sheet3!$B$6, "Insufficient Reviews", IF(M635 &gt;= Sheet3!$B$2, "Highly Reliable", IF(M635 &gt;= Sheet3!$B$3, "Reliable", IF(M635 &gt;= Sheet3!$B$4, "Mixed Reviews", "Low Reliability")))))</f>
        <v>Reliable</v>
      </c>
    </row>
    <row r="636">
      <c r="A636" s="3">
        <f t="shared" si="1"/>
        <v>635</v>
      </c>
      <c r="B636" s="4" t="s">
        <v>4919</v>
      </c>
      <c r="C636" s="5">
        <v>39.3873256</v>
      </c>
      <c r="D636" s="5">
        <v>-76.6111596</v>
      </c>
      <c r="E636" s="4" t="s">
        <v>4920</v>
      </c>
      <c r="F636" s="4" t="s">
        <v>4921</v>
      </c>
      <c r="G636" s="4"/>
      <c r="H636" s="4" t="s">
        <v>135</v>
      </c>
      <c r="I636" s="4" t="s">
        <v>91</v>
      </c>
      <c r="J636" s="4" t="s">
        <v>4922</v>
      </c>
      <c r="K636" s="8" t="s">
        <v>4923</v>
      </c>
      <c r="L636" s="4" t="s">
        <v>4924</v>
      </c>
      <c r="M636" s="4">
        <v>74.84931692</v>
      </c>
      <c r="N636" s="5">
        <v>93.60662243</v>
      </c>
      <c r="O636" s="5" t="s">
        <v>4925</v>
      </c>
      <c r="P636" s="9">
        <v>9082026.0</v>
      </c>
      <c r="Q636" s="7" t="str">
        <f>IF(OR(ISBLANK(M636), ISBLANK(N636)), "", IF(N636 &lt; Sheet3!$B$6, "Insufficient Reviews", IF(M636 &gt;= Sheet3!$B$2, "Highly Reliable", IF(M636 &gt;= Sheet3!$B$3, "Reliable", IF(M636 &gt;= Sheet3!$B$4, "Mixed Reviews", "Low Reliability")))))</f>
        <v>Reliable</v>
      </c>
    </row>
    <row r="637">
      <c r="A637" s="3">
        <f t="shared" si="1"/>
        <v>636</v>
      </c>
      <c r="B637" s="4" t="s">
        <v>4926</v>
      </c>
      <c r="C637" s="5">
        <v>39.2879662</v>
      </c>
      <c r="D637" s="5">
        <v>-76.6250999</v>
      </c>
      <c r="E637" s="4" t="s">
        <v>4927</v>
      </c>
      <c r="F637" s="4" t="s">
        <v>4928</v>
      </c>
      <c r="G637" s="4" t="s">
        <v>4929</v>
      </c>
      <c r="H637" s="4" t="s">
        <v>135</v>
      </c>
      <c r="I637" s="4" t="s">
        <v>91</v>
      </c>
      <c r="J637" s="4" t="s">
        <v>4930</v>
      </c>
      <c r="K637" s="8" t="s">
        <v>4931</v>
      </c>
      <c r="L637" s="4" t="s">
        <v>4932</v>
      </c>
      <c r="M637" s="4">
        <v>62.56989934</v>
      </c>
      <c r="N637" s="5">
        <v>70.9873724</v>
      </c>
      <c r="O637" s="5" t="s">
        <v>4933</v>
      </c>
      <c r="P637" s="9">
        <v>9082026.0</v>
      </c>
      <c r="Q637" s="7" t="str">
        <f>IF(OR(ISBLANK(M637), ISBLANK(N637)), "", IF(N637 &lt; Sheet3!$B$6, "Insufficient Reviews", IF(M637 &gt;= Sheet3!$B$2, "Highly Reliable", IF(M637 &gt;= Sheet3!$B$3, "Reliable", IF(M637 &gt;= Sheet3!$B$4, "Mixed Reviews", "Low Reliability")))))</f>
        <v>Mixed Reviews</v>
      </c>
    </row>
    <row r="638">
      <c r="A638" s="3">
        <f t="shared" si="1"/>
        <v>637</v>
      </c>
      <c r="B638" s="4" t="s">
        <v>4934</v>
      </c>
      <c r="C638" s="5">
        <v>39.299869</v>
      </c>
      <c r="D638" s="5">
        <v>-76.6205404</v>
      </c>
      <c r="E638" s="4" t="s">
        <v>4935</v>
      </c>
      <c r="F638" s="4" t="s">
        <v>4936</v>
      </c>
      <c r="G638" s="4"/>
      <c r="H638" s="4" t="s">
        <v>135</v>
      </c>
      <c r="I638" s="4" t="s">
        <v>91</v>
      </c>
      <c r="J638" s="4" t="s">
        <v>4937</v>
      </c>
      <c r="K638" s="8" t="s">
        <v>4938</v>
      </c>
      <c r="L638" s="4" t="s">
        <v>4939</v>
      </c>
      <c r="M638" s="4">
        <v>72.1956099</v>
      </c>
      <c r="N638" s="5">
        <v>92.18219881</v>
      </c>
      <c r="O638" s="5" t="s">
        <v>4940</v>
      </c>
      <c r="P638" s="9">
        <v>9082026.0</v>
      </c>
      <c r="Q638" s="7" t="str">
        <f>IF(OR(ISBLANK(M638), ISBLANK(N638)), "", IF(N638 &lt; Sheet3!$B$6, "Insufficient Reviews", IF(M638 &gt;= Sheet3!$B$2, "Highly Reliable", IF(M638 &gt;= Sheet3!$B$3, "Reliable", IF(M638 &gt;= Sheet3!$B$4, "Mixed Reviews", "Low Reliability")))))</f>
        <v>Reliable</v>
      </c>
    </row>
    <row r="639">
      <c r="A639" s="3">
        <f t="shared" si="1"/>
        <v>638</v>
      </c>
      <c r="B639" s="4" t="s">
        <v>4941</v>
      </c>
      <c r="C639" s="5">
        <v>39.3140788</v>
      </c>
      <c r="D639" s="5">
        <v>-76.7081944</v>
      </c>
      <c r="E639" s="4" t="s">
        <v>4942</v>
      </c>
      <c r="F639" s="4" t="s">
        <v>4943</v>
      </c>
      <c r="G639" s="4"/>
      <c r="H639" s="4" t="s">
        <v>135</v>
      </c>
      <c r="I639" s="4" t="s">
        <v>91</v>
      </c>
      <c r="J639" s="4" t="s">
        <v>4944</v>
      </c>
      <c r="K639" s="8" t="s">
        <v>4945</v>
      </c>
      <c r="L639" s="4" t="s">
        <v>4946</v>
      </c>
      <c r="M639" s="4">
        <v>81.71244346</v>
      </c>
      <c r="N639" s="5">
        <v>74.15053162</v>
      </c>
      <c r="O639" s="5" t="s">
        <v>4947</v>
      </c>
      <c r="P639" s="9">
        <v>9082026.0</v>
      </c>
      <c r="Q639" s="7" t="str">
        <f>IF(OR(ISBLANK(M639), ISBLANK(N639)), "", IF(N639 &lt; Sheet3!$B$6, "Insufficient Reviews", IF(M639 &gt;= Sheet3!$B$2, "Highly Reliable", IF(M639 &gt;= Sheet3!$B$3, "Reliable", IF(M639 &gt;= Sheet3!$B$4, "Mixed Reviews", "Low Reliability")))))</f>
        <v>Reliable</v>
      </c>
    </row>
    <row r="640">
      <c r="A640" s="3">
        <f t="shared" si="1"/>
        <v>639</v>
      </c>
      <c r="B640" s="4" t="s">
        <v>4948</v>
      </c>
      <c r="C640" s="5">
        <v>39.3297704</v>
      </c>
      <c r="D640" s="5">
        <v>-76.5996125</v>
      </c>
      <c r="E640" s="4" t="s">
        <v>4949</v>
      </c>
      <c r="F640" s="4" t="s">
        <v>4950</v>
      </c>
      <c r="G640" s="4" t="s">
        <v>4951</v>
      </c>
      <c r="H640" s="4" t="s">
        <v>4952</v>
      </c>
      <c r="I640" s="4" t="s">
        <v>81</v>
      </c>
      <c r="J640" s="4" t="s">
        <v>4953</v>
      </c>
      <c r="K640" s="8" t="s">
        <v>4954</v>
      </c>
      <c r="L640" s="4" t="s">
        <v>4955</v>
      </c>
      <c r="M640" s="4">
        <v>66.0</v>
      </c>
      <c r="N640" s="5">
        <v>41.35499203</v>
      </c>
      <c r="O640" s="5" t="s">
        <v>4956</v>
      </c>
      <c r="P640" s="9">
        <v>9082026.0</v>
      </c>
      <c r="Q640" s="7" t="str">
        <f>IF(OR(ISBLANK(M640), ISBLANK(N640)), "", IF(N640 &lt; Sheet3!$B$6, "Insufficient Reviews", IF(M640 &gt;= Sheet3!$B$2, "Highly Reliable", IF(M640 &gt;= Sheet3!$B$3, "Reliable", IF(M640 &gt;= Sheet3!$B$4, "Mixed Reviews", "Low Reliability")))))</f>
        <v>Mixed Reviews</v>
      </c>
    </row>
    <row r="641">
      <c r="A641" s="3">
        <f t="shared" si="1"/>
        <v>640</v>
      </c>
      <c r="B641" s="4" t="s">
        <v>4957</v>
      </c>
      <c r="C641" s="5">
        <v>39.3704341</v>
      </c>
      <c r="D641" s="5">
        <v>-76.5384268</v>
      </c>
      <c r="E641" s="4" t="s">
        <v>4958</v>
      </c>
      <c r="F641" s="4" t="s">
        <v>4959</v>
      </c>
      <c r="G641" s="4"/>
      <c r="H641" s="4" t="s">
        <v>4960</v>
      </c>
      <c r="I641" s="4" t="s">
        <v>81</v>
      </c>
      <c r="J641" s="4" t="s">
        <v>4961</v>
      </c>
      <c r="K641" s="4"/>
      <c r="L641" s="4" t="s">
        <v>4962</v>
      </c>
      <c r="M641" s="4">
        <v>57.43636469</v>
      </c>
      <c r="N641" s="5">
        <v>41.51916329</v>
      </c>
      <c r="O641" s="5" t="s">
        <v>4963</v>
      </c>
      <c r="P641" s="9">
        <v>9082026.0</v>
      </c>
      <c r="Q641" s="7" t="str">
        <f>IF(OR(ISBLANK(M641), ISBLANK(N641)), "", IF(N641 &lt; Sheet3!$B$6, "Insufficient Reviews", IF(M641 &gt;= Sheet3!$B$2, "Highly Reliable", IF(M641 &gt;= Sheet3!$B$3, "Reliable", IF(M641 &gt;= Sheet3!$B$4, "Mixed Reviews", "Low Reliability")))))</f>
        <v>Low Reliability</v>
      </c>
    </row>
    <row r="642">
      <c r="A642" s="3">
        <f t="shared" si="1"/>
        <v>641</v>
      </c>
      <c r="B642" s="4" t="s">
        <v>4964</v>
      </c>
      <c r="C642" s="5">
        <v>39.4056111</v>
      </c>
      <c r="D642" s="5">
        <v>-76.4727119</v>
      </c>
      <c r="E642" s="4" t="s">
        <v>4965</v>
      </c>
      <c r="F642" s="4" t="s">
        <v>4966</v>
      </c>
      <c r="G642" s="14"/>
      <c r="H642" s="4" t="s">
        <v>126</v>
      </c>
      <c r="I642" s="4" t="s">
        <v>81</v>
      </c>
      <c r="J642" s="4" t="s">
        <v>4967</v>
      </c>
      <c r="K642" s="4"/>
      <c r="L642" s="4" t="s">
        <v>4968</v>
      </c>
      <c r="M642" s="4">
        <v>82.72807011</v>
      </c>
      <c r="N642" s="5">
        <v>38.53821471</v>
      </c>
      <c r="O642" s="5" t="s">
        <v>4969</v>
      </c>
      <c r="P642" s="9">
        <v>9082026.0</v>
      </c>
      <c r="Q642" s="7" t="str">
        <f>IF(OR(ISBLANK(M642), ISBLANK(N642)), "", IF(N642 &lt; Sheet3!$B$6, "Insufficient Reviews", IF(M642 &gt;= Sheet3!$B$2, "Highly Reliable", IF(M642 &gt;= Sheet3!$B$3, "Reliable", IF(M642 &gt;= Sheet3!$B$4, "Mixed Reviews", "Low Reliability")))))</f>
        <v>Insufficient Reviews</v>
      </c>
    </row>
    <row r="643">
      <c r="A643" s="3">
        <f t="shared" si="1"/>
        <v>642</v>
      </c>
      <c r="B643" s="4" t="s">
        <v>4586</v>
      </c>
      <c r="C643" s="5">
        <v>39.4513507</v>
      </c>
      <c r="D643" s="5">
        <v>-76.5944354</v>
      </c>
      <c r="E643" s="4" t="s">
        <v>4970</v>
      </c>
      <c r="F643" s="4" t="s">
        <v>4971</v>
      </c>
      <c r="G643" s="14"/>
      <c r="H643" s="4" t="s">
        <v>4972</v>
      </c>
      <c r="I643" s="4" t="s">
        <v>203</v>
      </c>
      <c r="J643" s="4" t="s">
        <v>4973</v>
      </c>
      <c r="K643" s="8" t="s">
        <v>4974</v>
      </c>
      <c r="L643" s="4" t="s">
        <v>4975</v>
      </c>
      <c r="M643" s="4">
        <v>13.5</v>
      </c>
      <c r="N643" s="5">
        <v>32.91333333</v>
      </c>
      <c r="O643" s="5" t="s">
        <v>1865</v>
      </c>
      <c r="P643" s="9">
        <v>9082026.0</v>
      </c>
      <c r="Q643" s="7" t="str">
        <f>IF(OR(ISBLANK(M643), ISBLANK(N643)), "", IF(N643 &lt; Sheet3!$B$6, "Insufficient Reviews", IF(M643 &gt;= Sheet3!$B$2, "Highly Reliable", IF(M643 &gt;= Sheet3!$B$3, "Reliable", IF(M643 &gt;= Sheet3!$B$4, "Mixed Reviews", "Low Reliability")))))</f>
        <v>Insufficient Reviews</v>
      </c>
    </row>
    <row r="644">
      <c r="A644" s="3">
        <f t="shared" si="1"/>
        <v>643</v>
      </c>
      <c r="B644" s="4" t="s">
        <v>4976</v>
      </c>
      <c r="C644" s="5">
        <v>39.3693537</v>
      </c>
      <c r="D644" s="5">
        <v>-76.5070383</v>
      </c>
      <c r="E644" s="4" t="s">
        <v>4977</v>
      </c>
      <c r="F644" s="4" t="s">
        <v>4978</v>
      </c>
      <c r="G644" s="4" t="s">
        <v>4979</v>
      </c>
      <c r="H644" s="4" t="s">
        <v>26</v>
      </c>
      <c r="I644" s="4" t="s">
        <v>81</v>
      </c>
      <c r="J644" s="4" t="s">
        <v>4980</v>
      </c>
      <c r="K644" s="8" t="s">
        <v>2241</v>
      </c>
      <c r="L644" s="4" t="s">
        <v>4981</v>
      </c>
      <c r="M644" s="4">
        <v>76.48629908</v>
      </c>
      <c r="N644" s="5">
        <v>71.93771647</v>
      </c>
      <c r="O644" s="5" t="s">
        <v>4982</v>
      </c>
      <c r="P644" s="9">
        <v>9082026.0</v>
      </c>
      <c r="Q644" s="7" t="str">
        <f>IF(OR(ISBLANK(M644), ISBLANK(N644)), "", IF(N644 &lt; Sheet3!$B$6, "Insufficient Reviews", IF(M644 &gt;= Sheet3!$B$2, "Highly Reliable", IF(M644 &gt;= Sheet3!$B$3, "Reliable", IF(M644 &gt;= Sheet3!$B$4, "Mixed Reviews", "Low Reliability")))))</f>
        <v>Reliable</v>
      </c>
    </row>
    <row r="645">
      <c r="A645" s="3">
        <f t="shared" si="1"/>
        <v>644</v>
      </c>
      <c r="B645" s="4" t="s">
        <v>4983</v>
      </c>
      <c r="C645" s="5">
        <v>39.2896213</v>
      </c>
      <c r="D645" s="5">
        <v>-76.7446289</v>
      </c>
      <c r="E645" s="4" t="s">
        <v>4984</v>
      </c>
      <c r="F645" s="4" t="s">
        <v>4985</v>
      </c>
      <c r="G645" s="4"/>
      <c r="H645" s="4" t="s">
        <v>62</v>
      </c>
      <c r="I645" s="4" t="s">
        <v>81</v>
      </c>
      <c r="J645" s="4" t="s">
        <v>4986</v>
      </c>
      <c r="K645" s="8" t="s">
        <v>4987</v>
      </c>
      <c r="L645" s="4" t="s">
        <v>4988</v>
      </c>
      <c r="M645" s="4">
        <v>68.08224098</v>
      </c>
      <c r="N645" s="5">
        <v>66.84481722</v>
      </c>
      <c r="O645" s="5" t="s">
        <v>4989</v>
      </c>
      <c r="P645" s="9">
        <v>9082026.0</v>
      </c>
      <c r="Q645" s="7" t="str">
        <f>IF(OR(ISBLANK(M645), ISBLANK(N645)), "", IF(N645 &lt; Sheet3!$B$6, "Insufficient Reviews", IF(M645 &gt;= Sheet3!$B$2, "Highly Reliable", IF(M645 &gt;= Sheet3!$B$3, "Reliable", IF(M645 &gt;= Sheet3!$B$4, "Mixed Reviews", "Low Reliability")))))</f>
        <v>Mixed Reviews</v>
      </c>
    </row>
    <row r="646">
      <c r="A646" s="3">
        <f t="shared" si="1"/>
        <v>645</v>
      </c>
      <c r="B646" s="4" t="s">
        <v>4990</v>
      </c>
      <c r="C646" s="5">
        <v>39.2928111</v>
      </c>
      <c r="D646" s="5">
        <v>-76.6813088</v>
      </c>
      <c r="E646" s="4" t="s">
        <v>4991</v>
      </c>
      <c r="F646" s="4" t="s">
        <v>4992</v>
      </c>
      <c r="G646" s="4" t="s">
        <v>4993</v>
      </c>
      <c r="H646" s="4" t="s">
        <v>90</v>
      </c>
      <c r="I646" s="4" t="s">
        <v>81</v>
      </c>
      <c r="J646" s="4" t="s">
        <v>4994</v>
      </c>
      <c r="K646" s="8" t="s">
        <v>4995</v>
      </c>
      <c r="L646" s="4" t="s">
        <v>4996</v>
      </c>
      <c r="M646" s="4">
        <v>79.21094553</v>
      </c>
      <c r="N646" s="5">
        <v>46.47005932</v>
      </c>
      <c r="O646" s="5" t="s">
        <v>4997</v>
      </c>
      <c r="P646" s="9">
        <v>9082026.0</v>
      </c>
      <c r="Q646" s="7" t="str">
        <f>IF(OR(ISBLANK(M646), ISBLANK(N646)), "", IF(N646 &lt; Sheet3!$B$6, "Insufficient Reviews", IF(M646 &gt;= Sheet3!$B$2, "Highly Reliable", IF(M646 &gt;= Sheet3!$B$3, "Reliable", IF(M646 &gt;= Sheet3!$B$4, "Mixed Reviews", "Low Reliability")))))</f>
        <v>Reliable</v>
      </c>
    </row>
    <row r="647">
      <c r="A647" s="3">
        <f t="shared" si="1"/>
        <v>646</v>
      </c>
      <c r="B647" s="4" t="s">
        <v>4998</v>
      </c>
      <c r="C647" s="5">
        <v>39.3451846</v>
      </c>
      <c r="D647" s="5">
        <v>-76.5973405</v>
      </c>
      <c r="E647" s="4" t="s">
        <v>4999</v>
      </c>
      <c r="F647" s="4" t="s">
        <v>5000</v>
      </c>
      <c r="G647" s="4"/>
      <c r="H647" s="4" t="s">
        <v>135</v>
      </c>
      <c r="I647" s="4" t="s">
        <v>81</v>
      </c>
      <c r="J647" s="4" t="s">
        <v>5001</v>
      </c>
      <c r="K647" s="4"/>
      <c r="L647" s="4" t="s">
        <v>5002</v>
      </c>
      <c r="M647" s="4">
        <v>12.0</v>
      </c>
      <c r="N647" s="5">
        <v>16.44166667</v>
      </c>
      <c r="O647" s="5" t="s">
        <v>5003</v>
      </c>
      <c r="P647" s="9">
        <v>9082026.0</v>
      </c>
      <c r="Q647" s="7" t="str">
        <f>IF(OR(ISBLANK(M647), ISBLANK(N647)), "", IF(N647 &lt; Sheet3!$B$6, "Insufficient Reviews", IF(M647 &gt;= Sheet3!$B$2, "Highly Reliable", IF(M647 &gt;= Sheet3!$B$3, "Reliable", IF(M647 &gt;= Sheet3!$B$4, "Mixed Reviews", "Low Reliability")))))</f>
        <v>Insufficient Reviews</v>
      </c>
    </row>
    <row r="648">
      <c r="A648" s="3">
        <f t="shared" si="1"/>
        <v>647</v>
      </c>
      <c r="B648" s="4" t="s">
        <v>5004</v>
      </c>
      <c r="C648" s="5">
        <v>39.3433876</v>
      </c>
      <c r="D648" s="5">
        <v>-76.6949563</v>
      </c>
      <c r="E648" s="4" t="s">
        <v>5005</v>
      </c>
      <c r="F648" s="4" t="s">
        <v>5006</v>
      </c>
      <c r="G648" s="4" t="s">
        <v>5007</v>
      </c>
      <c r="H648" s="4" t="s">
        <v>1083</v>
      </c>
      <c r="I648" s="4" t="s">
        <v>81</v>
      </c>
      <c r="J648" s="4" t="s">
        <v>5008</v>
      </c>
      <c r="K648" s="8" t="s">
        <v>5009</v>
      </c>
      <c r="L648" s="4" t="s">
        <v>5010</v>
      </c>
      <c r="M648" s="4">
        <v>13.5</v>
      </c>
      <c r="N648" s="5">
        <v>32.73333333</v>
      </c>
      <c r="O648" s="5" t="s">
        <v>1991</v>
      </c>
      <c r="P648" s="9">
        <v>9082026.0</v>
      </c>
      <c r="Q648" s="7" t="str">
        <f>IF(OR(ISBLANK(M648), ISBLANK(N648)), "", IF(N648 &lt; Sheet3!$B$6, "Insufficient Reviews", IF(M648 &gt;= Sheet3!$B$2, "Highly Reliable", IF(M648 &gt;= Sheet3!$B$3, "Reliable", IF(M648 &gt;= Sheet3!$B$4, "Mixed Reviews", "Low Reliability")))))</f>
        <v>Insufficient Reviews</v>
      </c>
    </row>
    <row r="649">
      <c r="A649" s="3">
        <f t="shared" si="1"/>
        <v>648</v>
      </c>
      <c r="B649" s="4" t="s">
        <v>5011</v>
      </c>
      <c r="C649" s="5">
        <v>39.3086162</v>
      </c>
      <c r="D649" s="5">
        <v>-76.6716116</v>
      </c>
      <c r="E649" s="4" t="s">
        <v>5012</v>
      </c>
      <c r="F649" s="4" t="s">
        <v>5013</v>
      </c>
      <c r="G649" s="4"/>
      <c r="H649" s="4" t="s">
        <v>2417</v>
      </c>
      <c r="I649" s="4" t="s">
        <v>203</v>
      </c>
      <c r="J649" s="4" t="s">
        <v>5014</v>
      </c>
      <c r="K649" s="8" t="s">
        <v>5015</v>
      </c>
      <c r="L649" s="4" t="s">
        <v>5016</v>
      </c>
      <c r="M649" s="4">
        <v>85.10320953</v>
      </c>
      <c r="N649" s="5">
        <v>75.41342473</v>
      </c>
      <c r="O649" s="5" t="s">
        <v>5017</v>
      </c>
      <c r="P649" s="9">
        <v>9082026.0</v>
      </c>
      <c r="Q649" s="7" t="str">
        <f>IF(OR(ISBLANK(M649), ISBLANK(N649)), "", IF(N649 &lt; Sheet3!$B$6, "Insufficient Reviews", IF(M649 &gt;= Sheet3!$B$2, "Highly Reliable", IF(M649 &gt;= Sheet3!$B$3, "Reliable", IF(M649 &gt;= Sheet3!$B$4, "Mixed Reviews", "Low Reliability")))))</f>
        <v>Highly Reliable</v>
      </c>
    </row>
    <row r="650">
      <c r="A650" s="3">
        <f t="shared" si="1"/>
        <v>649</v>
      </c>
      <c r="B650" s="4" t="s">
        <v>5018</v>
      </c>
      <c r="C650" s="5">
        <v>39.3721199</v>
      </c>
      <c r="D650" s="5">
        <v>-76.6010328</v>
      </c>
      <c r="E650" s="4" t="s">
        <v>5019</v>
      </c>
      <c r="F650" s="4" t="s">
        <v>5020</v>
      </c>
      <c r="G650" s="4" t="s">
        <v>5021</v>
      </c>
      <c r="H650" s="4" t="s">
        <v>5022</v>
      </c>
      <c r="I650" s="4" t="s">
        <v>81</v>
      </c>
      <c r="J650" s="4" t="s">
        <v>5023</v>
      </c>
      <c r="K650" s="8" t="s">
        <v>5024</v>
      </c>
      <c r="L650" s="4" t="s">
        <v>5025</v>
      </c>
      <c r="M650" s="4">
        <v>63.25017247</v>
      </c>
      <c r="N650" s="5">
        <v>51.96782177</v>
      </c>
      <c r="O650" s="5" t="s">
        <v>5026</v>
      </c>
      <c r="P650" s="9">
        <v>9082026.0</v>
      </c>
      <c r="Q650" s="7" t="str">
        <f>IF(OR(ISBLANK(M650), ISBLANK(N650)), "", IF(N650 &lt; Sheet3!$B$6, "Insufficient Reviews", IF(M650 &gt;= Sheet3!$B$2, "Highly Reliable", IF(M650 &gt;= Sheet3!$B$3, "Reliable", IF(M650 &gt;= Sheet3!$B$4, "Mixed Reviews", "Low Reliability")))))</f>
        <v>Mixed Reviews</v>
      </c>
    </row>
    <row r="651">
      <c r="A651" s="3">
        <f t="shared" si="1"/>
        <v>650</v>
      </c>
      <c r="B651" s="4" t="s">
        <v>5027</v>
      </c>
      <c r="C651" s="5">
        <v>39.369501</v>
      </c>
      <c r="D651" s="5">
        <v>-76.6094129</v>
      </c>
      <c r="E651" s="4" t="s">
        <v>5028</v>
      </c>
      <c r="F651" s="4" t="s">
        <v>5029</v>
      </c>
      <c r="G651" s="4"/>
      <c r="H651" s="14"/>
      <c r="I651" s="4" t="s">
        <v>81</v>
      </c>
      <c r="J651" s="4" t="s">
        <v>5030</v>
      </c>
      <c r="K651" s="8" t="s">
        <v>5031</v>
      </c>
      <c r="L651" s="4" t="s">
        <v>5032</v>
      </c>
      <c r="M651" s="4">
        <v>63.37898837</v>
      </c>
      <c r="N651" s="5">
        <v>65.07561393</v>
      </c>
      <c r="O651" s="5" t="s">
        <v>5033</v>
      </c>
      <c r="P651" s="9">
        <v>9082026.0</v>
      </c>
      <c r="Q651" s="7" t="str">
        <f>IF(OR(ISBLANK(M651), ISBLANK(N651)), "", IF(N651 &lt; Sheet3!$B$6, "Insufficient Reviews", IF(M651 &gt;= Sheet3!$B$2, "Highly Reliable", IF(M651 &gt;= Sheet3!$B$3, "Reliable", IF(M651 &gt;= Sheet3!$B$4, "Mixed Reviews", "Low Reliability")))))</f>
        <v>Mixed Reviews</v>
      </c>
    </row>
    <row r="652">
      <c r="A652" s="3">
        <f t="shared" si="1"/>
        <v>651</v>
      </c>
      <c r="B652" s="4" t="s">
        <v>2699</v>
      </c>
      <c r="C652" s="5">
        <v>39.4771131</v>
      </c>
      <c r="D652" s="5">
        <v>-76.6411159</v>
      </c>
      <c r="E652" s="4" t="s">
        <v>5034</v>
      </c>
      <c r="F652" s="4" t="s">
        <v>5035</v>
      </c>
      <c r="G652" s="4" t="s">
        <v>5036</v>
      </c>
      <c r="H652" s="4" t="s">
        <v>589</v>
      </c>
      <c r="I652" s="4" t="s">
        <v>81</v>
      </c>
      <c r="J652" s="4" t="s">
        <v>5037</v>
      </c>
      <c r="K652" s="8" t="s">
        <v>5038</v>
      </c>
      <c r="L652" s="4" t="s">
        <v>5039</v>
      </c>
      <c r="M652" s="4">
        <v>80.95846387</v>
      </c>
      <c r="N652" s="5">
        <v>70.72676254</v>
      </c>
      <c r="O652" s="5" t="s">
        <v>5040</v>
      </c>
      <c r="P652" s="9">
        <v>9082026.0</v>
      </c>
      <c r="Q652" s="7" t="str">
        <f>IF(OR(ISBLANK(M652), ISBLANK(N652)), "", IF(N652 &lt; Sheet3!$B$6, "Insufficient Reviews", IF(M652 &gt;= Sheet3!$B$2, "Highly Reliable", IF(M652 &gt;= Sheet3!$B$3, "Reliable", IF(M652 &gt;= Sheet3!$B$4, "Mixed Reviews", "Low Reliability")))))</f>
        <v>Reliable</v>
      </c>
    </row>
    <row r="653">
      <c r="A653" s="3">
        <f t="shared" si="1"/>
        <v>652</v>
      </c>
      <c r="B653" s="4" t="s">
        <v>5041</v>
      </c>
      <c r="C653" s="5">
        <v>39.2831046</v>
      </c>
      <c r="D653" s="5">
        <v>-76.6301574</v>
      </c>
      <c r="E653" s="4" t="s">
        <v>5042</v>
      </c>
      <c r="F653" s="4" t="s">
        <v>5043</v>
      </c>
      <c r="G653" s="4" t="s">
        <v>5044</v>
      </c>
      <c r="H653" s="4" t="s">
        <v>5045</v>
      </c>
      <c r="I653" s="4" t="s">
        <v>35</v>
      </c>
      <c r="J653" s="4" t="s">
        <v>5046</v>
      </c>
      <c r="K653" s="8" t="s">
        <v>5047</v>
      </c>
      <c r="L653" s="4" t="s">
        <v>5048</v>
      </c>
      <c r="M653" s="4">
        <v>64.81021873</v>
      </c>
      <c r="N653" s="5">
        <v>61.5083413</v>
      </c>
      <c r="O653" s="5" t="s">
        <v>5049</v>
      </c>
      <c r="P653" s="9">
        <v>9082026.0</v>
      </c>
      <c r="Q653" s="7" t="str">
        <f>IF(OR(ISBLANK(M653), ISBLANK(N653)), "", IF(N653 &lt; Sheet3!$B$6, "Insufficient Reviews", IF(M653 &gt;= Sheet3!$B$2, "Highly Reliable", IF(M653 &gt;= Sheet3!$B$3, "Reliable", IF(M653 &gt;= Sheet3!$B$4, "Mixed Reviews", "Low Reliability")))))</f>
        <v>Mixed Reviews</v>
      </c>
    </row>
    <row r="654">
      <c r="A654" s="3">
        <f t="shared" si="1"/>
        <v>653</v>
      </c>
      <c r="B654" s="4" t="s">
        <v>5050</v>
      </c>
      <c r="C654" s="5">
        <v>39.3286668</v>
      </c>
      <c r="D654" s="5">
        <v>-76.6106319</v>
      </c>
      <c r="E654" s="4" t="s">
        <v>5051</v>
      </c>
      <c r="F654" s="4" t="s">
        <v>5052</v>
      </c>
      <c r="G654" s="4"/>
      <c r="H654" s="4" t="s">
        <v>2417</v>
      </c>
      <c r="I654" s="4" t="s">
        <v>35</v>
      </c>
      <c r="J654" s="4" t="s">
        <v>5053</v>
      </c>
      <c r="K654" s="8" t="s">
        <v>5054</v>
      </c>
      <c r="L654" s="4" t="s">
        <v>5055</v>
      </c>
      <c r="M654" s="4">
        <v>84.34360222</v>
      </c>
      <c r="N654" s="5">
        <v>77.09240148</v>
      </c>
      <c r="O654" s="5" t="s">
        <v>5056</v>
      </c>
      <c r="P654" s="9">
        <v>9082026.0</v>
      </c>
      <c r="Q654" s="7" t="str">
        <f>IF(OR(ISBLANK(M654), ISBLANK(N654)), "", IF(N654 &lt; Sheet3!$B$6, "Insufficient Reviews", IF(M654 &gt;= Sheet3!$B$2, "Highly Reliable", IF(M654 &gt;= Sheet3!$B$3, "Reliable", IF(M654 &gt;= Sheet3!$B$4, "Mixed Reviews", "Low Reliability")))))</f>
        <v>Highly Reliable</v>
      </c>
    </row>
    <row r="655">
      <c r="A655" s="3">
        <f t="shared" si="1"/>
        <v>654</v>
      </c>
      <c r="B655" s="4" t="s">
        <v>5057</v>
      </c>
      <c r="C655" s="5">
        <v>39.3011077</v>
      </c>
      <c r="D655" s="5">
        <v>-76.6178186</v>
      </c>
      <c r="E655" s="4" t="s">
        <v>5058</v>
      </c>
      <c r="F655" s="4" t="s">
        <v>5059</v>
      </c>
      <c r="G655" s="14"/>
      <c r="H655" s="14"/>
      <c r="I655" s="4" t="s">
        <v>35</v>
      </c>
      <c r="J655" s="4" t="s">
        <v>5060</v>
      </c>
      <c r="K655" s="8" t="s">
        <v>5061</v>
      </c>
      <c r="L655" s="4" t="s">
        <v>5062</v>
      </c>
      <c r="M655" s="4">
        <v>76.42222417</v>
      </c>
      <c r="N655" s="5">
        <v>73.54938279</v>
      </c>
      <c r="O655" s="5" t="s">
        <v>5063</v>
      </c>
      <c r="P655" s="9">
        <v>9082026.0</v>
      </c>
      <c r="Q655" s="7" t="str">
        <f>IF(OR(ISBLANK(M655), ISBLANK(N655)), "", IF(N655 &lt; Sheet3!$B$6, "Insufficient Reviews", IF(M655 &gt;= Sheet3!$B$2, "Highly Reliable", IF(M655 &gt;= Sheet3!$B$3, "Reliable", IF(M655 &gt;= Sheet3!$B$4, "Mixed Reviews", "Low Reliability")))))</f>
        <v>Reliable</v>
      </c>
    </row>
    <row r="656">
      <c r="A656" s="3">
        <f t="shared" si="1"/>
        <v>655</v>
      </c>
      <c r="B656" s="4" t="s">
        <v>5064</v>
      </c>
      <c r="C656" s="5">
        <v>39.3226878</v>
      </c>
      <c r="D656" s="5">
        <v>-76.6812732</v>
      </c>
      <c r="E656" s="4" t="s">
        <v>5065</v>
      </c>
      <c r="F656" s="4" t="s">
        <v>5066</v>
      </c>
      <c r="G656" s="4"/>
      <c r="H656" s="4" t="s">
        <v>43</v>
      </c>
      <c r="I656" s="4" t="s">
        <v>81</v>
      </c>
      <c r="J656" s="4" t="s">
        <v>5067</v>
      </c>
      <c r="K656" s="8" t="s">
        <v>5068</v>
      </c>
      <c r="L656" s="4" t="s">
        <v>5069</v>
      </c>
      <c r="M656" s="4">
        <v>62.00138503</v>
      </c>
      <c r="N656" s="5">
        <v>59.80557806</v>
      </c>
      <c r="O656" s="5" t="s">
        <v>5070</v>
      </c>
      <c r="P656" s="9">
        <v>9082026.0</v>
      </c>
      <c r="Q656" s="7" t="str">
        <f>IF(OR(ISBLANK(M656), ISBLANK(N656)), "", IF(N656 &lt; Sheet3!$B$6, "Insufficient Reviews", IF(M656 &gt;= Sheet3!$B$2, "Highly Reliable", IF(M656 &gt;= Sheet3!$B$3, "Reliable", IF(M656 &gt;= Sheet3!$B$4, "Mixed Reviews", "Low Reliability")))))</f>
        <v>Mixed Reviews</v>
      </c>
    </row>
    <row r="657">
      <c r="A657" s="3">
        <f t="shared" si="1"/>
        <v>656</v>
      </c>
      <c r="B657" s="4" t="s">
        <v>5071</v>
      </c>
      <c r="C657" s="5">
        <v>39.355678</v>
      </c>
      <c r="D657" s="5">
        <v>-76.5613536</v>
      </c>
      <c r="E657" s="4" t="s">
        <v>5072</v>
      </c>
      <c r="F657" s="4" t="s">
        <v>5073</v>
      </c>
      <c r="G657" s="14"/>
      <c r="H657" s="14"/>
      <c r="I657" s="4" t="s">
        <v>81</v>
      </c>
      <c r="J657" s="4" t="s">
        <v>5074</v>
      </c>
      <c r="K657" s="8" t="s">
        <v>5075</v>
      </c>
      <c r="L657" s="4" t="s">
        <v>5076</v>
      </c>
      <c r="M657" s="4">
        <v>10.5</v>
      </c>
      <c r="N657" s="5">
        <v>32.76333333</v>
      </c>
      <c r="O657" s="5" t="s">
        <v>4498</v>
      </c>
      <c r="P657" s="9">
        <v>9082026.0</v>
      </c>
      <c r="Q657" s="7" t="str">
        <f>IF(OR(ISBLANK(M657), ISBLANK(N657)), "", IF(N657 &lt; Sheet3!$B$6, "Insufficient Reviews", IF(M657 &gt;= Sheet3!$B$2, "Highly Reliable", IF(M657 &gt;= Sheet3!$B$3, "Reliable", IF(M657 &gt;= Sheet3!$B$4, "Mixed Reviews", "Low Reliability")))))</f>
        <v>Insufficient Reviews</v>
      </c>
    </row>
    <row r="658">
      <c r="A658" s="3">
        <f t="shared" si="1"/>
        <v>657</v>
      </c>
      <c r="B658" s="4" t="s">
        <v>5077</v>
      </c>
      <c r="C658" s="5">
        <v>39.3297735</v>
      </c>
      <c r="D658" s="5">
        <v>-76.6005106</v>
      </c>
      <c r="E658" s="4" t="s">
        <v>5078</v>
      </c>
      <c r="F658" s="4" t="s">
        <v>5079</v>
      </c>
      <c r="G658" s="4" t="s">
        <v>4814</v>
      </c>
      <c r="H658" s="4" t="s">
        <v>312</v>
      </c>
      <c r="I658" s="4" t="s">
        <v>81</v>
      </c>
      <c r="J658" s="4" t="s">
        <v>5080</v>
      </c>
      <c r="K658" s="8" t="s">
        <v>5081</v>
      </c>
      <c r="L658" s="4" t="s">
        <v>5082</v>
      </c>
      <c r="M658" s="4">
        <v>81.81438492</v>
      </c>
      <c r="N658" s="5">
        <v>61.07366696</v>
      </c>
      <c r="O658" s="5" t="s">
        <v>5083</v>
      </c>
      <c r="P658" s="9">
        <v>9082026.0</v>
      </c>
      <c r="Q658" s="7" t="str">
        <f>IF(OR(ISBLANK(M658), ISBLANK(N658)), "", IF(N658 &lt; Sheet3!$B$6, "Insufficient Reviews", IF(M658 &gt;= Sheet3!$B$2, "Highly Reliable", IF(M658 &gt;= Sheet3!$B$3, "Reliable", IF(M658 &gt;= Sheet3!$B$4, "Mixed Reviews", "Low Reliability")))))</f>
        <v>Reliable</v>
      </c>
    </row>
    <row r="659">
      <c r="A659" s="3">
        <f t="shared" si="1"/>
        <v>658</v>
      </c>
      <c r="B659" s="4" t="s">
        <v>5084</v>
      </c>
      <c r="C659" s="5">
        <v>39.3769581</v>
      </c>
      <c r="D659" s="5">
        <v>-76.7284315</v>
      </c>
      <c r="E659" s="4" t="s">
        <v>5085</v>
      </c>
      <c r="F659" s="4" t="s">
        <v>5086</v>
      </c>
      <c r="G659" s="4" t="s">
        <v>5087</v>
      </c>
      <c r="H659" s="4" t="s">
        <v>5088</v>
      </c>
      <c r="I659" s="4" t="s">
        <v>81</v>
      </c>
      <c r="J659" s="4" t="s">
        <v>5089</v>
      </c>
      <c r="K659" s="8" t="s">
        <v>5090</v>
      </c>
      <c r="L659" s="4" t="s">
        <v>5091</v>
      </c>
      <c r="M659" s="4">
        <v>64.5</v>
      </c>
      <c r="N659" s="5">
        <v>42.6622636</v>
      </c>
      <c r="O659" s="5" t="s">
        <v>5092</v>
      </c>
      <c r="P659" s="9">
        <v>9082026.0</v>
      </c>
      <c r="Q659" s="7" t="str">
        <f>IF(OR(ISBLANK(M659), ISBLANK(N659)), "", IF(N659 &lt; Sheet3!$B$6, "Insufficient Reviews", IF(M659 &gt;= Sheet3!$B$2, "Highly Reliable", IF(M659 &gt;= Sheet3!$B$3, "Reliable", IF(M659 &gt;= Sheet3!$B$4, "Mixed Reviews", "Low Reliability")))))</f>
        <v>Mixed Reviews</v>
      </c>
    </row>
    <row r="660">
      <c r="A660" s="3">
        <f t="shared" si="1"/>
        <v>659</v>
      </c>
      <c r="B660" s="4" t="s">
        <v>5093</v>
      </c>
      <c r="C660" s="5">
        <v>39.3780287</v>
      </c>
      <c r="D660" s="5">
        <v>-76.7228933</v>
      </c>
      <c r="E660" s="4" t="s">
        <v>5094</v>
      </c>
      <c r="F660" s="4" t="s">
        <v>5095</v>
      </c>
      <c r="G660" s="4" t="s">
        <v>5096</v>
      </c>
      <c r="H660" s="4" t="s">
        <v>5088</v>
      </c>
      <c r="I660" s="4" t="s">
        <v>81</v>
      </c>
      <c r="J660" s="4" t="s">
        <v>5097</v>
      </c>
      <c r="K660" s="8" t="s">
        <v>5098</v>
      </c>
      <c r="L660" s="4" t="s">
        <v>5099</v>
      </c>
      <c r="M660" s="4">
        <v>83.49556697</v>
      </c>
      <c r="N660" s="5">
        <v>61.7678659</v>
      </c>
      <c r="O660" s="5" t="s">
        <v>5100</v>
      </c>
      <c r="P660" s="9">
        <v>9082026.0</v>
      </c>
      <c r="Q660" s="7" t="str">
        <f>IF(OR(ISBLANK(M660), ISBLANK(N660)), "", IF(N660 &lt; Sheet3!$B$6, "Insufficient Reviews", IF(M660 &gt;= Sheet3!$B$2, "Highly Reliable", IF(M660 &gt;= Sheet3!$B$3, "Reliable", IF(M660 &gt;= Sheet3!$B$4, "Mixed Reviews", "Low Reliability")))))</f>
        <v>Highly Reliable</v>
      </c>
    </row>
    <row r="661">
      <c r="A661" s="3">
        <f t="shared" si="1"/>
        <v>660</v>
      </c>
      <c r="B661" s="4" t="s">
        <v>5101</v>
      </c>
      <c r="C661" s="5">
        <v>39.35424</v>
      </c>
      <c r="D661" s="5">
        <v>-76.6859241</v>
      </c>
      <c r="E661" s="4" t="s">
        <v>5102</v>
      </c>
      <c r="F661" s="4" t="s">
        <v>5103</v>
      </c>
      <c r="G661" s="4" t="s">
        <v>5104</v>
      </c>
      <c r="H661" s="4" t="s">
        <v>5105</v>
      </c>
      <c r="I661" s="4" t="s">
        <v>81</v>
      </c>
      <c r="J661" s="4" t="s">
        <v>5106</v>
      </c>
      <c r="K661" s="8" t="s">
        <v>5107</v>
      </c>
      <c r="L661" s="4" t="s">
        <v>5108</v>
      </c>
      <c r="M661" s="4">
        <v>81.20427992</v>
      </c>
      <c r="N661" s="5">
        <v>64.25096445</v>
      </c>
      <c r="O661" s="5" t="s">
        <v>5109</v>
      </c>
      <c r="P661" s="9">
        <v>9082026.0</v>
      </c>
      <c r="Q661" s="7" t="str">
        <f>IF(OR(ISBLANK(M661), ISBLANK(N661)), "", IF(N661 &lt; Sheet3!$B$6, "Insufficient Reviews", IF(M661 &gt;= Sheet3!$B$2, "Highly Reliable", IF(M661 &gt;= Sheet3!$B$3, "Reliable", IF(M661 &gt;= Sheet3!$B$4, "Mixed Reviews", "Low Reliability")))))</f>
        <v>Reliable</v>
      </c>
    </row>
    <row r="662">
      <c r="A662" s="3">
        <f t="shared" si="1"/>
        <v>661</v>
      </c>
      <c r="B662" s="4" t="s">
        <v>5110</v>
      </c>
      <c r="C662" s="5">
        <v>39.3591144</v>
      </c>
      <c r="D662" s="5">
        <v>-76.6970743</v>
      </c>
      <c r="E662" s="4" t="s">
        <v>5111</v>
      </c>
      <c r="F662" s="4" t="s">
        <v>5112</v>
      </c>
      <c r="G662" s="4" t="s">
        <v>5113</v>
      </c>
      <c r="H662" s="4" t="s">
        <v>126</v>
      </c>
      <c r="I662" s="4" t="s">
        <v>81</v>
      </c>
      <c r="J662" s="4" t="s">
        <v>5114</v>
      </c>
      <c r="K662" s="8" t="s">
        <v>5115</v>
      </c>
      <c r="L662" s="4" t="s">
        <v>5116</v>
      </c>
      <c r="M662" s="4">
        <v>64.98704463</v>
      </c>
      <c r="N662" s="5">
        <v>59.54847441</v>
      </c>
      <c r="O662" s="5" t="s">
        <v>5117</v>
      </c>
      <c r="P662" s="9">
        <v>9082026.0</v>
      </c>
      <c r="Q662" s="7" t="str">
        <f>IF(OR(ISBLANK(M662), ISBLANK(N662)), "", IF(N662 &lt; Sheet3!$B$6, "Insufficient Reviews", IF(M662 &gt;= Sheet3!$B$2, "Highly Reliable", IF(M662 &gt;= Sheet3!$B$3, "Reliable", IF(M662 &gt;= Sheet3!$B$4, "Mixed Reviews", "Low Reliability")))))</f>
        <v>Mixed Reviews</v>
      </c>
    </row>
    <row r="663">
      <c r="A663" s="3">
        <f t="shared" si="1"/>
        <v>662</v>
      </c>
      <c r="B663" s="4" t="s">
        <v>5118</v>
      </c>
      <c r="C663" s="5">
        <v>39.3575632</v>
      </c>
      <c r="D663" s="5">
        <v>-76.6966715</v>
      </c>
      <c r="E663" s="4" t="s">
        <v>5119</v>
      </c>
      <c r="F663" s="4" t="s">
        <v>5120</v>
      </c>
      <c r="G663" s="4" t="s">
        <v>5121</v>
      </c>
      <c r="H663" s="4" t="s">
        <v>5088</v>
      </c>
      <c r="I663" s="4" t="s">
        <v>81</v>
      </c>
      <c r="J663" s="4" t="s">
        <v>5122</v>
      </c>
      <c r="K663" s="8" t="s">
        <v>5115</v>
      </c>
      <c r="L663" s="4" t="s">
        <v>5123</v>
      </c>
      <c r="M663" s="4">
        <v>73.58275653</v>
      </c>
      <c r="N663" s="5">
        <v>49.86592507</v>
      </c>
      <c r="O663" s="5" t="s">
        <v>5124</v>
      </c>
      <c r="P663" s="9">
        <v>9082026.0</v>
      </c>
      <c r="Q663" s="7" t="str">
        <f>IF(OR(ISBLANK(M663), ISBLANK(N663)), "", IF(N663 &lt; Sheet3!$B$6, "Insufficient Reviews", IF(M663 &gt;= Sheet3!$B$2, "Highly Reliable", IF(M663 &gt;= Sheet3!$B$3, "Reliable", IF(M663 &gt;= Sheet3!$B$4, "Mixed Reviews", "Low Reliability")))))</f>
        <v>Reliable</v>
      </c>
    </row>
    <row r="664">
      <c r="A664" s="3">
        <f t="shared" si="1"/>
        <v>663</v>
      </c>
      <c r="B664" s="4" t="s">
        <v>5125</v>
      </c>
      <c r="C664" s="5">
        <v>39.3536497</v>
      </c>
      <c r="D664" s="5">
        <v>-76.6669444</v>
      </c>
      <c r="E664" s="4" t="s">
        <v>5126</v>
      </c>
      <c r="F664" s="4" t="s">
        <v>5127</v>
      </c>
      <c r="G664" s="4" t="s">
        <v>5128</v>
      </c>
      <c r="H664" s="4" t="s">
        <v>5129</v>
      </c>
      <c r="I664" s="4" t="s">
        <v>81</v>
      </c>
      <c r="J664" s="4" t="s">
        <v>5130</v>
      </c>
      <c r="K664" s="8" t="s">
        <v>5131</v>
      </c>
      <c r="L664" s="4" t="s">
        <v>5132</v>
      </c>
      <c r="M664" s="4">
        <v>68.29358589</v>
      </c>
      <c r="N664" s="5">
        <v>58.20117974</v>
      </c>
      <c r="O664" s="5" t="s">
        <v>5133</v>
      </c>
      <c r="P664" s="9">
        <v>9082026.0</v>
      </c>
      <c r="Q664" s="7" t="str">
        <f>IF(OR(ISBLANK(M664), ISBLANK(N664)), "", IF(N664 &lt; Sheet3!$B$6, "Insufficient Reviews", IF(M664 &gt;= Sheet3!$B$2, "Highly Reliable", IF(M664 &gt;= Sheet3!$B$3, "Reliable", IF(M664 &gt;= Sheet3!$B$4, "Mixed Reviews", "Low Reliability")))))</f>
        <v>Mixed Reviews</v>
      </c>
    </row>
    <row r="665">
      <c r="A665" s="3">
        <f t="shared" si="1"/>
        <v>664</v>
      </c>
      <c r="B665" s="4" t="s">
        <v>5134</v>
      </c>
      <c r="C665" s="5">
        <v>39.3769697</v>
      </c>
      <c r="D665" s="5">
        <v>-76.7276403</v>
      </c>
      <c r="E665" s="4" t="s">
        <v>5135</v>
      </c>
      <c r="F665" s="4" t="s">
        <v>5136</v>
      </c>
      <c r="G665" s="14"/>
      <c r="H665" s="4" t="s">
        <v>5088</v>
      </c>
      <c r="I665" s="4" t="s">
        <v>81</v>
      </c>
      <c r="J665" s="4" t="s">
        <v>5137</v>
      </c>
      <c r="K665" s="8" t="s">
        <v>5090</v>
      </c>
      <c r="L665" s="4" t="s">
        <v>5138</v>
      </c>
      <c r="M665" s="4">
        <v>86.59554879</v>
      </c>
      <c r="N665" s="5">
        <v>54.9632005</v>
      </c>
      <c r="O665" s="5" t="s">
        <v>5139</v>
      </c>
      <c r="P665" s="9">
        <v>9082026.0</v>
      </c>
      <c r="Q665" s="7" t="str">
        <f>IF(OR(ISBLANK(M665), ISBLANK(N665)), "", IF(N665 &lt; Sheet3!$B$6, "Insufficient Reviews", IF(M665 &gt;= Sheet3!$B$2, "Highly Reliable", IF(M665 &gt;= Sheet3!$B$3, "Reliable", IF(M665 &gt;= Sheet3!$B$4, "Mixed Reviews", "Low Reliability")))))</f>
        <v>Highly Reliable</v>
      </c>
    </row>
    <row r="666">
      <c r="A666" s="3">
        <f t="shared" si="1"/>
        <v>665</v>
      </c>
      <c r="B666" s="4" t="s">
        <v>5140</v>
      </c>
      <c r="C666" s="5">
        <v>39.449252</v>
      </c>
      <c r="D666" s="5">
        <v>-76.7693083</v>
      </c>
      <c r="E666" s="4" t="s">
        <v>5141</v>
      </c>
      <c r="F666" s="4" t="s">
        <v>5142</v>
      </c>
      <c r="G666" s="4" t="s">
        <v>5143</v>
      </c>
      <c r="H666" s="4" t="s">
        <v>5088</v>
      </c>
      <c r="I666" s="4" t="s">
        <v>81</v>
      </c>
      <c r="J666" s="4" t="s">
        <v>5144</v>
      </c>
      <c r="K666" s="8" t="s">
        <v>5145</v>
      </c>
      <c r="L666" s="4" t="s">
        <v>5146</v>
      </c>
      <c r="M666" s="4">
        <v>49.61107617</v>
      </c>
      <c r="N666" s="5">
        <v>54.12357603</v>
      </c>
      <c r="O666" s="5" t="s">
        <v>5147</v>
      </c>
      <c r="P666" s="9">
        <v>9082026.0</v>
      </c>
      <c r="Q666" s="7" t="str">
        <f>IF(OR(ISBLANK(M666), ISBLANK(N666)), "", IF(N666 &lt; Sheet3!$B$6, "Insufficient Reviews", IF(M666 &gt;= Sheet3!$B$2, "Highly Reliable", IF(M666 &gt;= Sheet3!$B$3, "Reliable", IF(M666 &gt;= Sheet3!$B$4, "Mixed Reviews", "Low Reliability")))))</f>
        <v>Low Reliability</v>
      </c>
    </row>
    <row r="667">
      <c r="A667" s="3">
        <f t="shared" si="1"/>
        <v>666</v>
      </c>
      <c r="B667" s="4" t="s">
        <v>5148</v>
      </c>
      <c r="C667" s="5">
        <v>39.3685951</v>
      </c>
      <c r="D667" s="5">
        <v>-76.693634</v>
      </c>
      <c r="E667" s="4" t="s">
        <v>5149</v>
      </c>
      <c r="F667" s="4" t="s">
        <v>5150</v>
      </c>
      <c r="G667" s="4" t="s">
        <v>5151</v>
      </c>
      <c r="H667" s="4" t="s">
        <v>5105</v>
      </c>
      <c r="I667" s="4" t="s">
        <v>81</v>
      </c>
      <c r="J667" s="4" t="s">
        <v>5152</v>
      </c>
      <c r="K667" s="8" t="s">
        <v>5153</v>
      </c>
      <c r="L667" s="4" t="s">
        <v>5154</v>
      </c>
      <c r="M667" s="4">
        <v>82.97352514</v>
      </c>
      <c r="N667" s="5">
        <v>55.43067546</v>
      </c>
      <c r="O667" s="5" t="s">
        <v>5155</v>
      </c>
      <c r="P667" s="9">
        <v>9082026.0</v>
      </c>
      <c r="Q667" s="7" t="str">
        <f>IF(OR(ISBLANK(M667), ISBLANK(N667)), "", IF(N667 &lt; Sheet3!$B$6, "Insufficient Reviews", IF(M667 &gt;= Sheet3!$B$2, "Highly Reliable", IF(M667 &gt;= Sheet3!$B$3, "Reliable", IF(M667 &gt;= Sheet3!$B$4, "Mixed Reviews", "Low Reliability")))))</f>
        <v>Highly Reliable</v>
      </c>
    </row>
    <row r="668">
      <c r="A668" s="3">
        <f t="shared" si="1"/>
        <v>667</v>
      </c>
      <c r="B668" s="4" t="s">
        <v>5156</v>
      </c>
      <c r="C668" s="5">
        <v>39.3077401</v>
      </c>
      <c r="D668" s="5">
        <v>-76.4781615</v>
      </c>
      <c r="E668" s="4" t="s">
        <v>5157</v>
      </c>
      <c r="F668" s="4" t="s">
        <v>5158</v>
      </c>
      <c r="G668" s="4" t="s">
        <v>5159</v>
      </c>
      <c r="H668" s="4" t="s">
        <v>80</v>
      </c>
      <c r="I668" s="4" t="s">
        <v>91</v>
      </c>
      <c r="J668" s="4" t="s">
        <v>5160</v>
      </c>
      <c r="K668" s="8" t="s">
        <v>5161</v>
      </c>
      <c r="L668" s="4" t="s">
        <v>5162</v>
      </c>
      <c r="M668" s="4">
        <v>76.84418497</v>
      </c>
      <c r="N668" s="5">
        <v>65.44759574</v>
      </c>
      <c r="O668" s="5" t="s">
        <v>5163</v>
      </c>
      <c r="P668" s="9">
        <v>9082026.0</v>
      </c>
      <c r="Q668" s="7" t="str">
        <f>IF(OR(ISBLANK(M668), ISBLANK(N668)), "", IF(N668 &lt; Sheet3!$B$6, "Insufficient Reviews", IF(M668 &gt;= Sheet3!$B$2, "Highly Reliable", IF(M668 &gt;= Sheet3!$B$3, "Reliable", IF(M668 &gt;= Sheet3!$B$4, "Mixed Reviews", "Low Reliability")))))</f>
        <v>Reliable</v>
      </c>
    </row>
    <row r="669">
      <c r="A669" s="3">
        <f t="shared" si="1"/>
        <v>668</v>
      </c>
      <c r="B669" s="4" t="s">
        <v>5164</v>
      </c>
      <c r="C669" s="5">
        <v>39.3792227</v>
      </c>
      <c r="D669" s="5">
        <v>-76.5786781</v>
      </c>
      <c r="E669" s="4" t="s">
        <v>5165</v>
      </c>
      <c r="F669" s="4" t="s">
        <v>5166</v>
      </c>
      <c r="G669" s="4" t="s">
        <v>5167</v>
      </c>
      <c r="H669" s="4" t="s">
        <v>5168</v>
      </c>
      <c r="I669" s="4" t="s">
        <v>81</v>
      </c>
      <c r="J669" s="4" t="s">
        <v>5169</v>
      </c>
      <c r="K669" s="8" t="s">
        <v>5170</v>
      </c>
      <c r="L669" s="4" t="s">
        <v>5171</v>
      </c>
      <c r="M669" s="4">
        <v>83.77201152</v>
      </c>
      <c r="N669" s="5">
        <v>53.06084232</v>
      </c>
      <c r="O669" s="5" t="s">
        <v>5172</v>
      </c>
      <c r="P669" s="9">
        <v>9082026.0</v>
      </c>
      <c r="Q669" s="7" t="str">
        <f>IF(OR(ISBLANK(M669), ISBLANK(N669)), "", IF(N669 &lt; Sheet3!$B$6, "Insufficient Reviews", IF(M669 &gt;= Sheet3!$B$2, "Highly Reliable", IF(M669 &gt;= Sheet3!$B$3, "Reliable", IF(M669 &gt;= Sheet3!$B$4, "Mixed Reviews", "Low Reliability")))))</f>
        <v>Highly Reliable</v>
      </c>
    </row>
    <row r="670">
      <c r="A670" s="3">
        <f t="shared" si="1"/>
        <v>669</v>
      </c>
      <c r="B670" s="4" t="s">
        <v>5173</v>
      </c>
      <c r="C670" s="5">
        <v>39.283244</v>
      </c>
      <c r="D670" s="5">
        <v>-76.7015546</v>
      </c>
      <c r="E670" s="4" t="s">
        <v>5174</v>
      </c>
      <c r="F670" s="4" t="s">
        <v>5175</v>
      </c>
      <c r="G670" s="4"/>
      <c r="H670" s="4" t="s">
        <v>135</v>
      </c>
      <c r="I670" s="4" t="s">
        <v>91</v>
      </c>
      <c r="J670" s="4" t="s">
        <v>5176</v>
      </c>
      <c r="K670" s="8" t="s">
        <v>5177</v>
      </c>
      <c r="L670" s="4" t="s">
        <v>5178</v>
      </c>
      <c r="M670" s="4">
        <v>81.85887311</v>
      </c>
      <c r="N670" s="5">
        <v>75.18991861</v>
      </c>
      <c r="O670" s="5" t="s">
        <v>5179</v>
      </c>
      <c r="P670" s="9">
        <v>9082026.0</v>
      </c>
      <c r="Q670" s="7" t="str">
        <f>IF(OR(ISBLANK(M670), ISBLANK(N670)), "", IF(N670 &lt; Sheet3!$B$6, "Insufficient Reviews", IF(M670 &gt;= Sheet3!$B$2, "Highly Reliable", IF(M670 &gt;= Sheet3!$B$3, "Reliable", IF(M670 &gt;= Sheet3!$B$4, "Mixed Reviews", "Low Reliability")))))</f>
        <v>Reliable</v>
      </c>
    </row>
    <row r="671">
      <c r="A671" s="3">
        <f t="shared" si="1"/>
        <v>670</v>
      </c>
      <c r="B671" s="4" t="s">
        <v>5180</v>
      </c>
      <c r="C671" s="5">
        <v>39.296167</v>
      </c>
      <c r="D671" s="5">
        <v>-76.6159658</v>
      </c>
      <c r="E671" s="4" t="s">
        <v>5181</v>
      </c>
      <c r="F671" s="4" t="s">
        <v>5182</v>
      </c>
      <c r="G671" s="4" t="s">
        <v>5183</v>
      </c>
      <c r="H671" s="4" t="s">
        <v>1199</v>
      </c>
      <c r="I671" s="4" t="s">
        <v>81</v>
      </c>
      <c r="J671" s="4" t="s">
        <v>5184</v>
      </c>
      <c r="K671" s="8" t="s">
        <v>5185</v>
      </c>
      <c r="L671" s="4" t="s">
        <v>5186</v>
      </c>
      <c r="M671" s="4">
        <v>72.74232785</v>
      </c>
      <c r="N671" s="5">
        <v>90.79490382</v>
      </c>
      <c r="O671" s="5" t="s">
        <v>5187</v>
      </c>
      <c r="P671" s="9">
        <v>9082026.0</v>
      </c>
      <c r="Q671" s="7" t="str">
        <f>IF(OR(ISBLANK(M671), ISBLANK(N671)), "", IF(N671 &lt; Sheet3!$B$6, "Insufficient Reviews", IF(M671 &gt;= Sheet3!$B$2, "Highly Reliable", IF(M671 &gt;= Sheet3!$B$3, "Reliable", IF(M671 &gt;= Sheet3!$B$4, "Mixed Reviews", "Low Reliability")))))</f>
        <v>Reliable</v>
      </c>
    </row>
    <row r="672">
      <c r="A672" s="3">
        <f t="shared" si="1"/>
        <v>671</v>
      </c>
      <c r="B672" s="4" t="s">
        <v>5188</v>
      </c>
      <c r="C672" s="5">
        <v>39.3166618</v>
      </c>
      <c r="D672" s="5">
        <v>-76.7364478</v>
      </c>
      <c r="E672" s="4" t="s">
        <v>5189</v>
      </c>
      <c r="F672" s="4" t="s">
        <v>5190</v>
      </c>
      <c r="G672" s="14"/>
      <c r="H672" s="14"/>
      <c r="I672" s="4" t="s">
        <v>27</v>
      </c>
      <c r="J672" s="4" t="s">
        <v>5191</v>
      </c>
      <c r="K672" s="4"/>
      <c r="L672" s="4" t="s">
        <v>5192</v>
      </c>
      <c r="M672" s="4">
        <v>10.5</v>
      </c>
      <c r="N672" s="5">
        <v>16.23166667</v>
      </c>
      <c r="O672" s="5" t="s">
        <v>2712</v>
      </c>
      <c r="P672" s="9">
        <v>9082026.0</v>
      </c>
      <c r="Q672" s="7" t="str">
        <f>IF(OR(ISBLANK(M672), ISBLANK(N672)), "", IF(N672 &lt; Sheet3!$B$6, "Insufficient Reviews", IF(M672 &gt;= Sheet3!$B$2, "Highly Reliable", IF(M672 &gt;= Sheet3!$B$3, "Reliable", IF(M672 &gt;= Sheet3!$B$4, "Mixed Reviews", "Low Reliability")))))</f>
        <v>Insufficient Reviews</v>
      </c>
    </row>
    <row r="673">
      <c r="A673" s="3">
        <f t="shared" si="1"/>
        <v>672</v>
      </c>
      <c r="B673" s="4" t="s">
        <v>5193</v>
      </c>
      <c r="C673" s="5">
        <v>39.3229035</v>
      </c>
      <c r="D673" s="5">
        <v>-76.7259768</v>
      </c>
      <c r="E673" s="4" t="s">
        <v>5194</v>
      </c>
      <c r="F673" s="4" t="s">
        <v>5195</v>
      </c>
      <c r="G673" s="4"/>
      <c r="H673" s="4" t="s">
        <v>34</v>
      </c>
      <c r="I673" s="4" t="s">
        <v>27</v>
      </c>
      <c r="J673" s="4" t="s">
        <v>5196</v>
      </c>
      <c r="K673" s="8" t="s">
        <v>5197</v>
      </c>
      <c r="L673" s="4" t="s">
        <v>5198</v>
      </c>
      <c r="M673" s="4">
        <v>75.10251692</v>
      </c>
      <c r="N673" s="5">
        <v>67.38669819</v>
      </c>
      <c r="O673" s="5" t="s">
        <v>5199</v>
      </c>
      <c r="P673" s="9">
        <v>9082026.0</v>
      </c>
      <c r="Q673" s="7" t="str">
        <f>IF(OR(ISBLANK(M673), ISBLANK(N673)), "", IF(N673 &lt; Sheet3!$B$6, "Insufficient Reviews", IF(M673 &gt;= Sheet3!$B$2, "Highly Reliable", IF(M673 &gt;= Sheet3!$B$3, "Reliable", IF(M673 &gt;= Sheet3!$B$4, "Mixed Reviews", "Low Reliability")))))</f>
        <v>Reliable</v>
      </c>
    </row>
    <row r="674">
      <c r="A674" s="3">
        <f t="shared" si="1"/>
        <v>673</v>
      </c>
      <c r="B674" s="4" t="s">
        <v>5200</v>
      </c>
      <c r="C674" s="5">
        <v>39.3401706</v>
      </c>
      <c r="D674" s="5">
        <v>-76.6699118</v>
      </c>
      <c r="E674" s="4" t="s">
        <v>5201</v>
      </c>
      <c r="F674" s="4" t="s">
        <v>5202</v>
      </c>
      <c r="G674" s="14"/>
      <c r="H674" s="4" t="s">
        <v>1476</v>
      </c>
      <c r="I674" s="4" t="s">
        <v>27</v>
      </c>
      <c r="J674" s="4" t="s">
        <v>5203</v>
      </c>
      <c r="K674" s="4"/>
      <c r="L674" s="4" t="s">
        <v>5204</v>
      </c>
      <c r="M674" s="4">
        <v>75.46254872</v>
      </c>
      <c r="N674" s="5">
        <v>56.33909747</v>
      </c>
      <c r="O674" s="5" t="s">
        <v>5205</v>
      </c>
      <c r="P674" s="9">
        <v>9082026.0</v>
      </c>
      <c r="Q674" s="7" t="str">
        <f>IF(OR(ISBLANK(M674), ISBLANK(N674)), "", IF(N674 &lt; Sheet3!$B$6, "Insufficient Reviews", IF(M674 &gt;= Sheet3!$B$2, "Highly Reliable", IF(M674 &gt;= Sheet3!$B$3, "Reliable", IF(M674 &gt;= Sheet3!$B$4, "Mixed Reviews", "Low Reliability")))))</f>
        <v>Reliable</v>
      </c>
    </row>
    <row r="675">
      <c r="A675" s="3">
        <f t="shared" si="1"/>
        <v>674</v>
      </c>
      <c r="B675" s="4" t="s">
        <v>5206</v>
      </c>
      <c r="C675" s="5">
        <v>39.2988029</v>
      </c>
      <c r="D675" s="5">
        <v>-76.6292366</v>
      </c>
      <c r="E675" s="4" t="s">
        <v>5207</v>
      </c>
      <c r="F675" s="4" t="s">
        <v>5208</v>
      </c>
      <c r="G675" s="4" t="s">
        <v>5209</v>
      </c>
      <c r="H675" s="4" t="s">
        <v>5210</v>
      </c>
      <c r="I675" s="4" t="s">
        <v>81</v>
      </c>
      <c r="J675" s="4" t="s">
        <v>5211</v>
      </c>
      <c r="K675" s="8" t="s">
        <v>5212</v>
      </c>
      <c r="L675" s="4" t="s">
        <v>5213</v>
      </c>
      <c r="M675" s="4">
        <v>58.57122853</v>
      </c>
      <c r="N675" s="5">
        <v>53.96224502</v>
      </c>
      <c r="O675" s="5" t="s">
        <v>5214</v>
      </c>
      <c r="P675" s="9">
        <v>9082026.0</v>
      </c>
      <c r="Q675" s="7" t="str">
        <f>IF(OR(ISBLANK(M675), ISBLANK(N675)), "", IF(N675 &lt; Sheet3!$B$6, "Insufficient Reviews", IF(M675 &gt;= Sheet3!$B$2, "Highly Reliable", IF(M675 &gt;= Sheet3!$B$3, "Reliable", IF(M675 &gt;= Sheet3!$B$4, "Mixed Reviews", "Low Reliability")))))</f>
        <v>Low Reliability</v>
      </c>
    </row>
    <row r="676">
      <c r="A676" s="3">
        <f t="shared" si="1"/>
        <v>675</v>
      </c>
      <c r="B676" s="4" t="s">
        <v>5215</v>
      </c>
      <c r="C676" s="5">
        <v>39.3013165</v>
      </c>
      <c r="D676" s="5">
        <v>-76.6285038</v>
      </c>
      <c r="E676" s="4" t="s">
        <v>5216</v>
      </c>
      <c r="F676" s="4" t="s">
        <v>5217</v>
      </c>
      <c r="G676" s="14"/>
      <c r="H676" s="4" t="s">
        <v>135</v>
      </c>
      <c r="I676" s="4" t="s">
        <v>27</v>
      </c>
      <c r="J676" s="4" t="s">
        <v>5218</v>
      </c>
      <c r="K676" s="4"/>
      <c r="L676" s="4" t="s">
        <v>5219</v>
      </c>
      <c r="M676" s="4">
        <v>21.0</v>
      </c>
      <c r="N676" s="5">
        <v>21.98616797</v>
      </c>
      <c r="O676" s="5" t="s">
        <v>4698</v>
      </c>
      <c r="P676" s="9">
        <v>9082026.0</v>
      </c>
      <c r="Q676" s="7" t="str">
        <f>IF(OR(ISBLANK(M676), ISBLANK(N676)), "", IF(N676 &lt; Sheet3!$B$6, "Insufficient Reviews", IF(M676 &gt;= Sheet3!$B$2, "Highly Reliable", IF(M676 &gt;= Sheet3!$B$3, "Reliable", IF(M676 &gt;= Sheet3!$B$4, "Mixed Reviews", "Low Reliability")))))</f>
        <v>Insufficient Reviews</v>
      </c>
    </row>
    <row r="677">
      <c r="A677" s="3">
        <f t="shared" si="1"/>
        <v>676</v>
      </c>
      <c r="B677" s="4" t="s">
        <v>5220</v>
      </c>
      <c r="C677" s="5">
        <v>39.294378</v>
      </c>
      <c r="D677" s="5">
        <v>-76.6924491</v>
      </c>
      <c r="E677" s="4" t="s">
        <v>5221</v>
      </c>
      <c r="F677" s="4" t="s">
        <v>5222</v>
      </c>
      <c r="G677" s="4" t="s">
        <v>5223</v>
      </c>
      <c r="H677" s="4" t="s">
        <v>5224</v>
      </c>
      <c r="I677" s="4" t="s">
        <v>44</v>
      </c>
      <c r="J677" s="4" t="s">
        <v>5225</v>
      </c>
      <c r="K677" s="8" t="s">
        <v>5226</v>
      </c>
      <c r="L677" s="4" t="s">
        <v>5227</v>
      </c>
      <c r="M677" s="4">
        <v>71.07143239</v>
      </c>
      <c r="N677" s="5">
        <v>68.24848963</v>
      </c>
      <c r="O677" s="5" t="s">
        <v>5228</v>
      </c>
      <c r="P677" s="9">
        <v>9082026.0</v>
      </c>
      <c r="Q677" s="7" t="str">
        <f>IF(OR(ISBLANK(M677), ISBLANK(N677)), "", IF(N677 &lt; Sheet3!$B$6, "Insufficient Reviews", IF(M677 &gt;= Sheet3!$B$2, "Highly Reliable", IF(M677 &gt;= Sheet3!$B$3, "Reliable", IF(M677 &gt;= Sheet3!$B$4, "Mixed Reviews", "Low Reliability")))))</f>
        <v>Reliable</v>
      </c>
    </row>
    <row r="678">
      <c r="A678" s="3">
        <f t="shared" si="1"/>
        <v>677</v>
      </c>
      <c r="B678" s="4" t="s">
        <v>5229</v>
      </c>
      <c r="C678" s="5">
        <v>39.4029286</v>
      </c>
      <c r="D678" s="5">
        <v>-76.5622411</v>
      </c>
      <c r="E678" s="4" t="s">
        <v>5230</v>
      </c>
      <c r="F678" s="4" t="s">
        <v>5231</v>
      </c>
      <c r="G678" s="14"/>
      <c r="H678" s="4" t="s">
        <v>5232</v>
      </c>
      <c r="I678" s="4" t="s">
        <v>27</v>
      </c>
      <c r="J678" s="4" t="s">
        <v>5233</v>
      </c>
      <c r="K678" s="8" t="s">
        <v>5234</v>
      </c>
      <c r="L678" s="4" t="s">
        <v>5235</v>
      </c>
      <c r="M678" s="4">
        <v>77.72376458</v>
      </c>
      <c r="N678" s="5">
        <v>92.45383067</v>
      </c>
      <c r="O678" s="5" t="s">
        <v>5236</v>
      </c>
      <c r="P678" s="9">
        <v>9082026.0</v>
      </c>
      <c r="Q678" s="7" t="str">
        <f>IF(OR(ISBLANK(M678), ISBLANK(N678)), "", IF(N678 &lt; Sheet3!$B$6, "Insufficient Reviews", IF(M678 &gt;= Sheet3!$B$2, "Highly Reliable", IF(M678 &gt;= Sheet3!$B$3, "Reliable", IF(M678 &gt;= Sheet3!$B$4, "Mixed Reviews", "Low Reliability")))))</f>
        <v>Reliable</v>
      </c>
    </row>
    <row r="679">
      <c r="A679" s="3">
        <f t="shared" si="1"/>
        <v>678</v>
      </c>
      <c r="B679" s="4" t="s">
        <v>5237</v>
      </c>
      <c r="C679" s="5">
        <v>39.3399562</v>
      </c>
      <c r="D679" s="5">
        <v>-76.5830983</v>
      </c>
      <c r="E679" s="4" t="s">
        <v>5238</v>
      </c>
      <c r="F679" s="4" t="s">
        <v>5239</v>
      </c>
      <c r="G679" s="4"/>
      <c r="H679" s="4" t="s">
        <v>62</v>
      </c>
      <c r="I679" s="4" t="s">
        <v>180</v>
      </c>
      <c r="J679" s="4" t="s">
        <v>5240</v>
      </c>
      <c r="K679" s="8" t="s">
        <v>5241</v>
      </c>
      <c r="L679" s="4" t="s">
        <v>5242</v>
      </c>
      <c r="M679" s="4">
        <v>60.12635283</v>
      </c>
      <c r="N679" s="5">
        <v>89.66210272</v>
      </c>
      <c r="O679" s="5" t="s">
        <v>5243</v>
      </c>
      <c r="P679" s="9">
        <v>9082026.0</v>
      </c>
      <c r="Q679" s="7" t="str">
        <f>IF(OR(ISBLANK(M679), ISBLANK(N679)), "", IF(N679 &lt; Sheet3!$B$6, "Insufficient Reviews", IF(M679 &gt;= Sheet3!$B$2, "Highly Reliable", IF(M679 &gt;= Sheet3!$B$3, "Reliable", IF(M679 &gt;= Sheet3!$B$4, "Mixed Reviews", "Low Reliability")))))</f>
        <v>Mixed Reviews</v>
      </c>
    </row>
    <row r="680">
      <c r="A680" s="3">
        <f t="shared" si="1"/>
        <v>679</v>
      </c>
      <c r="B680" s="4" t="s">
        <v>5244</v>
      </c>
      <c r="C680" s="5">
        <v>39.2939634</v>
      </c>
      <c r="D680" s="5">
        <v>-76.6175466</v>
      </c>
      <c r="E680" s="4" t="s">
        <v>5245</v>
      </c>
      <c r="F680" s="4" t="s">
        <v>5246</v>
      </c>
      <c r="G680" s="4"/>
      <c r="H680" s="4" t="s">
        <v>26</v>
      </c>
      <c r="I680" s="4" t="s">
        <v>35</v>
      </c>
      <c r="J680" s="4" t="s">
        <v>5247</v>
      </c>
      <c r="K680" s="8" t="s">
        <v>197</v>
      </c>
      <c r="L680" s="4" t="s">
        <v>5248</v>
      </c>
      <c r="M680" s="4">
        <v>63.36450721</v>
      </c>
      <c r="N680" s="5">
        <v>56.45865703</v>
      </c>
      <c r="O680" s="5" t="s">
        <v>5249</v>
      </c>
      <c r="P680" s="9">
        <v>9082026.0</v>
      </c>
      <c r="Q680" s="7" t="str">
        <f>IF(OR(ISBLANK(M680), ISBLANK(N680)), "", IF(N680 &lt; Sheet3!$B$6, "Insufficient Reviews", IF(M680 &gt;= Sheet3!$B$2, "Highly Reliable", IF(M680 &gt;= Sheet3!$B$3, "Reliable", IF(M680 &gt;= Sheet3!$B$4, "Mixed Reviews", "Low Reliability")))))</f>
        <v>Mixed Reviews</v>
      </c>
    </row>
    <row r="681">
      <c r="A681" s="3">
        <f t="shared" si="1"/>
        <v>680</v>
      </c>
      <c r="B681" s="4" t="s">
        <v>5250</v>
      </c>
      <c r="C681" s="5">
        <v>39.293697</v>
      </c>
      <c r="D681" s="5">
        <v>-76.60626</v>
      </c>
      <c r="E681" s="4" t="s">
        <v>5251</v>
      </c>
      <c r="F681" s="4" t="s">
        <v>5252</v>
      </c>
      <c r="G681" s="4"/>
      <c r="H681" s="4" t="s">
        <v>5253</v>
      </c>
      <c r="I681" s="4" t="s">
        <v>81</v>
      </c>
      <c r="J681" s="4" t="s">
        <v>5254</v>
      </c>
      <c r="K681" s="8" t="s">
        <v>5255</v>
      </c>
      <c r="L681" s="4" t="s">
        <v>5256</v>
      </c>
      <c r="M681" s="4">
        <v>82.65925243</v>
      </c>
      <c r="N681" s="5">
        <v>94.79303186</v>
      </c>
      <c r="O681" s="5" t="s">
        <v>5257</v>
      </c>
      <c r="P681" s="9">
        <v>9082026.0</v>
      </c>
      <c r="Q681" s="7" t="str">
        <f>IF(OR(ISBLANK(M681), ISBLANK(N681)), "", IF(N681 &lt; Sheet3!$B$6, "Insufficient Reviews", IF(M681 &gt;= Sheet3!$B$2, "Highly Reliable", IF(M681 &gt;= Sheet3!$B$3, "Reliable", IF(M681 &gt;= Sheet3!$B$4, "Mixed Reviews", "Low Reliability")))))</f>
        <v>Highly Reliable</v>
      </c>
    </row>
    <row r="682">
      <c r="A682" s="3">
        <f t="shared" si="1"/>
        <v>681</v>
      </c>
      <c r="B682" s="4" t="s">
        <v>5258</v>
      </c>
      <c r="C682" s="5">
        <v>39.2904186</v>
      </c>
      <c r="D682" s="5">
        <v>-76.6020771</v>
      </c>
      <c r="E682" s="4" t="s">
        <v>5259</v>
      </c>
      <c r="F682" s="4" t="s">
        <v>5260</v>
      </c>
      <c r="G682" s="14"/>
      <c r="H682" s="4" t="s">
        <v>1869</v>
      </c>
      <c r="I682" s="4" t="s">
        <v>81</v>
      </c>
      <c r="J682" s="4" t="s">
        <v>5261</v>
      </c>
      <c r="K682" s="8" t="s">
        <v>5262</v>
      </c>
      <c r="L682" s="4" t="s">
        <v>5263</v>
      </c>
      <c r="M682" s="4">
        <v>76.40913021</v>
      </c>
      <c r="N682" s="5">
        <v>91.74704451</v>
      </c>
      <c r="O682" s="5" t="s">
        <v>5264</v>
      </c>
      <c r="P682" s="9">
        <v>9082026.0</v>
      </c>
      <c r="Q682" s="7" t="str">
        <f>IF(OR(ISBLANK(M682), ISBLANK(N682)), "", IF(N682 &lt; Sheet3!$B$6, "Insufficient Reviews", IF(M682 &gt;= Sheet3!$B$2, "Highly Reliable", IF(M682 &gt;= Sheet3!$B$3, "Reliable", IF(M682 &gt;= Sheet3!$B$4, "Mixed Reviews", "Low Reliability")))))</f>
        <v>Reliable</v>
      </c>
    </row>
    <row r="683">
      <c r="A683" s="3">
        <f t="shared" si="1"/>
        <v>682</v>
      </c>
      <c r="B683" s="4" t="s">
        <v>5265</v>
      </c>
      <c r="C683" s="5">
        <v>39.2917782</v>
      </c>
      <c r="D683" s="5">
        <v>-76.5999081</v>
      </c>
      <c r="E683" s="4" t="s">
        <v>5266</v>
      </c>
      <c r="F683" s="4" t="s">
        <v>5267</v>
      </c>
      <c r="G683" s="4" t="s">
        <v>5268</v>
      </c>
      <c r="H683" s="4" t="s">
        <v>5269</v>
      </c>
      <c r="I683" s="4" t="s">
        <v>81</v>
      </c>
      <c r="J683" s="4" t="s">
        <v>5270</v>
      </c>
      <c r="K683" s="8" t="s">
        <v>5271</v>
      </c>
      <c r="L683" s="4" t="s">
        <v>5272</v>
      </c>
      <c r="M683" s="4">
        <v>72.29976139</v>
      </c>
      <c r="N683" s="5">
        <v>91.94218843</v>
      </c>
      <c r="O683" s="5" t="s">
        <v>5273</v>
      </c>
      <c r="P683" s="9">
        <v>9082026.0</v>
      </c>
      <c r="Q683" s="7" t="str">
        <f>IF(OR(ISBLANK(M683), ISBLANK(N683)), "", IF(N683 &lt; Sheet3!$B$6, "Insufficient Reviews", IF(M683 &gt;= Sheet3!$B$2, "Highly Reliable", IF(M683 &gt;= Sheet3!$B$3, "Reliable", IF(M683 &gt;= Sheet3!$B$4, "Mixed Reviews", "Low Reliability")))))</f>
        <v>Reliable</v>
      </c>
    </row>
    <row r="684">
      <c r="A684" s="3">
        <f t="shared" si="1"/>
        <v>683</v>
      </c>
      <c r="B684" s="4" t="s">
        <v>5274</v>
      </c>
      <c r="C684" s="5">
        <v>39.2337168</v>
      </c>
      <c r="D684" s="5">
        <v>-76.5981817</v>
      </c>
      <c r="E684" s="4" t="s">
        <v>1130</v>
      </c>
      <c r="F684" s="4" t="s">
        <v>5275</v>
      </c>
      <c r="G684" s="4" t="s">
        <v>5276</v>
      </c>
      <c r="H684" s="4" t="s">
        <v>5277</v>
      </c>
      <c r="I684" s="4" t="s">
        <v>35</v>
      </c>
      <c r="J684" s="4" t="s">
        <v>5278</v>
      </c>
      <c r="K684" s="8" t="s">
        <v>5279</v>
      </c>
      <c r="L684" s="4" t="s">
        <v>5280</v>
      </c>
      <c r="M684" s="4">
        <v>73.42360828</v>
      </c>
      <c r="N684" s="5">
        <v>58.90009569</v>
      </c>
      <c r="O684" s="5" t="s">
        <v>5281</v>
      </c>
      <c r="P684" s="9">
        <v>9082026.0</v>
      </c>
      <c r="Q684" s="7" t="str">
        <f>IF(OR(ISBLANK(M684), ISBLANK(N684)), "", IF(N684 &lt; Sheet3!$B$6, "Insufficient Reviews", IF(M684 &gt;= Sheet3!$B$2, "Highly Reliable", IF(M684 &gt;= Sheet3!$B$3, "Reliable", IF(M684 &gt;= Sheet3!$B$4, "Mixed Reviews", "Low Reliability")))))</f>
        <v>Reliable</v>
      </c>
    </row>
    <row r="685">
      <c r="A685" s="3">
        <f t="shared" si="1"/>
        <v>684</v>
      </c>
      <c r="B685" s="4" t="s">
        <v>5282</v>
      </c>
      <c r="C685" s="5">
        <v>39.2570075</v>
      </c>
      <c r="D685" s="5">
        <v>-76.5210952</v>
      </c>
      <c r="E685" s="4" t="s">
        <v>5283</v>
      </c>
      <c r="F685" s="4" t="s">
        <v>5284</v>
      </c>
      <c r="G685" s="14"/>
      <c r="H685" s="4" t="s">
        <v>5285</v>
      </c>
      <c r="I685" s="4" t="s">
        <v>180</v>
      </c>
      <c r="J685" s="4" t="s">
        <v>5286</v>
      </c>
      <c r="K685" s="8" t="s">
        <v>5287</v>
      </c>
      <c r="L685" s="4" t="s">
        <v>5288</v>
      </c>
      <c r="M685" s="4">
        <v>69.06307278</v>
      </c>
      <c r="N685" s="5">
        <v>82.7521862</v>
      </c>
      <c r="O685" s="5" t="s">
        <v>5289</v>
      </c>
      <c r="P685" s="9">
        <v>9082026.0</v>
      </c>
      <c r="Q685" s="7" t="str">
        <f>IF(OR(ISBLANK(M685), ISBLANK(N685)), "", IF(N685 &lt; Sheet3!$B$6, "Insufficient Reviews", IF(M685 &gt;= Sheet3!$B$2, "Highly Reliable", IF(M685 &gt;= Sheet3!$B$3, "Reliable", IF(M685 &gt;= Sheet3!$B$4, "Mixed Reviews", "Low Reliability")))))</f>
        <v>Mixed Reviews</v>
      </c>
    </row>
    <row r="686">
      <c r="A686" s="3">
        <f t="shared" si="1"/>
        <v>685</v>
      </c>
      <c r="B686" s="4" t="s">
        <v>5290</v>
      </c>
      <c r="C686" s="5">
        <v>39.400159</v>
      </c>
      <c r="D686" s="5">
        <v>-76.8949189</v>
      </c>
      <c r="E686" s="4" t="s">
        <v>5291</v>
      </c>
      <c r="F686" s="4" t="s">
        <v>5292</v>
      </c>
      <c r="G686" s="4"/>
      <c r="H686" s="4" t="s">
        <v>135</v>
      </c>
      <c r="I686" s="4" t="s">
        <v>91</v>
      </c>
      <c r="J686" s="4" t="s">
        <v>5293</v>
      </c>
      <c r="K686" s="8" t="s">
        <v>5294</v>
      </c>
      <c r="L686" s="4" t="s">
        <v>5295</v>
      </c>
      <c r="M686" s="4">
        <v>80.958265</v>
      </c>
      <c r="N686" s="5">
        <v>55.20163848</v>
      </c>
      <c r="O686" s="5" t="s">
        <v>5296</v>
      </c>
      <c r="P686" s="9">
        <v>9082026.0</v>
      </c>
      <c r="Q686" s="7" t="str">
        <f>IF(OR(ISBLANK(M686), ISBLANK(N686)), "", IF(N686 &lt; Sheet3!$B$6, "Insufficient Reviews", IF(M686 &gt;= Sheet3!$B$2, "Highly Reliable", IF(M686 &gt;= Sheet3!$B$3, "Reliable", IF(M686 &gt;= Sheet3!$B$4, "Mixed Reviews", "Low Reliability")))))</f>
        <v>Reliable</v>
      </c>
    </row>
    <row r="687">
      <c r="A687" s="3">
        <f t="shared" si="1"/>
        <v>686</v>
      </c>
      <c r="B687" s="4" t="s">
        <v>240</v>
      </c>
      <c r="C687" s="5">
        <v>39.3156376</v>
      </c>
      <c r="D687" s="5">
        <v>-76.6164504</v>
      </c>
      <c r="E687" s="4" t="s">
        <v>5297</v>
      </c>
      <c r="F687" s="4" t="s">
        <v>5298</v>
      </c>
      <c r="G687" s="4"/>
      <c r="H687" s="4" t="s">
        <v>126</v>
      </c>
      <c r="I687" s="4" t="s">
        <v>81</v>
      </c>
      <c r="J687" s="4" t="s">
        <v>5299</v>
      </c>
      <c r="K687" s="8" t="s">
        <v>5300</v>
      </c>
      <c r="L687" s="4" t="s">
        <v>5301</v>
      </c>
      <c r="M687" s="4">
        <v>60.93114734</v>
      </c>
      <c r="N687" s="5">
        <v>70.49767306</v>
      </c>
      <c r="O687" s="5" t="s">
        <v>5302</v>
      </c>
      <c r="P687" s="9">
        <v>9082026.0</v>
      </c>
      <c r="Q687" s="7" t="str">
        <f>IF(OR(ISBLANK(M687), ISBLANK(N687)), "", IF(N687 &lt; Sheet3!$B$6, "Insufficient Reviews", IF(M687 &gt;= Sheet3!$B$2, "Highly Reliable", IF(M687 &gt;= Sheet3!$B$3, "Reliable", IF(M687 &gt;= Sheet3!$B$4, "Mixed Reviews", "Low Reliability")))))</f>
        <v>Mixed Reviews</v>
      </c>
    </row>
    <row r="688">
      <c r="A688" s="3">
        <f t="shared" si="1"/>
        <v>687</v>
      </c>
      <c r="B688" s="4" t="s">
        <v>5303</v>
      </c>
      <c r="C688" s="5">
        <v>39.5831376</v>
      </c>
      <c r="D688" s="5">
        <v>-76.9857172</v>
      </c>
      <c r="E688" s="4" t="s">
        <v>5304</v>
      </c>
      <c r="F688" s="4" t="s">
        <v>5305</v>
      </c>
      <c r="G688" s="4" t="s">
        <v>5306</v>
      </c>
      <c r="H688" s="4" t="s">
        <v>126</v>
      </c>
      <c r="I688" s="4" t="s">
        <v>27</v>
      </c>
      <c r="J688" s="4" t="s">
        <v>5307</v>
      </c>
      <c r="K688" s="8" t="s">
        <v>5308</v>
      </c>
      <c r="L688" s="4" t="s">
        <v>5309</v>
      </c>
      <c r="M688" s="4">
        <v>16.5</v>
      </c>
      <c r="N688" s="5">
        <v>31.83333333</v>
      </c>
      <c r="O688" s="5" t="s">
        <v>290</v>
      </c>
      <c r="P688" s="9">
        <v>9082026.0</v>
      </c>
      <c r="Q688" s="7" t="str">
        <f>IF(OR(ISBLANK(M688), ISBLANK(N688)), "", IF(N688 &lt; Sheet3!$B$6, "Insufficient Reviews", IF(M688 &gt;= Sheet3!$B$2, "Highly Reliable", IF(M688 &gt;= Sheet3!$B$3, "Reliable", IF(M688 &gt;= Sheet3!$B$4, "Mixed Reviews", "Low Reliability")))))</f>
        <v>Insufficient Reviews</v>
      </c>
    </row>
    <row r="689">
      <c r="A689" s="3">
        <f t="shared" si="1"/>
        <v>688</v>
      </c>
      <c r="B689" s="4" t="s">
        <v>5310</v>
      </c>
      <c r="C689" s="5">
        <v>39.5955756</v>
      </c>
      <c r="D689" s="5">
        <v>-76.9994696</v>
      </c>
      <c r="E689" s="4" t="s">
        <v>5311</v>
      </c>
      <c r="F689" s="4" t="s">
        <v>5312</v>
      </c>
      <c r="G689" s="14"/>
      <c r="H689" s="4" t="s">
        <v>5313</v>
      </c>
      <c r="I689" s="4" t="s">
        <v>44</v>
      </c>
      <c r="J689" s="4" t="s">
        <v>5314</v>
      </c>
      <c r="K689" s="8" t="s">
        <v>5315</v>
      </c>
      <c r="L689" s="4" t="s">
        <v>5316</v>
      </c>
      <c r="M689" s="4">
        <v>57.40161645</v>
      </c>
      <c r="N689" s="5">
        <v>52.29017496</v>
      </c>
      <c r="O689" s="5" t="s">
        <v>5317</v>
      </c>
      <c r="P689" s="9">
        <v>9082026.0</v>
      </c>
      <c r="Q689" s="7" t="str">
        <f>IF(OR(ISBLANK(M689), ISBLANK(N689)), "", IF(N689 &lt; Sheet3!$B$6, "Insufficient Reviews", IF(M689 &gt;= Sheet3!$B$2, "Highly Reliable", IF(M689 &gt;= Sheet3!$B$3, "Reliable", IF(M689 &gt;= Sheet3!$B$4, "Mixed Reviews", "Low Reliability")))))</f>
        <v>Low Reliability</v>
      </c>
    </row>
    <row r="690">
      <c r="A690" s="3">
        <f t="shared" si="1"/>
        <v>689</v>
      </c>
      <c r="B690" s="4" t="s">
        <v>5318</v>
      </c>
      <c r="C690" s="5">
        <v>39.5151739</v>
      </c>
      <c r="D690" s="5">
        <v>-76.6463322</v>
      </c>
      <c r="E690" s="4" t="s">
        <v>5319</v>
      </c>
      <c r="F690" s="4" t="s">
        <v>5320</v>
      </c>
      <c r="G690" s="14"/>
      <c r="H690" s="4" t="s">
        <v>126</v>
      </c>
      <c r="I690" s="4" t="s">
        <v>81</v>
      </c>
      <c r="J690" s="4" t="s">
        <v>5321</v>
      </c>
      <c r="K690" s="8" t="s">
        <v>5322</v>
      </c>
      <c r="L690" s="4" t="s">
        <v>5323</v>
      </c>
      <c r="M690" s="4">
        <v>82.89960848</v>
      </c>
      <c r="N690" s="5">
        <v>89.14038062</v>
      </c>
      <c r="O690" s="5" t="s">
        <v>5324</v>
      </c>
      <c r="P690" s="9">
        <v>9082026.0</v>
      </c>
      <c r="Q690" s="7" t="str">
        <f>IF(OR(ISBLANK(M690), ISBLANK(N690)), "", IF(N690 &lt; Sheet3!$B$6, "Insufficient Reviews", IF(M690 &gt;= Sheet3!$B$2, "Highly Reliable", IF(M690 &gt;= Sheet3!$B$3, "Reliable", IF(M690 &gt;= Sheet3!$B$4, "Mixed Reviews", "Low Reliability")))))</f>
        <v>Highly Reliable</v>
      </c>
    </row>
    <row r="691">
      <c r="A691" s="3">
        <f t="shared" si="1"/>
        <v>690</v>
      </c>
      <c r="B691" s="4" t="s">
        <v>5325</v>
      </c>
      <c r="C691" s="5">
        <v>39.3415908</v>
      </c>
      <c r="D691" s="5">
        <v>-76.7101539</v>
      </c>
      <c r="E691" s="4" t="s">
        <v>5326</v>
      </c>
      <c r="F691" s="4" t="s">
        <v>5327</v>
      </c>
      <c r="G691" s="14"/>
      <c r="H691" s="4" t="s">
        <v>1476</v>
      </c>
      <c r="I691" s="4" t="s">
        <v>44</v>
      </c>
      <c r="J691" s="4" t="s">
        <v>5328</v>
      </c>
      <c r="K691" s="8" t="s">
        <v>5329</v>
      </c>
      <c r="L691" s="4" t="s">
        <v>5330</v>
      </c>
      <c r="M691" s="5">
        <v>70.58588179</v>
      </c>
      <c r="N691" s="5">
        <v>58.30791007</v>
      </c>
      <c r="O691" s="4" t="s">
        <v>5331</v>
      </c>
      <c r="P691" s="9">
        <v>9082026.0</v>
      </c>
      <c r="Q691" s="7" t="str">
        <f>IF(OR(ISBLANK(M691), ISBLANK(N691)), "", IF(N691 &lt; Sheet3!$B$6, "Insufficient Reviews", IF(M691 &gt;= Sheet3!$B$2, "Highly Reliable", IF(M691 &gt;= Sheet3!$B$3, "Reliable", IF(M691 &gt;= Sheet3!$B$4, "Mixed Reviews", "Low Reliability")))))</f>
        <v>Reliable</v>
      </c>
    </row>
    <row r="692">
      <c r="A692" s="3">
        <f t="shared" si="1"/>
        <v>691</v>
      </c>
      <c r="B692" s="4" t="s">
        <v>5332</v>
      </c>
      <c r="C692" s="5">
        <v>39.4326698</v>
      </c>
      <c r="D692" s="5">
        <v>-76.6287378</v>
      </c>
      <c r="E692" s="4" t="s">
        <v>5333</v>
      </c>
      <c r="F692" s="4" t="s">
        <v>5334</v>
      </c>
      <c r="G692" s="4" t="s">
        <v>4186</v>
      </c>
      <c r="H692" s="14"/>
      <c r="I692" s="4" t="s">
        <v>81</v>
      </c>
      <c r="J692" s="4" t="s">
        <v>5335</v>
      </c>
      <c r="K692" s="8" t="s">
        <v>5336</v>
      </c>
      <c r="L692" s="4" t="s">
        <v>5337</v>
      </c>
      <c r="M692" s="4">
        <v>38.42189106</v>
      </c>
      <c r="N692" s="5">
        <v>51.47735633</v>
      </c>
      <c r="O692" s="5" t="s">
        <v>5338</v>
      </c>
      <c r="P692" s="9">
        <v>9082026.0</v>
      </c>
      <c r="Q692" s="7" t="str">
        <f>IF(OR(ISBLANK(M692), ISBLANK(N692)), "", IF(N692 &lt; Sheet3!$B$6, "Insufficient Reviews", IF(M692 &gt;= Sheet3!$B$2, "Highly Reliable", IF(M692 &gt;= Sheet3!$B$3, "Reliable", IF(M692 &gt;= Sheet3!$B$4, "Mixed Reviews", "Low Reliability")))))</f>
        <v>Low Reliability</v>
      </c>
    </row>
    <row r="693">
      <c r="A693" s="3">
        <f t="shared" si="1"/>
        <v>692</v>
      </c>
      <c r="B693" s="4" t="s">
        <v>5339</v>
      </c>
      <c r="C693" s="5">
        <v>39.347243</v>
      </c>
      <c r="D693" s="5">
        <v>-76.69007</v>
      </c>
      <c r="E693" s="4" t="s">
        <v>5340</v>
      </c>
      <c r="F693" s="4" t="s">
        <v>5341</v>
      </c>
      <c r="G693" s="4"/>
      <c r="H693" s="4" t="s">
        <v>5342</v>
      </c>
      <c r="I693" s="4" t="s">
        <v>44</v>
      </c>
      <c r="J693" s="4" t="s">
        <v>5343</v>
      </c>
      <c r="K693" s="8" t="s">
        <v>5344</v>
      </c>
      <c r="L693" s="4" t="s">
        <v>5345</v>
      </c>
      <c r="M693" s="4">
        <v>88.31907064</v>
      </c>
      <c r="N693" s="5">
        <v>76.71271376</v>
      </c>
      <c r="O693" s="5" t="s">
        <v>5346</v>
      </c>
      <c r="P693" s="9">
        <v>9082026.0</v>
      </c>
      <c r="Q693" s="7" t="str">
        <f>IF(OR(ISBLANK(M693), ISBLANK(N693)), "", IF(N693 &lt; Sheet3!$B$6, "Insufficient Reviews", IF(M693 &gt;= Sheet3!$B$2, "Highly Reliable", IF(M693 &gt;= Sheet3!$B$3, "Reliable", IF(M693 &gt;= Sheet3!$B$4, "Mixed Reviews", "Low Reliability")))))</f>
        <v>Highly Reliable</v>
      </c>
    </row>
    <row r="694">
      <c r="A694" s="3">
        <f t="shared" si="1"/>
        <v>693</v>
      </c>
      <c r="B694" s="4" t="s">
        <v>5347</v>
      </c>
      <c r="C694" s="5">
        <v>38.9492794</v>
      </c>
      <c r="D694" s="5">
        <v>-76.8303808</v>
      </c>
      <c r="E694" s="4" t="s">
        <v>5348</v>
      </c>
      <c r="F694" s="4" t="s">
        <v>5349</v>
      </c>
      <c r="G694" s="4"/>
      <c r="H694" s="14"/>
      <c r="I694" s="4" t="s">
        <v>81</v>
      </c>
      <c r="J694" s="4" t="s">
        <v>5350</v>
      </c>
      <c r="K694" s="8" t="s">
        <v>5351</v>
      </c>
      <c r="L694" s="4" t="s">
        <v>5352</v>
      </c>
      <c r="M694" s="4">
        <v>15.0</v>
      </c>
      <c r="N694" s="5">
        <v>31.83333333</v>
      </c>
      <c r="O694" s="5" t="s">
        <v>634</v>
      </c>
      <c r="P694" s="9">
        <v>9082026.0</v>
      </c>
      <c r="Q694" s="7" t="str">
        <f>IF(OR(ISBLANK(M694), ISBLANK(N694)), "", IF(N694 &lt; Sheet3!$B$6, "Insufficient Reviews", IF(M694 &gt;= Sheet3!$B$2, "Highly Reliable", IF(M694 &gt;= Sheet3!$B$3, "Reliable", IF(M694 &gt;= Sheet3!$B$4, "Mixed Reviews", "Low Reliability")))))</f>
        <v>Insufficient Reviews</v>
      </c>
    </row>
    <row r="695">
      <c r="A695" s="3">
        <f t="shared" si="1"/>
        <v>694</v>
      </c>
      <c r="B695" s="4" t="s">
        <v>5353</v>
      </c>
      <c r="C695" s="5">
        <v>39.5480389</v>
      </c>
      <c r="D695" s="5">
        <v>-76.0923714</v>
      </c>
      <c r="E695" s="4" t="s">
        <v>5354</v>
      </c>
      <c r="F695" s="4" t="s">
        <v>5355</v>
      </c>
      <c r="G695" s="14"/>
      <c r="H695" s="14"/>
      <c r="I695" s="4" t="s">
        <v>81</v>
      </c>
      <c r="J695" s="4" t="s">
        <v>5356</v>
      </c>
      <c r="K695" s="4"/>
      <c r="L695" s="4" t="s">
        <v>5357</v>
      </c>
      <c r="M695" s="4">
        <v>64.5</v>
      </c>
      <c r="N695" s="5">
        <v>24.80832537</v>
      </c>
      <c r="O695" s="5" t="s">
        <v>2162</v>
      </c>
      <c r="P695" s="9">
        <v>9082026.0</v>
      </c>
      <c r="Q695" s="7" t="str">
        <f>IF(OR(ISBLANK(M695), ISBLANK(N695)), "", IF(N695 &lt; Sheet3!$B$6, "Insufficient Reviews", IF(M695 &gt;= Sheet3!$B$2, "Highly Reliable", IF(M695 &gt;= Sheet3!$B$3, "Reliable", IF(M695 &gt;= Sheet3!$B$4, "Mixed Reviews", "Low Reliability")))))</f>
        <v>Insufficient Reviews</v>
      </c>
    </row>
    <row r="696">
      <c r="A696" s="3">
        <f t="shared" si="1"/>
        <v>695</v>
      </c>
      <c r="B696" s="4" t="s">
        <v>5358</v>
      </c>
      <c r="C696" s="5">
        <v>38.8740279</v>
      </c>
      <c r="D696" s="5">
        <v>-76.7956651</v>
      </c>
      <c r="E696" s="4" t="s">
        <v>5359</v>
      </c>
      <c r="F696" s="4" t="s">
        <v>5360</v>
      </c>
      <c r="G696" s="4" t="s">
        <v>5361</v>
      </c>
      <c r="H696" s="4" t="s">
        <v>5362</v>
      </c>
      <c r="I696" s="4" t="s">
        <v>81</v>
      </c>
      <c r="J696" s="4" t="s">
        <v>5363</v>
      </c>
      <c r="K696" s="8" t="s">
        <v>5364</v>
      </c>
      <c r="L696" s="4" t="s">
        <v>5365</v>
      </c>
      <c r="M696" s="4">
        <v>82.86687333</v>
      </c>
      <c r="N696" s="5">
        <v>71.20948245</v>
      </c>
      <c r="O696" s="5" t="s">
        <v>5366</v>
      </c>
      <c r="P696" s="9">
        <v>9082026.0</v>
      </c>
      <c r="Q696" s="7" t="str">
        <f>IF(OR(ISBLANK(M696), ISBLANK(N696)), "", IF(N696 &lt; Sheet3!$B$6, "Insufficient Reviews", IF(M696 &gt;= Sheet3!$B$2, "Highly Reliable", IF(M696 &gt;= Sheet3!$B$3, "Reliable", IF(M696 &gt;= Sheet3!$B$4, "Mixed Reviews", "Low Reliability")))))</f>
        <v>Highly Reliable</v>
      </c>
    </row>
    <row r="697">
      <c r="A697" s="3">
        <f t="shared" si="1"/>
        <v>696</v>
      </c>
      <c r="B697" s="4" t="s">
        <v>5367</v>
      </c>
      <c r="C697" s="5">
        <v>39.1217223</v>
      </c>
      <c r="D697" s="5">
        <v>-76.2134213</v>
      </c>
      <c r="E697" s="4" t="s">
        <v>5368</v>
      </c>
      <c r="F697" s="4" t="s">
        <v>5369</v>
      </c>
      <c r="G697" s="4"/>
      <c r="H697" s="4" t="s">
        <v>135</v>
      </c>
      <c r="I697" s="4" t="s">
        <v>91</v>
      </c>
      <c r="J697" s="4" t="s">
        <v>5370</v>
      </c>
      <c r="K697" s="8" t="s">
        <v>5371</v>
      </c>
      <c r="L697" s="4" t="s">
        <v>5372</v>
      </c>
      <c r="M697" s="4">
        <v>88.22963153</v>
      </c>
      <c r="N697" s="5">
        <v>56.20194561</v>
      </c>
      <c r="O697" s="5" t="s">
        <v>5373</v>
      </c>
      <c r="P697" s="9">
        <v>9082026.0</v>
      </c>
      <c r="Q697" s="7" t="str">
        <f>IF(OR(ISBLANK(M697), ISBLANK(N697)), "", IF(N697 &lt; Sheet3!$B$6, "Insufficient Reviews", IF(M697 &gt;= Sheet3!$B$2, "Highly Reliable", IF(M697 &gt;= Sheet3!$B$3, "Reliable", IF(M697 &gt;= Sheet3!$B$4, "Mixed Reviews", "Low Reliability")))))</f>
        <v>Highly Reliable</v>
      </c>
    </row>
    <row r="698">
      <c r="A698" s="3">
        <f t="shared" si="1"/>
        <v>697</v>
      </c>
      <c r="B698" s="4" t="s">
        <v>5374</v>
      </c>
      <c r="C698" s="5">
        <v>39.5495675</v>
      </c>
      <c r="D698" s="5">
        <v>-77.645723</v>
      </c>
      <c r="E698" s="4" t="s">
        <v>5375</v>
      </c>
      <c r="F698" s="4" t="s">
        <v>5376</v>
      </c>
      <c r="G698" s="4"/>
      <c r="H698" s="4" t="s">
        <v>135</v>
      </c>
      <c r="I698" s="4" t="s">
        <v>91</v>
      </c>
      <c r="J698" s="4" t="s">
        <v>5377</v>
      </c>
      <c r="K698" s="8" t="s">
        <v>5378</v>
      </c>
      <c r="L698" s="4" t="s">
        <v>5379</v>
      </c>
      <c r="M698" s="5">
        <v>72.39074384</v>
      </c>
      <c r="N698" s="5">
        <v>89.97778327</v>
      </c>
      <c r="O698" s="4" t="s">
        <v>5380</v>
      </c>
      <c r="P698" s="9">
        <v>9082026.0</v>
      </c>
      <c r="Q698" s="7" t="str">
        <f>IF(OR(ISBLANK(M698), ISBLANK(N698)), "", IF(N698 &lt; Sheet3!$B$6, "Insufficient Reviews", IF(M698 &gt;= Sheet3!$B$2, "Highly Reliable", IF(M698 &gt;= Sheet3!$B$3, "Reliable", IF(M698 &gt;= Sheet3!$B$4, "Mixed Reviews", "Low Reliability")))))</f>
        <v>Reliable</v>
      </c>
    </row>
    <row r="699">
      <c r="A699" s="3">
        <f t="shared" si="1"/>
        <v>698</v>
      </c>
      <c r="B699" s="4" t="s">
        <v>5381</v>
      </c>
      <c r="C699" s="5">
        <v>39.519415</v>
      </c>
      <c r="D699" s="5">
        <v>-77.651708</v>
      </c>
      <c r="E699" s="4" t="s">
        <v>5382</v>
      </c>
      <c r="F699" s="4" t="s">
        <v>5383</v>
      </c>
      <c r="G699" s="4" t="s">
        <v>5384</v>
      </c>
      <c r="H699" s="4" t="s">
        <v>5385</v>
      </c>
      <c r="I699" s="4" t="s">
        <v>81</v>
      </c>
      <c r="J699" s="4" t="s">
        <v>5386</v>
      </c>
      <c r="K699" s="8" t="s">
        <v>5387</v>
      </c>
      <c r="L699" s="4" t="s">
        <v>5388</v>
      </c>
      <c r="M699" s="4">
        <v>63.88329667</v>
      </c>
      <c r="N699" s="5">
        <v>51.08693545</v>
      </c>
      <c r="O699" s="5" t="s">
        <v>5389</v>
      </c>
      <c r="P699" s="9">
        <v>9082026.0</v>
      </c>
      <c r="Q699" s="7" t="str">
        <f>IF(OR(ISBLANK(M699), ISBLANK(N699)), "", IF(N699 &lt; Sheet3!$B$6, "Insufficient Reviews", IF(M699 &gt;= Sheet3!$B$2, "Highly Reliable", IF(M699 &gt;= Sheet3!$B$3, "Reliable", IF(M699 &gt;= Sheet3!$B$4, "Mixed Reviews", "Low Reliability")))))</f>
        <v>Mixed Reviews</v>
      </c>
    </row>
    <row r="700">
      <c r="A700" s="3">
        <f t="shared" si="1"/>
        <v>699</v>
      </c>
      <c r="B700" s="9" t="s">
        <v>5390</v>
      </c>
      <c r="C700" s="10">
        <v>38.8658291</v>
      </c>
      <c r="D700" s="10">
        <v>-76.9859257</v>
      </c>
      <c r="E700" s="9" t="s">
        <v>5391</v>
      </c>
      <c r="F700" s="9" t="s">
        <v>5392</v>
      </c>
      <c r="G700" s="11"/>
      <c r="H700" s="11"/>
      <c r="I700" s="9" t="s">
        <v>27</v>
      </c>
      <c r="J700" s="9" t="s">
        <v>5393</v>
      </c>
      <c r="K700" s="12" t="s">
        <v>5394</v>
      </c>
      <c r="L700" s="9" t="s">
        <v>5395</v>
      </c>
      <c r="M700" s="9">
        <v>70.88129232</v>
      </c>
      <c r="N700" s="10">
        <v>55.18848154</v>
      </c>
      <c r="O700" s="10" t="s">
        <v>5396</v>
      </c>
      <c r="P700" s="9">
        <v>9082026.0</v>
      </c>
      <c r="Q700" s="7" t="str">
        <f>IF(OR(ISBLANK(M700), ISBLANK(N700)), "", IF(N700 &lt; Sheet3!$B$6, "Insufficient Reviews", IF(M700 &gt;= Sheet3!$B$2, "Highly Reliable", IF(M700 &gt;= Sheet3!$B$3, "Reliable", IF(M700 &gt;= Sheet3!$B$4, "Mixed Reviews", "Low Reliability")))))</f>
        <v>Reliable</v>
      </c>
    </row>
    <row r="701">
      <c r="A701" s="3">
        <f t="shared" si="1"/>
        <v>700</v>
      </c>
      <c r="B701" s="9" t="s">
        <v>5397</v>
      </c>
      <c r="C701" s="10">
        <v>38.8441823</v>
      </c>
      <c r="D701" s="10">
        <v>-76.925851</v>
      </c>
      <c r="E701" s="9" t="s">
        <v>5398</v>
      </c>
      <c r="F701" s="9" t="s">
        <v>5399</v>
      </c>
      <c r="G701" s="9" t="s">
        <v>5400</v>
      </c>
      <c r="H701" s="9" t="s">
        <v>5401</v>
      </c>
      <c r="I701" s="9" t="s">
        <v>81</v>
      </c>
      <c r="J701" s="9" t="s">
        <v>5402</v>
      </c>
      <c r="K701" s="12" t="s">
        <v>5403</v>
      </c>
      <c r="L701" s="9" t="s">
        <v>5404</v>
      </c>
      <c r="M701" s="9">
        <v>72.0</v>
      </c>
      <c r="N701" s="10">
        <v>35.6627623</v>
      </c>
      <c r="O701" s="10" t="s">
        <v>4216</v>
      </c>
      <c r="P701" s="9">
        <v>9082026.0</v>
      </c>
      <c r="Q701" s="7" t="str">
        <f>IF(OR(ISBLANK(M701), ISBLANK(N701)), "", IF(N701 &lt; Sheet3!$B$6, "Insufficient Reviews", IF(M701 &gt;= Sheet3!$B$2, "Highly Reliable", IF(M701 &gt;= Sheet3!$B$3, "Reliable", IF(M701 &gt;= Sheet3!$B$4, "Mixed Reviews", "Low Reliability")))))</f>
        <v>Insufficient Reviews</v>
      </c>
    </row>
    <row r="702">
      <c r="A702" s="3">
        <f t="shared" si="1"/>
        <v>701</v>
      </c>
      <c r="B702" s="9" t="s">
        <v>5405</v>
      </c>
      <c r="C702" s="10">
        <v>38.864241</v>
      </c>
      <c r="D702" s="10">
        <v>-77.081683</v>
      </c>
      <c r="E702" s="9" t="s">
        <v>5406</v>
      </c>
      <c r="F702" s="9" t="s">
        <v>5392</v>
      </c>
      <c r="G702" s="11"/>
      <c r="H702" s="9" t="s">
        <v>5407</v>
      </c>
      <c r="I702" s="9" t="s">
        <v>203</v>
      </c>
      <c r="J702" s="9" t="s">
        <v>5408</v>
      </c>
      <c r="K702" s="12" t="s">
        <v>5409</v>
      </c>
      <c r="L702" s="9" t="s">
        <v>5410</v>
      </c>
      <c r="M702" s="9">
        <v>75.21325907</v>
      </c>
      <c r="N702" s="10">
        <v>52.8260723</v>
      </c>
      <c r="O702" s="10" t="s">
        <v>5411</v>
      </c>
      <c r="P702" s="9">
        <v>9082026.0</v>
      </c>
      <c r="Q702" s="7" t="str">
        <f>IF(OR(ISBLANK(M702), ISBLANK(N702)), "", IF(N702 &lt; Sheet3!$B$6, "Insufficient Reviews", IF(M702 &gt;= Sheet3!$B$2, "Highly Reliable", IF(M702 &gt;= Sheet3!$B$3, "Reliable", IF(M702 &gt;= Sheet3!$B$4, "Mixed Reviews", "Low Reliability")))))</f>
        <v>Reliable</v>
      </c>
    </row>
    <row r="703">
      <c r="A703" s="3">
        <f t="shared" si="1"/>
        <v>702</v>
      </c>
      <c r="B703" s="9" t="s">
        <v>5412</v>
      </c>
      <c r="C703" s="10">
        <v>38.8436116</v>
      </c>
      <c r="D703" s="10">
        <v>-76.9997631</v>
      </c>
      <c r="E703" s="9" t="s">
        <v>5413</v>
      </c>
      <c r="F703" s="9" t="s">
        <v>5392</v>
      </c>
      <c r="G703" s="11"/>
      <c r="H703" s="11"/>
      <c r="I703" s="9" t="s">
        <v>81</v>
      </c>
      <c r="J703" s="9" t="s">
        <v>5414</v>
      </c>
      <c r="K703" s="12" t="s">
        <v>5409</v>
      </c>
      <c r="L703" s="9" t="s">
        <v>5415</v>
      </c>
      <c r="M703" s="9">
        <v>72.45100844</v>
      </c>
      <c r="N703" s="10">
        <v>56.81354682</v>
      </c>
      <c r="O703" s="10" t="s">
        <v>5416</v>
      </c>
      <c r="P703" s="9">
        <v>9082026.0</v>
      </c>
      <c r="Q703" s="7" t="str">
        <f>IF(OR(ISBLANK(M703), ISBLANK(N703)), "", IF(N703 &lt; Sheet3!$B$6, "Insufficient Reviews", IF(M703 &gt;= Sheet3!$B$2, "Highly Reliable", IF(M703 &gt;= Sheet3!$B$3, "Reliable", IF(M703 &gt;= Sheet3!$B$4, "Mixed Reviews", "Low Reliability")))))</f>
        <v>Reliable</v>
      </c>
    </row>
    <row r="704">
      <c r="A704" s="3">
        <f t="shared" si="1"/>
        <v>703</v>
      </c>
      <c r="B704" s="9" t="s">
        <v>5417</v>
      </c>
      <c r="C704" s="10">
        <v>38.8293767</v>
      </c>
      <c r="D704" s="10">
        <v>-76.992447</v>
      </c>
      <c r="E704" s="9" t="s">
        <v>5418</v>
      </c>
      <c r="F704" s="9" t="s">
        <v>5419</v>
      </c>
      <c r="G704" s="9"/>
      <c r="H704" s="9" t="s">
        <v>1476</v>
      </c>
      <c r="I704" s="9" t="s">
        <v>482</v>
      </c>
      <c r="J704" s="9" t="s">
        <v>5420</v>
      </c>
      <c r="K704" s="12" t="s">
        <v>5421</v>
      </c>
      <c r="L704" s="9" t="s">
        <v>5422</v>
      </c>
      <c r="M704" s="9">
        <v>68.03553099</v>
      </c>
      <c r="N704" s="10">
        <v>58.28827799</v>
      </c>
      <c r="O704" s="10" t="s">
        <v>5423</v>
      </c>
      <c r="P704" s="9">
        <v>9082026.0</v>
      </c>
      <c r="Q704" s="7" t="str">
        <f>IF(OR(ISBLANK(M704), ISBLANK(N704)), "", IF(N704 &lt; Sheet3!$B$6, "Insufficient Reviews", IF(M704 &gt;= Sheet3!$B$2, "Highly Reliable", IF(M704 &gt;= Sheet3!$B$3, "Reliable", IF(M704 &gt;= Sheet3!$B$4, "Mixed Reviews", "Low Reliability")))))</f>
        <v>Mixed Reviews</v>
      </c>
    </row>
    <row r="705">
      <c r="A705" s="3">
        <f t="shared" si="1"/>
        <v>704</v>
      </c>
      <c r="B705" s="9" t="s">
        <v>5424</v>
      </c>
      <c r="C705" s="10">
        <v>38.8016031</v>
      </c>
      <c r="D705" s="10">
        <v>-77.0817187</v>
      </c>
      <c r="E705" s="9" t="s">
        <v>5425</v>
      </c>
      <c r="F705" s="9" t="s">
        <v>5426</v>
      </c>
      <c r="G705" s="9" t="s">
        <v>5427</v>
      </c>
      <c r="H705" s="9"/>
      <c r="I705" s="9" t="s">
        <v>81</v>
      </c>
      <c r="J705" s="9" t="s">
        <v>5428</v>
      </c>
      <c r="K705" s="12" t="s">
        <v>5429</v>
      </c>
      <c r="L705" s="9" t="s">
        <v>5430</v>
      </c>
      <c r="M705" s="9">
        <v>64.45344597</v>
      </c>
      <c r="N705" s="10">
        <v>49.19521111</v>
      </c>
      <c r="O705" s="10" t="s">
        <v>5431</v>
      </c>
      <c r="P705" s="9">
        <v>9082026.0</v>
      </c>
      <c r="Q705" s="7" t="str">
        <f>IF(OR(ISBLANK(M705), ISBLANK(N705)), "", IF(N705 &lt; Sheet3!$B$6, "Insufficient Reviews", IF(M705 &gt;= Sheet3!$B$2, "Highly Reliable", IF(M705 &gt;= Sheet3!$B$3, "Reliable", IF(M705 &gt;= Sheet3!$B$4, "Mixed Reviews", "Low Reliability")))))</f>
        <v>Mixed Reviews</v>
      </c>
    </row>
    <row r="706">
      <c r="A706" s="3">
        <f t="shared" si="1"/>
        <v>705</v>
      </c>
      <c r="B706" s="9" t="s">
        <v>5432</v>
      </c>
      <c r="C706" s="10">
        <v>38.690786</v>
      </c>
      <c r="D706" s="10">
        <v>-76.6664264</v>
      </c>
      <c r="E706" s="9" t="s">
        <v>5433</v>
      </c>
      <c r="F706" s="9" t="s">
        <v>5434</v>
      </c>
      <c r="G706" s="9"/>
      <c r="H706" s="9" t="s">
        <v>5435</v>
      </c>
      <c r="I706" s="9" t="s">
        <v>81</v>
      </c>
      <c r="J706" s="9" t="s">
        <v>5436</v>
      </c>
      <c r="K706" s="12" t="s">
        <v>5437</v>
      </c>
      <c r="L706" s="9" t="s">
        <v>5438</v>
      </c>
      <c r="M706" s="9">
        <v>58.8037042</v>
      </c>
      <c r="N706" s="10">
        <v>43.90612539</v>
      </c>
      <c r="O706" s="10" t="s">
        <v>894</v>
      </c>
      <c r="P706" s="9">
        <v>9082026.0</v>
      </c>
      <c r="Q706" s="7" t="str">
        <f>IF(OR(ISBLANK(M706), ISBLANK(N706)), "", IF(N706 &lt; Sheet3!$B$6, "Insufficient Reviews", IF(M706 &gt;= Sheet3!$B$2, "Highly Reliable", IF(M706 &gt;= Sheet3!$B$3, "Reliable", IF(M706 &gt;= Sheet3!$B$4, "Mixed Reviews", "Low Reliability")))))</f>
        <v>Low Reliability</v>
      </c>
    </row>
    <row r="707">
      <c r="A707" s="3">
        <f t="shared" si="1"/>
        <v>706</v>
      </c>
      <c r="B707" s="9" t="s">
        <v>5439</v>
      </c>
      <c r="C707" s="10">
        <v>38.6113305</v>
      </c>
      <c r="D707" s="10">
        <v>-76.9061564</v>
      </c>
      <c r="E707" s="9" t="s">
        <v>5440</v>
      </c>
      <c r="F707" s="9" t="s">
        <v>5441</v>
      </c>
      <c r="G707" s="9" t="s">
        <v>5442</v>
      </c>
      <c r="H707" s="9" t="s">
        <v>5443</v>
      </c>
      <c r="I707" s="9" t="s">
        <v>91</v>
      </c>
      <c r="J707" s="9" t="s">
        <v>5444</v>
      </c>
      <c r="K707" s="12" t="s">
        <v>5445</v>
      </c>
      <c r="L707" s="9" t="s">
        <v>5446</v>
      </c>
      <c r="M707" s="9">
        <v>81.44534039</v>
      </c>
      <c r="N707" s="10">
        <v>66.85776515</v>
      </c>
      <c r="O707" s="10" t="s">
        <v>5447</v>
      </c>
      <c r="P707" s="9">
        <v>9082026.0</v>
      </c>
      <c r="Q707" s="7" t="str">
        <f>IF(OR(ISBLANK(M707), ISBLANK(N707)), "", IF(N707 &lt; Sheet3!$B$6, "Insufficient Reviews", IF(M707 &gt;= Sheet3!$B$2, "Highly Reliable", IF(M707 &gt;= Sheet3!$B$3, "Reliable", IF(M707 &gt;= Sheet3!$B$4, "Mixed Reviews", "Low Reliability")))))</f>
        <v>Reliable</v>
      </c>
    </row>
    <row r="708">
      <c r="A708" s="3">
        <f t="shared" si="1"/>
        <v>707</v>
      </c>
      <c r="B708" s="9" t="s">
        <v>5448</v>
      </c>
      <c r="C708" s="10">
        <v>38.6042518</v>
      </c>
      <c r="D708" s="10">
        <v>-76.8977203</v>
      </c>
      <c r="E708" s="9" t="s">
        <v>5449</v>
      </c>
      <c r="F708" s="9" t="s">
        <v>5450</v>
      </c>
      <c r="G708" s="9" t="s">
        <v>5451</v>
      </c>
      <c r="H708" s="9" t="s">
        <v>5452</v>
      </c>
      <c r="I708" s="9" t="s">
        <v>81</v>
      </c>
      <c r="J708" s="9" t="s">
        <v>5453</v>
      </c>
      <c r="K708" s="12" t="s">
        <v>5454</v>
      </c>
      <c r="L708" s="9" t="s">
        <v>5455</v>
      </c>
      <c r="M708" s="9">
        <v>83.08561048</v>
      </c>
      <c r="N708" s="10">
        <v>75.22636519</v>
      </c>
      <c r="O708" s="10" t="s">
        <v>5456</v>
      </c>
      <c r="P708" s="9">
        <v>9082026.0</v>
      </c>
      <c r="Q708" s="7" t="str">
        <f>IF(OR(ISBLANK(M708), ISBLANK(N708)), "", IF(N708 &lt; Sheet3!$B$6, "Insufficient Reviews", IF(M708 &gt;= Sheet3!$B$2, "Highly Reliable", IF(M708 &gt;= Sheet3!$B$3, "Reliable", IF(M708 &gt;= Sheet3!$B$4, "Mixed Reviews", "Low Reliability")))))</f>
        <v>Highly Reliable</v>
      </c>
    </row>
    <row r="709">
      <c r="A709" s="3">
        <f t="shared" si="1"/>
        <v>708</v>
      </c>
      <c r="B709" s="9" t="s">
        <v>5457</v>
      </c>
      <c r="C709" s="10">
        <v>38.6017133</v>
      </c>
      <c r="D709" s="10">
        <v>-76.8943613</v>
      </c>
      <c r="E709" s="9" t="s">
        <v>5458</v>
      </c>
      <c r="F709" s="9" t="s">
        <v>5459</v>
      </c>
      <c r="G709" s="9" t="s">
        <v>5460</v>
      </c>
      <c r="H709" s="9" t="s">
        <v>5461</v>
      </c>
      <c r="I709" s="9" t="s">
        <v>81</v>
      </c>
      <c r="J709" s="9" t="s">
        <v>5462</v>
      </c>
      <c r="K709" s="12" t="s">
        <v>5463</v>
      </c>
      <c r="L709" s="9" t="s">
        <v>5464</v>
      </c>
      <c r="M709" s="9">
        <v>83.11702064</v>
      </c>
      <c r="N709" s="10">
        <v>71.45162032</v>
      </c>
      <c r="O709" s="10" t="s">
        <v>5465</v>
      </c>
      <c r="P709" s="9">
        <v>9082026.0</v>
      </c>
      <c r="Q709" s="7" t="str">
        <f>IF(OR(ISBLANK(M709), ISBLANK(N709)), "", IF(N709 &lt; Sheet3!$B$6, "Insufficient Reviews", IF(M709 &gt;= Sheet3!$B$2, "Highly Reliable", IF(M709 &gt;= Sheet3!$B$3, "Reliable", IF(M709 &gt;= Sheet3!$B$4, "Mixed Reviews", "Low Reliability")))))</f>
        <v>Highly Reliable</v>
      </c>
    </row>
    <row r="710">
      <c r="A710" s="3">
        <f t="shared" si="1"/>
        <v>709</v>
      </c>
      <c r="B710" s="9" t="s">
        <v>5466</v>
      </c>
      <c r="C710" s="10">
        <v>38.8806571</v>
      </c>
      <c r="D710" s="10">
        <v>-75.8248748</v>
      </c>
      <c r="E710" s="9" t="s">
        <v>5467</v>
      </c>
      <c r="F710" s="9" t="s">
        <v>5468</v>
      </c>
      <c r="G710" s="11"/>
      <c r="H710" s="11"/>
      <c r="I710" s="9" t="s">
        <v>81</v>
      </c>
      <c r="J710" s="9" t="s">
        <v>5469</v>
      </c>
      <c r="K710" s="9"/>
      <c r="L710" s="9" t="s">
        <v>5470</v>
      </c>
      <c r="M710" s="9">
        <v>58.54187828</v>
      </c>
      <c r="N710" s="10">
        <v>41.08605178</v>
      </c>
      <c r="O710" s="10" t="s">
        <v>5471</v>
      </c>
      <c r="P710" s="9">
        <v>9082026.0</v>
      </c>
      <c r="Q710" s="7" t="str">
        <f>IF(OR(ISBLANK(M710), ISBLANK(N710)), "", IF(N710 &lt; Sheet3!$B$6, "Insufficient Reviews", IF(M710 &gt;= Sheet3!$B$2, "Highly Reliable", IF(M710 &gt;= Sheet3!$B$3, "Reliable", IF(M710 &gt;= Sheet3!$B$4, "Mixed Reviews", "Low Reliability")))))</f>
        <v>Low Reliability</v>
      </c>
    </row>
    <row r="711">
      <c r="A711" s="3">
        <f t="shared" si="1"/>
        <v>710</v>
      </c>
      <c r="B711" s="9" t="s">
        <v>5472</v>
      </c>
      <c r="C711" s="10">
        <v>38.4783731</v>
      </c>
      <c r="D711" s="10">
        <v>-76.7807138</v>
      </c>
      <c r="E711" s="9" t="s">
        <v>5473</v>
      </c>
      <c r="F711" s="9" t="s">
        <v>5474</v>
      </c>
      <c r="G711" s="9"/>
      <c r="H711" s="9" t="s">
        <v>135</v>
      </c>
      <c r="I711" s="9" t="s">
        <v>81</v>
      </c>
      <c r="J711" s="9" t="s">
        <v>5475</v>
      </c>
      <c r="K711" s="12" t="s">
        <v>5476</v>
      </c>
      <c r="L711" s="9" t="s">
        <v>5477</v>
      </c>
      <c r="M711" s="9">
        <v>67.84750258</v>
      </c>
      <c r="N711" s="10">
        <v>68.28002758</v>
      </c>
      <c r="O711" s="10" t="s">
        <v>5478</v>
      </c>
      <c r="P711" s="9">
        <v>9082026.0</v>
      </c>
      <c r="Q711" s="7" t="str">
        <f>IF(OR(ISBLANK(M711), ISBLANK(N711)), "", IF(N711 &lt; Sheet3!$B$6, "Insufficient Reviews", IF(M711 &gt;= Sheet3!$B$2, "Highly Reliable", IF(M711 &gt;= Sheet3!$B$3, "Reliable", IF(M711 &gt;= Sheet3!$B$4, "Mixed Reviews", "Low Reliability")))))</f>
        <v>Mixed Reviews</v>
      </c>
    </row>
    <row r="712">
      <c r="A712" s="3">
        <f t="shared" si="1"/>
        <v>711</v>
      </c>
      <c r="B712" s="9" t="s">
        <v>5479</v>
      </c>
      <c r="C712" s="10">
        <v>38.3467941</v>
      </c>
      <c r="D712" s="10">
        <v>-76.4551391</v>
      </c>
      <c r="E712" s="9" t="s">
        <v>5480</v>
      </c>
      <c r="F712" s="9" t="s">
        <v>5481</v>
      </c>
      <c r="G712" s="9" t="s">
        <v>5482</v>
      </c>
      <c r="H712" s="9" t="s">
        <v>135</v>
      </c>
      <c r="I712" s="9" t="s">
        <v>81</v>
      </c>
      <c r="J712" s="9" t="s">
        <v>5483</v>
      </c>
      <c r="K712" s="12" t="s">
        <v>5484</v>
      </c>
      <c r="L712" s="9" t="s">
        <v>5485</v>
      </c>
      <c r="M712" s="9">
        <v>76.5</v>
      </c>
      <c r="N712" s="10">
        <v>41.7322636</v>
      </c>
      <c r="O712" s="10" t="s">
        <v>5486</v>
      </c>
      <c r="P712" s="9">
        <v>9082026.0</v>
      </c>
      <c r="Q712" s="7" t="str">
        <f>IF(OR(ISBLANK(M712), ISBLANK(N712)), "", IF(N712 &lt; Sheet3!$B$6, "Insufficient Reviews", IF(M712 &gt;= Sheet3!$B$2, "Highly Reliable", IF(M712 &gt;= Sheet3!$B$3, "Reliable", IF(M712 &gt;= Sheet3!$B$4, "Mixed Reviews", "Low Reliability")))))</f>
        <v>Reliable</v>
      </c>
    </row>
    <row r="713">
      <c r="A713" s="3">
        <f t="shared" si="1"/>
        <v>712</v>
      </c>
      <c r="B713" s="9" t="s">
        <v>5487</v>
      </c>
      <c r="C713" s="10">
        <v>38.279069</v>
      </c>
      <c r="D713" s="10">
        <v>-76.4741471</v>
      </c>
      <c r="E713" s="9" t="s">
        <v>5488</v>
      </c>
      <c r="F713" s="9" t="s">
        <v>5489</v>
      </c>
      <c r="G713" s="9" t="s">
        <v>5490</v>
      </c>
      <c r="H713" s="9" t="s">
        <v>1476</v>
      </c>
      <c r="I713" s="9" t="s">
        <v>81</v>
      </c>
      <c r="J713" s="9" t="s">
        <v>5491</v>
      </c>
      <c r="K713" s="12" t="s">
        <v>5492</v>
      </c>
      <c r="L713" s="9" t="s">
        <v>5493</v>
      </c>
      <c r="M713" s="9">
        <v>49.89986344</v>
      </c>
      <c r="N713" s="10">
        <v>54.96752636</v>
      </c>
      <c r="O713" s="10" t="s">
        <v>5494</v>
      </c>
      <c r="P713" s="9">
        <v>9082026.0</v>
      </c>
      <c r="Q713" s="7" t="str">
        <f>IF(OR(ISBLANK(M713), ISBLANK(N713)), "", IF(N713 &lt; Sheet3!$B$6, "Insufficient Reviews", IF(M713 &gt;= Sheet3!$B$2, "Highly Reliable", IF(M713 &gt;= Sheet3!$B$3, "Reliable", IF(M713 &gt;= Sheet3!$B$4, "Mixed Reviews", "Low Reliability")))))</f>
        <v>Low Reliability</v>
      </c>
    </row>
    <row r="714">
      <c r="A714" s="3">
        <f t="shared" si="1"/>
        <v>713</v>
      </c>
      <c r="B714" s="9" t="s">
        <v>5495</v>
      </c>
      <c r="C714" s="10">
        <v>38.3740386</v>
      </c>
      <c r="D714" s="10">
        <v>-75.6142044</v>
      </c>
      <c r="E714" s="9" t="s">
        <v>5496</v>
      </c>
      <c r="F714" s="9" t="s">
        <v>5497</v>
      </c>
      <c r="G714" s="9" t="s">
        <v>5498</v>
      </c>
      <c r="H714" s="9" t="s">
        <v>410</v>
      </c>
      <c r="I714" s="9" t="s">
        <v>81</v>
      </c>
      <c r="J714" s="9" t="s">
        <v>5499</v>
      </c>
      <c r="K714" s="12" t="s">
        <v>5500</v>
      </c>
      <c r="L714" s="9" t="s">
        <v>5501</v>
      </c>
      <c r="M714" s="9">
        <v>86.01711693</v>
      </c>
      <c r="N714" s="10">
        <v>61.91708057</v>
      </c>
      <c r="O714" s="10" t="s">
        <v>5502</v>
      </c>
      <c r="P714" s="9">
        <v>9082026.0</v>
      </c>
      <c r="Q714" s="7" t="str">
        <f>IF(OR(ISBLANK(M714), ISBLANK(N714)), "", IF(N714 &lt; Sheet3!$B$6, "Insufficient Reviews", IF(M714 &gt;= Sheet3!$B$2, "Highly Reliable", IF(M714 &gt;= Sheet3!$B$3, "Reliable", IF(M714 &gt;= Sheet3!$B$4, "Mixed Reviews", "Low Reliability")))))</f>
        <v>Highly Reliable</v>
      </c>
    </row>
    <row r="715">
      <c r="A715" s="3">
        <f t="shared" si="1"/>
        <v>714</v>
      </c>
      <c r="B715" s="9" t="s">
        <v>5503</v>
      </c>
      <c r="C715" s="10">
        <v>38.3851622</v>
      </c>
      <c r="D715" s="10">
        <v>-75.5882145</v>
      </c>
      <c r="E715" s="9" t="s">
        <v>5504</v>
      </c>
      <c r="F715" s="9" t="s">
        <v>5505</v>
      </c>
      <c r="G715" s="9"/>
      <c r="H715" s="9" t="s">
        <v>43</v>
      </c>
      <c r="I715" s="9" t="s">
        <v>44</v>
      </c>
      <c r="J715" s="9" t="s">
        <v>5506</v>
      </c>
      <c r="K715" s="12" t="s">
        <v>5507</v>
      </c>
      <c r="L715" s="9" t="s">
        <v>5508</v>
      </c>
      <c r="M715" s="9">
        <v>66.23398217</v>
      </c>
      <c r="N715" s="10">
        <v>70.16379048</v>
      </c>
      <c r="O715" s="10" t="s">
        <v>5509</v>
      </c>
      <c r="P715" s="9">
        <v>9082026.0</v>
      </c>
      <c r="Q715" s="7" t="str">
        <f>IF(OR(ISBLANK(M715), ISBLANK(N715)), "", IF(N715 &lt; Sheet3!$B$6, "Insufficient Reviews", IF(M715 &gt;= Sheet3!$B$2, "Highly Reliable", IF(M715 &gt;= Sheet3!$B$3, "Reliable", IF(M715 &gt;= Sheet3!$B$4, "Mixed Reviews", "Low Reliability")))))</f>
        <v>Mixed Reviews</v>
      </c>
    </row>
    <row r="716">
      <c r="A716" s="3">
        <f t="shared" si="1"/>
        <v>715</v>
      </c>
      <c r="B716" s="9" t="s">
        <v>5510</v>
      </c>
      <c r="C716" s="10">
        <v>39.6017765</v>
      </c>
      <c r="D716" s="10">
        <v>-78.7475704</v>
      </c>
      <c r="E716" s="9" t="s">
        <v>5511</v>
      </c>
      <c r="F716" s="9" t="s">
        <v>5512</v>
      </c>
      <c r="G716" s="9" t="s">
        <v>5513</v>
      </c>
      <c r="H716" s="9" t="s">
        <v>135</v>
      </c>
      <c r="I716" s="9" t="s">
        <v>81</v>
      </c>
      <c r="J716" s="9" t="s">
        <v>5514</v>
      </c>
      <c r="K716" s="12" t="s">
        <v>5515</v>
      </c>
      <c r="L716" s="9" t="s">
        <v>5516</v>
      </c>
      <c r="M716" s="9">
        <v>82.6462584</v>
      </c>
      <c r="N716" s="10">
        <v>60.30140997</v>
      </c>
      <c r="O716" s="10" t="s">
        <v>5517</v>
      </c>
      <c r="P716" s="9">
        <v>9082026.0</v>
      </c>
      <c r="Q716" s="7" t="str">
        <f>IF(OR(ISBLANK(M716), ISBLANK(N716)), "", IF(N716 &lt; Sheet3!$B$6, "Insufficient Reviews", IF(M716 &gt;= Sheet3!$B$2, "Highly Reliable", IF(M716 &gt;= Sheet3!$B$3, "Reliable", IF(M716 &gt;= Sheet3!$B$4, "Mixed Reviews", "Low Reliability")))))</f>
        <v>Highly Reliable</v>
      </c>
    </row>
    <row r="717">
      <c r="A717" s="3">
        <f t="shared" si="1"/>
        <v>716</v>
      </c>
      <c r="B717" s="9" t="s">
        <v>5518</v>
      </c>
      <c r="C717" s="10">
        <v>39.64548</v>
      </c>
      <c r="D717" s="10">
        <v>-78.9066426</v>
      </c>
      <c r="E717" s="9" t="s">
        <v>5519</v>
      </c>
      <c r="F717" s="9" t="s">
        <v>5520</v>
      </c>
      <c r="G717" s="9" t="s">
        <v>5521</v>
      </c>
      <c r="H717" s="9" t="s">
        <v>1476</v>
      </c>
      <c r="I717" s="9" t="s">
        <v>81</v>
      </c>
      <c r="J717" s="9" t="s">
        <v>5522</v>
      </c>
      <c r="K717" s="12" t="s">
        <v>5523</v>
      </c>
      <c r="L717" s="9" t="s">
        <v>5524</v>
      </c>
      <c r="M717" s="9">
        <v>64.73934534</v>
      </c>
      <c r="N717" s="10">
        <v>53.88535046</v>
      </c>
      <c r="O717" s="10" t="s">
        <v>5525</v>
      </c>
      <c r="P717" s="9">
        <v>9082026.0</v>
      </c>
      <c r="Q717" s="7" t="str">
        <f>IF(OR(ISBLANK(M717), ISBLANK(N717)), "", IF(N717 &lt; Sheet3!$B$6, "Insufficient Reviews", IF(M717 &gt;= Sheet3!$B$2, "Highly Reliable", IF(M717 &gt;= Sheet3!$B$3, "Reliable", IF(M717 &gt;= Sheet3!$B$4, "Mixed Reviews", "Low Reliability")))))</f>
        <v>Mixed Reviews</v>
      </c>
    </row>
    <row r="718">
      <c r="A718" s="3">
        <f t="shared" si="1"/>
        <v>717</v>
      </c>
      <c r="B718" s="9" t="s">
        <v>5526</v>
      </c>
      <c r="C718" s="10">
        <v>38.0650632</v>
      </c>
      <c r="D718" s="10">
        <v>-75.5561643</v>
      </c>
      <c r="E718" s="9" t="s">
        <v>5527</v>
      </c>
      <c r="F718" s="9" t="s">
        <v>5528</v>
      </c>
      <c r="G718" s="11"/>
      <c r="H718" s="9" t="s">
        <v>43</v>
      </c>
      <c r="I718" s="9" t="s">
        <v>81</v>
      </c>
      <c r="J718" s="9" t="s">
        <v>5529</v>
      </c>
      <c r="K718" s="9"/>
      <c r="L718" s="9" t="s">
        <v>5530</v>
      </c>
      <c r="M718" s="9">
        <v>12.0</v>
      </c>
      <c r="N718" s="10">
        <v>15.91666667</v>
      </c>
      <c r="O718" s="10" t="s">
        <v>5531</v>
      </c>
      <c r="P718" s="9">
        <v>9082026.0</v>
      </c>
      <c r="Q718" s="7" t="str">
        <f>IF(OR(ISBLANK(M718), ISBLANK(N718)), "", IF(N718 &lt; Sheet3!$B$6, "Insufficient Reviews", IF(M718 &gt;= Sheet3!$B$2, "Highly Reliable", IF(M718 &gt;= Sheet3!$B$3, "Reliable", IF(M718 &gt;= Sheet3!$B$4, "Mixed Reviews", "Low Reliability")))))</f>
        <v>Insufficient Reviews</v>
      </c>
    </row>
    <row r="719">
      <c r="A719" s="3">
        <f t="shared" si="1"/>
        <v>718</v>
      </c>
      <c r="B719" s="9" t="s">
        <v>5532</v>
      </c>
      <c r="C719" s="10">
        <v>42.3654022</v>
      </c>
      <c r="D719" s="10">
        <v>-71.1055374</v>
      </c>
      <c r="E719" s="9" t="s">
        <v>5533</v>
      </c>
      <c r="F719" s="9" t="s">
        <v>5534</v>
      </c>
      <c r="G719" s="9"/>
      <c r="H719" s="9" t="s">
        <v>62</v>
      </c>
      <c r="I719" s="9" t="s">
        <v>81</v>
      </c>
      <c r="J719" s="9" t="s">
        <v>5535</v>
      </c>
      <c r="K719" s="12" t="s">
        <v>5536</v>
      </c>
      <c r="L719" s="9" t="s">
        <v>5537</v>
      </c>
      <c r="M719" s="9">
        <v>52.74941646</v>
      </c>
      <c r="N719" s="10">
        <v>70.72396964</v>
      </c>
      <c r="O719" s="10" t="s">
        <v>5538</v>
      </c>
      <c r="P719" s="9">
        <v>9082026.0</v>
      </c>
      <c r="Q719" s="7" t="str">
        <f>IF(OR(ISBLANK(M719), ISBLANK(N719)), "", IF(N719 &lt; Sheet3!$B$6, "Insufficient Reviews", IF(M719 &gt;= Sheet3!$B$2, "Highly Reliable", IF(M719 &gt;= Sheet3!$B$3, "Reliable", IF(M719 &gt;= Sheet3!$B$4, "Mixed Reviews", "Low Reliability")))))</f>
        <v>Low Reliability</v>
      </c>
    </row>
    <row r="720">
      <c r="A720" s="3">
        <f t="shared" si="1"/>
        <v>719</v>
      </c>
      <c r="B720" s="9" t="s">
        <v>5539</v>
      </c>
      <c r="C720" s="10">
        <v>39.2885327</v>
      </c>
      <c r="D720" s="10">
        <v>-76.8059277</v>
      </c>
      <c r="E720" s="9" t="s">
        <v>5540</v>
      </c>
      <c r="F720" s="9" t="s">
        <v>5541</v>
      </c>
      <c r="G720" s="9" t="s">
        <v>5542</v>
      </c>
      <c r="H720" s="9" t="s">
        <v>135</v>
      </c>
      <c r="I720" s="9" t="s">
        <v>81</v>
      </c>
      <c r="J720" s="9" t="s">
        <v>5543</v>
      </c>
      <c r="K720" s="12" t="s">
        <v>5544</v>
      </c>
      <c r="L720" s="9" t="s">
        <v>5545</v>
      </c>
      <c r="M720" s="9">
        <v>84.94843863</v>
      </c>
      <c r="N720" s="10">
        <v>73.14985497</v>
      </c>
      <c r="O720" s="10" t="s">
        <v>5546</v>
      </c>
      <c r="P720" s="9">
        <v>9082026.0</v>
      </c>
      <c r="Q720" s="7" t="str">
        <f>IF(OR(ISBLANK(M720), ISBLANK(N720)), "", IF(N720 &lt; Sheet3!$B$6, "Insufficient Reviews", IF(M720 &gt;= Sheet3!$B$2, "Highly Reliable", IF(M720 &gt;= Sheet3!$B$3, "Reliable", IF(M720 &gt;= Sheet3!$B$4, "Mixed Reviews", "Low Reliability")))))</f>
        <v>Highly Reliable</v>
      </c>
    </row>
    <row r="721">
      <c r="A721" s="3">
        <f t="shared" si="1"/>
        <v>720</v>
      </c>
      <c r="B721" s="9" t="s">
        <v>5547</v>
      </c>
      <c r="C721" s="10">
        <v>39.2865002</v>
      </c>
      <c r="D721" s="10">
        <v>-76.8221709</v>
      </c>
      <c r="E721" s="9" t="s">
        <v>5548</v>
      </c>
      <c r="F721" s="9" t="s">
        <v>5549</v>
      </c>
      <c r="G721" s="9"/>
      <c r="H721" s="9" t="s">
        <v>135</v>
      </c>
      <c r="I721" s="9" t="s">
        <v>81</v>
      </c>
      <c r="J721" s="9" t="s">
        <v>5550</v>
      </c>
      <c r="K721" s="12" t="s">
        <v>5551</v>
      </c>
      <c r="L721" s="9" t="s">
        <v>5552</v>
      </c>
      <c r="M721" s="9">
        <v>75.80915666</v>
      </c>
      <c r="N721" s="10">
        <v>65.86013152</v>
      </c>
      <c r="O721" s="10" t="s">
        <v>5553</v>
      </c>
      <c r="P721" s="9">
        <v>9082026.0</v>
      </c>
      <c r="Q721" s="7" t="str">
        <f>IF(OR(ISBLANK(M721), ISBLANK(N721)), "", IF(N721 &lt; Sheet3!$B$6, "Insufficient Reviews", IF(M721 &gt;= Sheet3!$B$2, "Highly Reliable", IF(M721 &gt;= Sheet3!$B$3, "Reliable", IF(M721 &gt;= Sheet3!$B$4, "Mixed Reviews", "Low Reliability")))))</f>
        <v>Reliable</v>
      </c>
    </row>
    <row r="722">
      <c r="A722" s="3">
        <f t="shared" si="1"/>
        <v>721</v>
      </c>
      <c r="B722" s="9" t="s">
        <v>5554</v>
      </c>
      <c r="C722" s="10">
        <v>39.3416956</v>
      </c>
      <c r="D722" s="10">
        <v>-76.6685315</v>
      </c>
      <c r="E722" s="9" t="s">
        <v>5555</v>
      </c>
      <c r="F722" s="9" t="s">
        <v>5556</v>
      </c>
      <c r="G722" s="9" t="s">
        <v>5557</v>
      </c>
      <c r="H722" s="9" t="s">
        <v>135</v>
      </c>
      <c r="I722" s="9" t="s">
        <v>44</v>
      </c>
      <c r="J722" s="9" t="s">
        <v>5558</v>
      </c>
      <c r="K722" s="12" t="s">
        <v>5559</v>
      </c>
      <c r="L722" s="9" t="s">
        <v>5560</v>
      </c>
      <c r="M722" s="9">
        <v>35.2496781</v>
      </c>
      <c r="N722" s="10">
        <v>53.45197666</v>
      </c>
      <c r="O722" s="10" t="s">
        <v>5561</v>
      </c>
      <c r="P722" s="9">
        <v>9082026.0</v>
      </c>
      <c r="Q722" s="7" t="str">
        <f>IF(OR(ISBLANK(M722), ISBLANK(N722)), "", IF(N722 &lt; Sheet3!$B$6, "Insufficient Reviews", IF(M722 &gt;= Sheet3!$B$2, "Highly Reliable", IF(M722 &gt;= Sheet3!$B$3, "Reliable", IF(M722 &gt;= Sheet3!$B$4, "Mixed Reviews", "Low Reliability")))))</f>
        <v>Low Reliability</v>
      </c>
    </row>
    <row r="723">
      <c r="A723" s="3">
        <f t="shared" si="1"/>
        <v>722</v>
      </c>
      <c r="B723" s="9" t="s">
        <v>158</v>
      </c>
      <c r="C723" s="10">
        <v>39.3927096</v>
      </c>
      <c r="D723" s="10">
        <v>-76.620671</v>
      </c>
      <c r="E723" s="9" t="s">
        <v>159</v>
      </c>
      <c r="F723" s="9" t="s">
        <v>160</v>
      </c>
      <c r="G723" s="9"/>
      <c r="H723" s="9" t="s">
        <v>162</v>
      </c>
      <c r="I723" s="9" t="s">
        <v>44</v>
      </c>
      <c r="J723" s="9" t="s">
        <v>5562</v>
      </c>
      <c r="K723" s="12" t="s">
        <v>164</v>
      </c>
      <c r="L723" s="9" t="s">
        <v>5563</v>
      </c>
      <c r="M723" s="9">
        <v>53.84983404</v>
      </c>
      <c r="N723" s="10">
        <v>92.99607142</v>
      </c>
      <c r="O723" s="10" t="s">
        <v>5564</v>
      </c>
      <c r="P723" s="9">
        <v>9082026.0</v>
      </c>
      <c r="Q723" s="7" t="str">
        <f>IF(OR(ISBLANK(M723), ISBLANK(N723)), "", IF(N723 &lt; Sheet3!$B$6, "Insufficient Reviews", IF(M723 &gt;= Sheet3!$B$2, "Highly Reliable", IF(M723 &gt;= Sheet3!$B$3, "Reliable", IF(M723 &gt;= Sheet3!$B$4, "Mixed Reviews", "Low Reliability")))))</f>
        <v>Low Reliability</v>
      </c>
    </row>
    <row r="724">
      <c r="A724" s="3">
        <f t="shared" si="1"/>
        <v>723</v>
      </c>
      <c r="B724" s="9" t="s">
        <v>2429</v>
      </c>
      <c r="C724" s="10">
        <v>39.4034129</v>
      </c>
      <c r="D724" s="10">
        <v>-76.6092911</v>
      </c>
      <c r="E724" s="9" t="s">
        <v>5565</v>
      </c>
      <c r="F724" s="9" t="s">
        <v>5566</v>
      </c>
      <c r="G724" s="9"/>
      <c r="H724" s="9" t="s">
        <v>26</v>
      </c>
      <c r="I724" s="9" t="s">
        <v>35</v>
      </c>
      <c r="J724" s="9" t="s">
        <v>5567</v>
      </c>
      <c r="K724" s="12" t="s">
        <v>5568</v>
      </c>
      <c r="L724" s="9" t="s">
        <v>5569</v>
      </c>
      <c r="M724" s="9">
        <v>55.45463451</v>
      </c>
      <c r="N724" s="10">
        <v>51.73987643</v>
      </c>
      <c r="O724" s="10" t="s">
        <v>5570</v>
      </c>
      <c r="P724" s="9">
        <v>9082026.0</v>
      </c>
      <c r="Q724" s="7" t="str">
        <f>IF(OR(ISBLANK(M724), ISBLANK(N724)), "", IF(N724 &lt; Sheet3!$B$6, "Insufficient Reviews", IF(M724 &gt;= Sheet3!$B$2, "Highly Reliable", IF(M724 &gt;= Sheet3!$B$3, "Reliable", IF(M724 &gt;= Sheet3!$B$4, "Mixed Reviews", "Low Reliability")))))</f>
        <v>Low Reliability</v>
      </c>
    </row>
    <row r="725">
      <c r="A725" s="3">
        <f t="shared" si="1"/>
        <v>724</v>
      </c>
      <c r="B725" s="9" t="s">
        <v>5571</v>
      </c>
      <c r="C725" s="10">
        <v>39.2768</v>
      </c>
      <c r="D725" s="10">
        <v>-76.801311</v>
      </c>
      <c r="E725" s="9" t="s">
        <v>5572</v>
      </c>
      <c r="F725" s="9" t="s">
        <v>5573</v>
      </c>
      <c r="G725" s="9" t="s">
        <v>5574</v>
      </c>
      <c r="H725" s="9" t="s">
        <v>135</v>
      </c>
      <c r="I725" s="9" t="s">
        <v>203</v>
      </c>
      <c r="J725" s="9" t="s">
        <v>5575</v>
      </c>
      <c r="K725" s="12" t="s">
        <v>5576</v>
      </c>
      <c r="L725" s="9" t="s">
        <v>5577</v>
      </c>
      <c r="M725" s="9">
        <v>63.50040286</v>
      </c>
      <c r="N725" s="10">
        <v>77.63624071</v>
      </c>
      <c r="O725" s="10" t="s">
        <v>5578</v>
      </c>
      <c r="P725" s="9">
        <v>9082026.0</v>
      </c>
      <c r="Q725" s="7" t="str">
        <f>IF(OR(ISBLANK(M725), ISBLANK(N725)), "", IF(N725 &lt; Sheet3!$B$6, "Insufficient Reviews", IF(M725 &gt;= Sheet3!$B$2, "Highly Reliable", IF(M725 &gt;= Sheet3!$B$3, "Reliable", IF(M725 &gt;= Sheet3!$B$4, "Mixed Reviews", "Low Reliability")))))</f>
        <v>Mixed Reviews</v>
      </c>
    </row>
    <row r="726">
      <c r="A726" s="3">
        <f t="shared" si="1"/>
        <v>725</v>
      </c>
      <c r="B726" s="9" t="s">
        <v>5579</v>
      </c>
      <c r="C726" s="10">
        <v>39.2883436</v>
      </c>
      <c r="D726" s="10">
        <v>-76.6103357</v>
      </c>
      <c r="E726" s="9" t="s">
        <v>5580</v>
      </c>
      <c r="F726" s="9" t="s">
        <v>5581</v>
      </c>
      <c r="G726" s="9" t="s">
        <v>5582</v>
      </c>
      <c r="H726" s="9" t="s">
        <v>3216</v>
      </c>
      <c r="I726" s="9" t="s">
        <v>44</v>
      </c>
      <c r="J726" s="9" t="s">
        <v>5583</v>
      </c>
      <c r="K726" s="12" t="s">
        <v>5584</v>
      </c>
      <c r="L726" s="9" t="s">
        <v>5585</v>
      </c>
      <c r="M726" s="9">
        <v>49.90065784</v>
      </c>
      <c r="N726" s="10">
        <v>61.73191967</v>
      </c>
      <c r="O726" s="10" t="s">
        <v>5586</v>
      </c>
      <c r="P726" s="9">
        <v>9082026.0</v>
      </c>
      <c r="Q726" s="7" t="str">
        <f>IF(OR(ISBLANK(M726), ISBLANK(N726)), "", IF(N726 &lt; Sheet3!$B$6, "Insufficient Reviews", IF(M726 &gt;= Sheet3!$B$2, "Highly Reliable", IF(M726 &gt;= Sheet3!$B$3, "Reliable", IF(M726 &gt;= Sheet3!$B$4, "Mixed Reviews", "Low Reliability")))))</f>
        <v>Low Reliability</v>
      </c>
    </row>
    <row r="727">
      <c r="A727" s="3">
        <f t="shared" si="1"/>
        <v>726</v>
      </c>
      <c r="B727" s="9" t="s">
        <v>5587</v>
      </c>
      <c r="C727" s="10">
        <v>39.3729347</v>
      </c>
      <c r="D727" s="10">
        <v>-76.608995</v>
      </c>
      <c r="E727" s="9" t="s">
        <v>5588</v>
      </c>
      <c r="F727" s="9" t="s">
        <v>5589</v>
      </c>
      <c r="G727" s="9"/>
      <c r="H727" s="9" t="s">
        <v>303</v>
      </c>
      <c r="I727" s="9" t="s">
        <v>27</v>
      </c>
      <c r="J727" s="9" t="s">
        <v>5590</v>
      </c>
      <c r="K727" s="12" t="s">
        <v>5591</v>
      </c>
      <c r="L727" s="9" t="s">
        <v>5592</v>
      </c>
      <c r="M727" s="9">
        <v>61.33180604</v>
      </c>
      <c r="N727" s="10">
        <v>70.32098391</v>
      </c>
      <c r="O727" s="10" t="s">
        <v>5593</v>
      </c>
      <c r="P727" s="9">
        <v>9082026.0</v>
      </c>
      <c r="Q727" s="7" t="str">
        <f>IF(OR(ISBLANK(M727), ISBLANK(N727)), "", IF(N727 &lt; Sheet3!$B$6, "Insufficient Reviews", IF(M727 &gt;= Sheet3!$B$2, "Highly Reliable", IF(M727 &gt;= Sheet3!$B$3, "Reliable", IF(M727 &gt;= Sheet3!$B$4, "Mixed Reviews", "Low Reliability")))))</f>
        <v>Mixed Reviews</v>
      </c>
    </row>
    <row r="728">
      <c r="A728" s="3">
        <f t="shared" si="1"/>
        <v>727</v>
      </c>
      <c r="B728" s="9" t="s">
        <v>5594</v>
      </c>
      <c r="C728" s="10">
        <v>39.3328706</v>
      </c>
      <c r="D728" s="10">
        <v>-76.6404627</v>
      </c>
      <c r="E728" s="9" t="s">
        <v>5595</v>
      </c>
      <c r="F728" s="9" t="s">
        <v>5596</v>
      </c>
      <c r="G728" s="9" t="s">
        <v>5597</v>
      </c>
      <c r="H728" s="9" t="s">
        <v>126</v>
      </c>
      <c r="I728" s="9" t="s">
        <v>27</v>
      </c>
      <c r="J728" s="9" t="s">
        <v>5598</v>
      </c>
      <c r="K728" s="12" t="s">
        <v>5599</v>
      </c>
      <c r="L728" s="9" t="s">
        <v>5600</v>
      </c>
      <c r="M728" s="9">
        <v>66.59306159</v>
      </c>
      <c r="N728" s="10">
        <v>87.28847183</v>
      </c>
      <c r="O728" s="10" t="s">
        <v>5601</v>
      </c>
      <c r="P728" s="9">
        <v>9082026.0</v>
      </c>
      <c r="Q728" s="7" t="str">
        <f>IF(OR(ISBLANK(M728), ISBLANK(N728)), "", IF(N728 &lt; Sheet3!$B$6, "Insufficient Reviews", IF(M728 &gt;= Sheet3!$B$2, "Highly Reliable", IF(M728 &gt;= Sheet3!$B$3, "Reliable", IF(M728 &gt;= Sheet3!$B$4, "Mixed Reviews", "Low Reliability")))))</f>
        <v>Mixed Reviews</v>
      </c>
    </row>
    <row r="729">
      <c r="A729" s="3">
        <f t="shared" si="1"/>
        <v>728</v>
      </c>
      <c r="B729" s="9" t="s">
        <v>2244</v>
      </c>
      <c r="C729" s="10">
        <v>39.2719396</v>
      </c>
      <c r="D729" s="10">
        <v>-76.7461683</v>
      </c>
      <c r="E729" s="9" t="s">
        <v>2245</v>
      </c>
      <c r="F729" s="9" t="s">
        <v>2246</v>
      </c>
      <c r="G729" s="9"/>
      <c r="H729" s="11"/>
      <c r="I729" s="9" t="s">
        <v>81</v>
      </c>
      <c r="J729" s="9" t="s">
        <v>5602</v>
      </c>
      <c r="K729" s="12" t="s">
        <v>2249</v>
      </c>
      <c r="L729" s="9" t="s">
        <v>5603</v>
      </c>
      <c r="M729" s="9">
        <v>77.4252159</v>
      </c>
      <c r="N729" s="10">
        <v>47.56900186</v>
      </c>
      <c r="O729" s="10" t="s">
        <v>5604</v>
      </c>
      <c r="P729" s="9">
        <v>9082026.0</v>
      </c>
      <c r="Q729" s="7" t="str">
        <f>IF(OR(ISBLANK(M729), ISBLANK(N729)), "", IF(N729 &lt; Sheet3!$B$6, "Insufficient Reviews", IF(M729 &gt;= Sheet3!$B$2, "Highly Reliable", IF(M729 &gt;= Sheet3!$B$3, "Reliable", IF(M729 &gt;= Sheet3!$B$4, "Mixed Reviews", "Low Reliability")))))</f>
        <v>Reliable</v>
      </c>
    </row>
    <row r="730">
      <c r="A730" s="3">
        <f t="shared" si="1"/>
        <v>729</v>
      </c>
      <c r="B730" s="9" t="s">
        <v>5605</v>
      </c>
      <c r="C730" s="10">
        <v>39.3937068</v>
      </c>
      <c r="D730" s="10">
        <v>-76.5761274</v>
      </c>
      <c r="E730" s="9" t="s">
        <v>5606</v>
      </c>
      <c r="F730" s="9" t="s">
        <v>5607</v>
      </c>
      <c r="G730" s="9"/>
      <c r="H730" s="9" t="s">
        <v>126</v>
      </c>
      <c r="I730" s="9" t="s">
        <v>35</v>
      </c>
      <c r="J730" s="9" t="s">
        <v>5608</v>
      </c>
      <c r="K730" s="12" t="s">
        <v>5609</v>
      </c>
      <c r="L730" s="9" t="s">
        <v>5610</v>
      </c>
      <c r="M730" s="9">
        <v>72.0</v>
      </c>
      <c r="N730" s="10">
        <v>37.90283464</v>
      </c>
      <c r="O730" s="10" t="s">
        <v>5611</v>
      </c>
      <c r="P730" s="9">
        <v>9082026.0</v>
      </c>
      <c r="Q730" s="7" t="str">
        <f>IF(OR(ISBLANK(M730), ISBLANK(N730)), "", IF(N730 &lt; Sheet3!$B$6, "Insufficient Reviews", IF(M730 &gt;= Sheet3!$B$2, "Highly Reliable", IF(M730 &gt;= Sheet3!$B$3, "Reliable", IF(M730 &gt;= Sheet3!$B$4, "Mixed Reviews", "Low Reliability")))))</f>
        <v>Insufficient Reviews</v>
      </c>
    </row>
    <row r="731">
      <c r="A731" s="3">
        <f t="shared" si="1"/>
        <v>730</v>
      </c>
      <c r="B731" s="9" t="s">
        <v>5612</v>
      </c>
      <c r="C731" s="10">
        <v>39.3095728</v>
      </c>
      <c r="D731" s="10">
        <v>-76.6483504</v>
      </c>
      <c r="E731" s="9" t="s">
        <v>5613</v>
      </c>
      <c r="F731" s="9" t="s">
        <v>5614</v>
      </c>
      <c r="G731" s="11"/>
      <c r="H731" s="9" t="s">
        <v>5615</v>
      </c>
      <c r="I731" s="9" t="s">
        <v>44</v>
      </c>
      <c r="J731" s="9" t="s">
        <v>5616</v>
      </c>
      <c r="K731" s="12" t="s">
        <v>5617</v>
      </c>
      <c r="L731" s="9" t="s">
        <v>5618</v>
      </c>
      <c r="M731" s="9">
        <v>88.25009404</v>
      </c>
      <c r="N731" s="10">
        <v>76.19225395</v>
      </c>
      <c r="O731" s="10" t="s">
        <v>5619</v>
      </c>
      <c r="P731" s="9">
        <v>9082026.0</v>
      </c>
      <c r="Q731" s="7" t="str">
        <f>IF(OR(ISBLANK(M731), ISBLANK(N731)), "", IF(N731 &lt; Sheet3!$B$6, "Insufficient Reviews", IF(M731 &gt;= Sheet3!$B$2, "Highly Reliable", IF(M731 &gt;= Sheet3!$B$3, "Reliable", IF(M731 &gt;= Sheet3!$B$4, "Mixed Reviews", "Low Reliability")))))</f>
        <v>Highly Reliable</v>
      </c>
    </row>
    <row r="732">
      <c r="A732" s="3">
        <f t="shared" si="1"/>
        <v>731</v>
      </c>
      <c r="B732" s="9" t="s">
        <v>5620</v>
      </c>
      <c r="C732" s="10">
        <v>39.3281392</v>
      </c>
      <c r="D732" s="10">
        <v>-76.6101091</v>
      </c>
      <c r="E732" s="9" t="s">
        <v>5621</v>
      </c>
      <c r="F732" s="9" t="s">
        <v>5622</v>
      </c>
      <c r="G732" s="9" t="s">
        <v>5623</v>
      </c>
      <c r="H732" s="9" t="s">
        <v>5624</v>
      </c>
      <c r="I732" s="9" t="s">
        <v>44</v>
      </c>
      <c r="J732" s="9" t="s">
        <v>5625</v>
      </c>
      <c r="K732" s="12" t="s">
        <v>5626</v>
      </c>
      <c r="L732" s="9" t="s">
        <v>5627</v>
      </c>
      <c r="M732" s="9">
        <v>75.0</v>
      </c>
      <c r="N732" s="10">
        <v>59.56950131</v>
      </c>
      <c r="O732" s="10" t="s">
        <v>5628</v>
      </c>
      <c r="P732" s="9">
        <v>9082026.0</v>
      </c>
      <c r="Q732" s="7" t="str">
        <f>IF(OR(ISBLANK(M732), ISBLANK(N732)), "", IF(N732 &lt; Sheet3!$B$6, "Insufficient Reviews", IF(M732 &gt;= Sheet3!$B$2, "Highly Reliable", IF(M732 &gt;= Sheet3!$B$3, "Reliable", IF(M732 &gt;= Sheet3!$B$4, "Mixed Reviews", "Low Reliability")))))</f>
        <v>Reliable</v>
      </c>
    </row>
    <row r="733">
      <c r="A733" s="3">
        <f t="shared" si="1"/>
        <v>732</v>
      </c>
      <c r="B733" s="9" t="s">
        <v>5629</v>
      </c>
      <c r="C733" s="10">
        <v>39.3420586</v>
      </c>
      <c r="D733" s="10">
        <v>-76.5896209</v>
      </c>
      <c r="E733" s="9" t="s">
        <v>5630</v>
      </c>
      <c r="F733" s="9" t="s">
        <v>5631</v>
      </c>
      <c r="G733" s="9"/>
      <c r="H733" s="9" t="s">
        <v>126</v>
      </c>
      <c r="I733" s="9" t="s">
        <v>35</v>
      </c>
      <c r="J733" s="9" t="s">
        <v>5632</v>
      </c>
      <c r="K733" s="12" t="s">
        <v>5633</v>
      </c>
      <c r="L733" s="9" t="s">
        <v>5634</v>
      </c>
      <c r="M733" s="9">
        <v>72.10793177</v>
      </c>
      <c r="N733" s="10">
        <v>49.56484701</v>
      </c>
      <c r="O733" s="10" t="s">
        <v>5635</v>
      </c>
      <c r="P733" s="9">
        <v>9082026.0</v>
      </c>
      <c r="Q733" s="7" t="str">
        <f>IF(OR(ISBLANK(M733), ISBLANK(N733)), "", IF(N733 &lt; Sheet3!$B$6, "Insufficient Reviews", IF(M733 &gt;= Sheet3!$B$2, "Highly Reliable", IF(M733 &gt;= Sheet3!$B$3, "Reliable", IF(M733 &gt;= Sheet3!$B$4, "Mixed Reviews", "Low Reliability")))))</f>
        <v>Reliable</v>
      </c>
    </row>
    <row r="734">
      <c r="A734" s="3">
        <f t="shared" si="1"/>
        <v>733</v>
      </c>
      <c r="B734" s="9" t="s">
        <v>5636</v>
      </c>
      <c r="C734" s="10">
        <v>39.2279529</v>
      </c>
      <c r="D734" s="10">
        <v>-76.8241673</v>
      </c>
      <c r="E734" s="9" t="s">
        <v>5637</v>
      </c>
      <c r="F734" s="9" t="s">
        <v>5638</v>
      </c>
      <c r="G734" s="9"/>
      <c r="H734" s="9" t="s">
        <v>43</v>
      </c>
      <c r="I734" s="9" t="s">
        <v>44</v>
      </c>
      <c r="J734" s="9" t="s">
        <v>5639</v>
      </c>
      <c r="K734" s="12" t="s">
        <v>5640</v>
      </c>
      <c r="L734" s="9" t="s">
        <v>5641</v>
      </c>
      <c r="M734" s="9">
        <v>70.85551381</v>
      </c>
      <c r="N734" s="10">
        <v>71.86784286</v>
      </c>
      <c r="O734" s="10" t="s">
        <v>5642</v>
      </c>
      <c r="P734" s="9">
        <v>9082026.0</v>
      </c>
      <c r="Q734" s="7" t="str">
        <f>IF(OR(ISBLANK(M734), ISBLANK(N734)), "", IF(N734 &lt; Sheet3!$B$6, "Insufficient Reviews", IF(M734 &gt;= Sheet3!$B$2, "Highly Reliable", IF(M734 &gt;= Sheet3!$B$3, "Reliable", IF(M734 &gt;= Sheet3!$B$4, "Mixed Reviews", "Low Reliability")))))</f>
        <v>Reliable</v>
      </c>
    </row>
    <row r="735">
      <c r="A735" s="3">
        <f t="shared" si="1"/>
        <v>734</v>
      </c>
      <c r="B735" s="9" t="s">
        <v>5643</v>
      </c>
      <c r="C735" s="10">
        <v>39.3150004</v>
      </c>
      <c r="D735" s="10">
        <v>-76.6164504</v>
      </c>
      <c r="E735" s="9" t="s">
        <v>5333</v>
      </c>
      <c r="F735" s="9" t="s">
        <v>5644</v>
      </c>
      <c r="G735" s="9" t="s">
        <v>5645</v>
      </c>
      <c r="H735" s="9" t="s">
        <v>135</v>
      </c>
      <c r="I735" s="9" t="s">
        <v>44</v>
      </c>
      <c r="J735" s="9" t="s">
        <v>5646</v>
      </c>
      <c r="K735" s="12" t="s">
        <v>5647</v>
      </c>
      <c r="L735" s="9" t="s">
        <v>5648</v>
      </c>
      <c r="M735" s="9">
        <v>76.75728436</v>
      </c>
      <c r="N735" s="10">
        <v>69.83228725</v>
      </c>
      <c r="O735" s="10" t="s">
        <v>5649</v>
      </c>
      <c r="P735" s="9">
        <v>9082026.0</v>
      </c>
      <c r="Q735" s="7" t="str">
        <f>IF(OR(ISBLANK(M735), ISBLANK(N735)), "", IF(N735 &lt; Sheet3!$B$6, "Insufficient Reviews", IF(M735 &gt;= Sheet3!$B$2, "Highly Reliable", IF(M735 &gt;= Sheet3!$B$3, "Reliable", IF(M735 &gt;= Sheet3!$B$4, "Mixed Reviews", "Low Reliability")))))</f>
        <v>Reliable</v>
      </c>
    </row>
    <row r="736">
      <c r="A736" s="3">
        <f t="shared" si="1"/>
        <v>735</v>
      </c>
      <c r="B736" s="9" t="s">
        <v>5650</v>
      </c>
      <c r="C736" s="10">
        <v>39.2335171</v>
      </c>
      <c r="D736" s="10">
        <v>-76.8203344</v>
      </c>
      <c r="E736" s="9" t="s">
        <v>5651</v>
      </c>
      <c r="F736" s="9" t="s">
        <v>5652</v>
      </c>
      <c r="G736" s="11"/>
      <c r="H736" s="9" t="s">
        <v>126</v>
      </c>
      <c r="I736" s="9" t="s">
        <v>35</v>
      </c>
      <c r="J736" s="9" t="s">
        <v>5653</v>
      </c>
      <c r="K736" s="12" t="s">
        <v>5654</v>
      </c>
      <c r="L736" s="9" t="s">
        <v>5655</v>
      </c>
      <c r="M736" s="9">
        <v>74.9236578</v>
      </c>
      <c r="N736" s="10">
        <v>91.17040189</v>
      </c>
      <c r="O736" s="10" t="s">
        <v>5656</v>
      </c>
      <c r="P736" s="9">
        <v>9082026.0</v>
      </c>
      <c r="Q736" s="7" t="str">
        <f>IF(OR(ISBLANK(M736), ISBLANK(N736)), "", IF(N736 &lt; Sheet3!$B$6, "Insufficient Reviews", IF(M736 &gt;= Sheet3!$B$2, "Highly Reliable", IF(M736 &gt;= Sheet3!$B$3, "Reliable", IF(M736 &gt;= Sheet3!$B$4, "Mixed Reviews", "Low Reliability")))))</f>
        <v>Reliable</v>
      </c>
    </row>
    <row r="737">
      <c r="A737" s="3">
        <f t="shared" si="1"/>
        <v>736</v>
      </c>
      <c r="B737" s="9" t="s">
        <v>5657</v>
      </c>
      <c r="C737" s="10">
        <v>39.3178928</v>
      </c>
      <c r="D737" s="10">
        <v>-76.6120568</v>
      </c>
      <c r="E737" s="9" t="s">
        <v>5658</v>
      </c>
      <c r="F737" s="9" t="s">
        <v>5659</v>
      </c>
      <c r="G737" s="9" t="s">
        <v>5660</v>
      </c>
      <c r="H737" s="9" t="s">
        <v>126</v>
      </c>
      <c r="I737" s="9" t="s">
        <v>81</v>
      </c>
      <c r="J737" s="9" t="s">
        <v>5661</v>
      </c>
      <c r="K737" s="12" t="s">
        <v>5662</v>
      </c>
      <c r="L737" s="9" t="s">
        <v>5663</v>
      </c>
      <c r="M737" s="9">
        <v>66.15688734</v>
      </c>
      <c r="N737" s="10">
        <v>91.27175861</v>
      </c>
      <c r="O737" s="10" t="s">
        <v>5664</v>
      </c>
      <c r="P737" s="9">
        <v>9082026.0</v>
      </c>
      <c r="Q737" s="7" t="str">
        <f>IF(OR(ISBLANK(M737), ISBLANK(N737)), "", IF(N737 &lt; Sheet3!$B$6, "Insufficient Reviews", IF(M737 &gt;= Sheet3!$B$2, "Highly Reliable", IF(M737 &gt;= Sheet3!$B$3, "Reliable", IF(M737 &gt;= Sheet3!$B$4, "Mixed Reviews", "Low Reliability")))))</f>
        <v>Mixed Reviews</v>
      </c>
    </row>
    <row r="738">
      <c r="A738" s="3">
        <f t="shared" si="1"/>
        <v>737</v>
      </c>
      <c r="B738" s="9" t="s">
        <v>5665</v>
      </c>
      <c r="C738" s="10">
        <v>39.2869881</v>
      </c>
      <c r="D738" s="10">
        <v>-76.6153672</v>
      </c>
      <c r="E738" s="9" t="s">
        <v>5666</v>
      </c>
      <c r="F738" s="9" t="s">
        <v>5667</v>
      </c>
      <c r="G738" s="9" t="s">
        <v>5668</v>
      </c>
      <c r="H738" s="9"/>
      <c r="I738" s="9" t="s">
        <v>81</v>
      </c>
      <c r="J738" s="9" t="s">
        <v>5669</v>
      </c>
      <c r="K738" s="12" t="s">
        <v>5670</v>
      </c>
      <c r="L738" s="9" t="s">
        <v>5671</v>
      </c>
      <c r="M738" s="10">
        <v>61.84401833</v>
      </c>
      <c r="N738" s="10">
        <v>64.13073751</v>
      </c>
      <c r="O738" s="9" t="s">
        <v>5672</v>
      </c>
      <c r="P738" s="9">
        <v>9082026.0</v>
      </c>
      <c r="Q738" s="7" t="str">
        <f>IF(OR(ISBLANK(M738), ISBLANK(N738)), "", IF(N738 &lt; Sheet3!$B$6, "Insufficient Reviews", IF(M738 &gt;= Sheet3!$B$2, "Highly Reliable", IF(M738 &gt;= Sheet3!$B$3, "Reliable", IF(M738 &gt;= Sheet3!$B$4, "Mixed Reviews", "Low Reliability")))))</f>
        <v>Mixed Reviews</v>
      </c>
    </row>
    <row r="739">
      <c r="A739" s="3">
        <f t="shared" si="1"/>
        <v>738</v>
      </c>
      <c r="B739" s="9" t="s">
        <v>5673</v>
      </c>
      <c r="C739" s="10">
        <v>39.2513136</v>
      </c>
      <c r="D739" s="10">
        <v>-76.6709305</v>
      </c>
      <c r="E739" s="9" t="s">
        <v>5674</v>
      </c>
      <c r="F739" s="9" t="s">
        <v>5675</v>
      </c>
      <c r="G739" s="9" t="s">
        <v>5676</v>
      </c>
      <c r="H739" s="9" t="s">
        <v>5677</v>
      </c>
      <c r="I739" s="9" t="s">
        <v>81</v>
      </c>
      <c r="J739" s="9" t="s">
        <v>5678</v>
      </c>
      <c r="K739" s="12" t="s">
        <v>5679</v>
      </c>
      <c r="L739" s="9" t="s">
        <v>5680</v>
      </c>
      <c r="M739" s="9">
        <v>75.11802926</v>
      </c>
      <c r="N739" s="10">
        <v>72.82240148</v>
      </c>
      <c r="O739" s="10" t="s">
        <v>5681</v>
      </c>
      <c r="P739" s="9">
        <v>9082026.0</v>
      </c>
      <c r="Q739" s="7" t="str">
        <f>IF(OR(ISBLANK(M739), ISBLANK(N739)), "", IF(N739 &lt; Sheet3!$B$6, "Insufficient Reviews", IF(M739 &gt;= Sheet3!$B$2, "Highly Reliable", IF(M739 &gt;= Sheet3!$B$3, "Reliable", IF(M739 &gt;= Sheet3!$B$4, "Mixed Reviews", "Low Reliability")))))</f>
        <v>Reliable</v>
      </c>
    </row>
    <row r="740">
      <c r="A740" s="3">
        <f t="shared" si="1"/>
        <v>739</v>
      </c>
      <c r="B740" s="9" t="s">
        <v>5682</v>
      </c>
      <c r="C740" s="10">
        <v>39.335211</v>
      </c>
      <c r="D740" s="10">
        <v>-76.5488908</v>
      </c>
      <c r="E740" s="9" t="s">
        <v>5683</v>
      </c>
      <c r="F740" s="9" t="s">
        <v>5684</v>
      </c>
      <c r="G740" s="9" t="s">
        <v>5685</v>
      </c>
      <c r="H740" s="9"/>
      <c r="I740" s="9" t="s">
        <v>81</v>
      </c>
      <c r="J740" s="9" t="s">
        <v>5686</v>
      </c>
      <c r="K740" s="12" t="s">
        <v>5687</v>
      </c>
      <c r="L740" s="9" t="s">
        <v>5688</v>
      </c>
      <c r="M740" s="9">
        <v>16.5</v>
      </c>
      <c r="N740" s="10">
        <v>53.5</v>
      </c>
      <c r="O740" s="10" t="s">
        <v>4794</v>
      </c>
      <c r="P740" s="9">
        <v>9082026.0</v>
      </c>
      <c r="Q740" s="7" t="str">
        <f>IF(OR(ISBLANK(M740), ISBLANK(N740)), "", IF(N740 &lt; Sheet3!$B$6, "Insufficient Reviews", IF(M740 &gt;= Sheet3!$B$2, "Highly Reliable", IF(M740 &gt;= Sheet3!$B$3, "Reliable", IF(M740 &gt;= Sheet3!$B$4, "Mixed Reviews", "Low Reliability")))))</f>
        <v>Low Reliability</v>
      </c>
    </row>
    <row r="741">
      <c r="A741" s="3">
        <f t="shared" si="1"/>
        <v>740</v>
      </c>
      <c r="B741" s="9" t="s">
        <v>5689</v>
      </c>
      <c r="C741" s="10">
        <v>39.7173259</v>
      </c>
      <c r="D741" s="10">
        <v>-76.6572493</v>
      </c>
      <c r="E741" s="9" t="s">
        <v>5690</v>
      </c>
      <c r="F741" s="9" t="s">
        <v>5691</v>
      </c>
      <c r="G741" s="9"/>
      <c r="H741" s="9" t="s">
        <v>1476</v>
      </c>
      <c r="I741" s="9" t="s">
        <v>203</v>
      </c>
      <c r="J741" s="9" t="s">
        <v>5692</v>
      </c>
      <c r="K741" s="12" t="s">
        <v>5693</v>
      </c>
      <c r="L741" s="9" t="s">
        <v>5694</v>
      </c>
      <c r="M741" s="9">
        <v>71.16646431</v>
      </c>
      <c r="N741" s="10">
        <v>62.8726999</v>
      </c>
      <c r="O741" s="10" t="s">
        <v>5695</v>
      </c>
      <c r="P741" s="9">
        <v>9082026.0</v>
      </c>
      <c r="Q741" s="7" t="str">
        <f>IF(OR(ISBLANK(M741), ISBLANK(N741)), "", IF(N741 &lt; Sheet3!$B$6, "Insufficient Reviews", IF(M741 &gt;= Sheet3!$B$2, "Highly Reliable", IF(M741 &gt;= Sheet3!$B$3, "Reliable", IF(M741 &gt;= Sheet3!$B$4, "Mixed Reviews", "Low Reliability")))))</f>
        <v>Reliable</v>
      </c>
    </row>
    <row r="742">
      <c r="A742" s="3">
        <f t="shared" si="1"/>
        <v>741</v>
      </c>
      <c r="B742" s="9" t="s">
        <v>2658</v>
      </c>
      <c r="C742" s="10">
        <v>39.2493867</v>
      </c>
      <c r="D742" s="10">
        <v>-76.6275409</v>
      </c>
      <c r="E742" s="9" t="s">
        <v>2659</v>
      </c>
      <c r="F742" s="9" t="s">
        <v>2660</v>
      </c>
      <c r="G742" s="9" t="s">
        <v>5696</v>
      </c>
      <c r="H742" s="9" t="s">
        <v>62</v>
      </c>
      <c r="I742" s="9" t="s">
        <v>81</v>
      </c>
      <c r="J742" s="9" t="s">
        <v>5697</v>
      </c>
      <c r="K742" s="12" t="s">
        <v>2663</v>
      </c>
      <c r="L742" s="9" t="s">
        <v>5698</v>
      </c>
      <c r="M742" s="9">
        <v>57.3178963</v>
      </c>
      <c r="N742" s="10">
        <v>47.52669024</v>
      </c>
      <c r="O742" s="10" t="s">
        <v>5699</v>
      </c>
      <c r="P742" s="9">
        <v>9082026.0</v>
      </c>
      <c r="Q742" s="7" t="str">
        <f>IF(OR(ISBLANK(M742), ISBLANK(N742)), "", IF(N742 &lt; Sheet3!$B$6, "Insufficient Reviews", IF(M742 &gt;= Sheet3!$B$2, "Highly Reliable", IF(M742 &gt;= Sheet3!$B$3, "Reliable", IF(M742 &gt;= Sheet3!$B$4, "Mixed Reviews", "Low Reliability")))))</f>
        <v>Low Reliability</v>
      </c>
    </row>
    <row r="743">
      <c r="A743" s="3">
        <f t="shared" si="1"/>
        <v>742</v>
      </c>
      <c r="B743" s="9" t="s">
        <v>5700</v>
      </c>
      <c r="C743" s="10">
        <v>39.1896159</v>
      </c>
      <c r="D743" s="10">
        <v>-76.7529204</v>
      </c>
      <c r="E743" s="9" t="s">
        <v>2571</v>
      </c>
      <c r="F743" s="9" t="s">
        <v>5701</v>
      </c>
      <c r="G743" s="9"/>
      <c r="H743" s="9" t="s">
        <v>62</v>
      </c>
      <c r="I743" s="9" t="s">
        <v>91</v>
      </c>
      <c r="J743" s="9" t="s">
        <v>5702</v>
      </c>
      <c r="K743" s="12" t="s">
        <v>2576</v>
      </c>
      <c r="L743" s="9" t="s">
        <v>5703</v>
      </c>
      <c r="M743" s="9">
        <v>79.07700879</v>
      </c>
      <c r="N743" s="10">
        <v>90.03630787</v>
      </c>
      <c r="O743" s="10" t="s">
        <v>5704</v>
      </c>
      <c r="P743" s="9">
        <v>9082026.0</v>
      </c>
      <c r="Q743" s="7" t="str">
        <f>IF(OR(ISBLANK(M743), ISBLANK(N743)), "", IF(N743 &lt; Sheet3!$B$6, "Insufficient Reviews", IF(M743 &gt;= Sheet3!$B$2, "Highly Reliable", IF(M743 &gt;= Sheet3!$B$3, "Reliable", IF(M743 &gt;= Sheet3!$B$4, "Mixed Reviews", "Low Reliability")))))</f>
        <v>Reliable</v>
      </c>
    </row>
    <row r="744">
      <c r="A744" s="3">
        <f t="shared" si="1"/>
        <v>743</v>
      </c>
      <c r="B744" s="9" t="s">
        <v>5705</v>
      </c>
      <c r="C744" s="10">
        <v>39.1744375</v>
      </c>
      <c r="D744" s="10">
        <v>-76.8107356</v>
      </c>
      <c r="E744" s="9" t="s">
        <v>5706</v>
      </c>
      <c r="F744" s="9" t="s">
        <v>5707</v>
      </c>
      <c r="G744" s="11"/>
      <c r="H744" s="9" t="s">
        <v>126</v>
      </c>
      <c r="I744" s="9" t="s">
        <v>27</v>
      </c>
      <c r="J744" s="9" t="s">
        <v>5708</v>
      </c>
      <c r="K744" s="12" t="s">
        <v>5709</v>
      </c>
      <c r="L744" s="9" t="s">
        <v>5710</v>
      </c>
      <c r="M744" s="9">
        <v>80.02104226</v>
      </c>
      <c r="N744" s="10">
        <v>69.11686281</v>
      </c>
      <c r="O744" s="10" t="s">
        <v>5711</v>
      </c>
      <c r="P744" s="9">
        <v>9082026.0</v>
      </c>
      <c r="Q744" s="7" t="str">
        <f>IF(OR(ISBLANK(M744), ISBLANK(N744)), "", IF(N744 &lt; Sheet3!$B$6, "Insufficient Reviews", IF(M744 &gt;= Sheet3!$B$2, "Highly Reliable", IF(M744 &gt;= Sheet3!$B$3, "Reliable", IF(M744 &gt;= Sheet3!$B$4, "Mixed Reviews", "Low Reliability")))))</f>
        <v>Reliable</v>
      </c>
    </row>
    <row r="745">
      <c r="A745" s="3">
        <f t="shared" si="1"/>
        <v>744</v>
      </c>
      <c r="B745" s="9" t="s">
        <v>5712</v>
      </c>
      <c r="C745" s="10">
        <v>39.3528809</v>
      </c>
      <c r="D745" s="10">
        <v>-76.4629843</v>
      </c>
      <c r="E745" s="9" t="s">
        <v>5713</v>
      </c>
      <c r="F745" s="9" t="s">
        <v>5714</v>
      </c>
      <c r="G745" s="11"/>
      <c r="H745" s="9" t="s">
        <v>26</v>
      </c>
      <c r="I745" s="9" t="s">
        <v>35</v>
      </c>
      <c r="J745" s="9" t="s">
        <v>5715</v>
      </c>
      <c r="K745" s="12" t="s">
        <v>5716</v>
      </c>
      <c r="L745" s="9" t="s">
        <v>5717</v>
      </c>
      <c r="M745" s="9">
        <v>80.69686662</v>
      </c>
      <c r="N745" s="10">
        <v>92.85913121</v>
      </c>
      <c r="O745" s="10" t="s">
        <v>5718</v>
      </c>
      <c r="P745" s="9">
        <v>9082026.0</v>
      </c>
      <c r="Q745" s="7" t="str">
        <f>IF(OR(ISBLANK(M745), ISBLANK(N745)), "", IF(N745 &lt; Sheet3!$B$6, "Insufficient Reviews", IF(M745 &gt;= Sheet3!$B$2, "Highly Reliable", IF(M745 &gt;= Sheet3!$B$3, "Reliable", IF(M745 &gt;= Sheet3!$B$4, "Mixed Reviews", "Low Reliability")))))</f>
        <v>Reliable</v>
      </c>
    </row>
    <row r="746">
      <c r="A746" s="3">
        <f t="shared" si="1"/>
        <v>745</v>
      </c>
      <c r="B746" s="9" t="s">
        <v>5719</v>
      </c>
      <c r="C746" s="10">
        <v>39.2865409</v>
      </c>
      <c r="D746" s="10">
        <v>-77.1995315</v>
      </c>
      <c r="E746" s="9" t="s">
        <v>5720</v>
      </c>
      <c r="F746" s="9" t="s">
        <v>5721</v>
      </c>
      <c r="G746" s="9" t="s">
        <v>5722</v>
      </c>
      <c r="H746" s="9" t="s">
        <v>126</v>
      </c>
      <c r="I746" s="9" t="s">
        <v>81</v>
      </c>
      <c r="J746" s="9" t="s">
        <v>5723</v>
      </c>
      <c r="K746" s="12" t="s">
        <v>5724</v>
      </c>
      <c r="L746" s="9" t="s">
        <v>5725</v>
      </c>
      <c r="M746" s="9">
        <v>56.13085104</v>
      </c>
      <c r="N746" s="10">
        <v>64.17805838</v>
      </c>
      <c r="O746" s="10" t="s">
        <v>5726</v>
      </c>
      <c r="P746" s="9">
        <v>9082026.0</v>
      </c>
      <c r="Q746" s="7" t="str">
        <f>IF(OR(ISBLANK(M746), ISBLANK(N746)), "", IF(N746 &lt; Sheet3!$B$6, "Insufficient Reviews", IF(M746 &gt;= Sheet3!$B$2, "Highly Reliable", IF(M746 &gt;= Sheet3!$B$3, "Reliable", IF(M746 &gt;= Sheet3!$B$4, "Mixed Reviews", "Low Reliability")))))</f>
        <v>Low Reliability</v>
      </c>
    </row>
    <row r="747">
      <c r="A747" s="3">
        <f t="shared" si="1"/>
        <v>746</v>
      </c>
      <c r="B747" s="9" t="s">
        <v>5727</v>
      </c>
      <c r="C747" s="10">
        <v>39.152897</v>
      </c>
      <c r="D747" s="10">
        <v>-77.095252</v>
      </c>
      <c r="E747" s="9" t="s">
        <v>5728</v>
      </c>
      <c r="F747" s="9" t="s">
        <v>5729</v>
      </c>
      <c r="G747" s="11"/>
      <c r="H747" s="9" t="s">
        <v>135</v>
      </c>
      <c r="I747" s="9" t="s">
        <v>81</v>
      </c>
      <c r="J747" s="9" t="s">
        <v>5730</v>
      </c>
      <c r="K747" s="12" t="s">
        <v>5731</v>
      </c>
      <c r="L747" s="9" t="s">
        <v>5732</v>
      </c>
      <c r="M747" s="9">
        <v>77.61013623</v>
      </c>
      <c r="N747" s="10">
        <v>62.43826618</v>
      </c>
      <c r="O747" s="10" t="s">
        <v>5733</v>
      </c>
      <c r="P747" s="9">
        <v>9082026.0</v>
      </c>
      <c r="Q747" s="7" t="str">
        <f>IF(OR(ISBLANK(M747), ISBLANK(N747)), "", IF(N747 &lt; Sheet3!$B$6, "Insufficient Reviews", IF(M747 &gt;= Sheet3!$B$2, "Highly Reliable", IF(M747 &gt;= Sheet3!$B$3, "Reliable", IF(M747 &gt;= Sheet3!$B$4, "Mixed Reviews", "Low Reliability")))))</f>
        <v>Reliable</v>
      </c>
    </row>
    <row r="748">
      <c r="A748" s="3">
        <f t="shared" si="1"/>
        <v>747</v>
      </c>
      <c r="B748" s="9" t="s">
        <v>5734</v>
      </c>
      <c r="C748" s="10">
        <v>39.5209217</v>
      </c>
      <c r="D748" s="10">
        <v>-76.3573052</v>
      </c>
      <c r="E748" s="9" t="s">
        <v>5735</v>
      </c>
      <c r="F748" s="9" t="s">
        <v>5736</v>
      </c>
      <c r="G748" s="9" t="s">
        <v>5737</v>
      </c>
      <c r="H748" s="9" t="s">
        <v>5738</v>
      </c>
      <c r="I748" s="9" t="s">
        <v>81</v>
      </c>
      <c r="J748" s="9" t="s">
        <v>5739</v>
      </c>
      <c r="K748" s="12" t="s">
        <v>5740</v>
      </c>
      <c r="L748" s="9" t="s">
        <v>5741</v>
      </c>
      <c r="M748" s="9">
        <v>79.09230382</v>
      </c>
      <c r="N748" s="10">
        <v>91.49065148</v>
      </c>
      <c r="O748" s="10" t="s">
        <v>5742</v>
      </c>
      <c r="P748" s="9">
        <v>9082026.0</v>
      </c>
      <c r="Q748" s="7" t="str">
        <f>IF(OR(ISBLANK(M748), ISBLANK(N748)), "", IF(N748 &lt; Sheet3!$B$6, "Insufficient Reviews", IF(M748 &gt;= Sheet3!$B$2, "Highly Reliable", IF(M748 &gt;= Sheet3!$B$3, "Reliable", IF(M748 &gt;= Sheet3!$B$4, "Mixed Reviews", "Low Reliability")))))</f>
        <v>Reliable</v>
      </c>
    </row>
    <row r="749">
      <c r="A749" s="3">
        <f t="shared" si="1"/>
        <v>748</v>
      </c>
      <c r="B749" s="9" t="s">
        <v>5743</v>
      </c>
      <c r="C749" s="10">
        <v>39.1118684</v>
      </c>
      <c r="D749" s="10">
        <v>-77.0660877</v>
      </c>
      <c r="E749" s="9" t="s">
        <v>5744</v>
      </c>
      <c r="F749" s="9" t="s">
        <v>5745</v>
      </c>
      <c r="G749" s="11"/>
      <c r="H749" s="11"/>
      <c r="I749" s="9" t="s">
        <v>81</v>
      </c>
      <c r="J749" s="9" t="s">
        <v>5746</v>
      </c>
      <c r="K749" s="12" t="s">
        <v>5747</v>
      </c>
      <c r="L749" s="9" t="s">
        <v>5748</v>
      </c>
      <c r="M749" s="9">
        <v>15.0</v>
      </c>
      <c r="N749" s="10">
        <v>31.83333333</v>
      </c>
      <c r="O749" s="10" t="s">
        <v>5749</v>
      </c>
      <c r="P749" s="9">
        <v>9082026.0</v>
      </c>
      <c r="Q749" s="7" t="str">
        <f>IF(OR(ISBLANK(M749), ISBLANK(N749)), "", IF(N749 &lt; Sheet3!$B$6, "Insufficient Reviews", IF(M749 &gt;= Sheet3!$B$2, "Highly Reliable", IF(M749 &gt;= Sheet3!$B$3, "Reliable", IF(M749 &gt;= Sheet3!$B$4, "Mixed Reviews", "Low Reliability")))))</f>
        <v>Insufficient Reviews</v>
      </c>
    </row>
    <row r="750">
      <c r="A750" s="3">
        <f t="shared" si="1"/>
        <v>749</v>
      </c>
      <c r="B750" s="9" t="s">
        <v>5750</v>
      </c>
      <c r="C750" s="10">
        <v>39.4303037</v>
      </c>
      <c r="D750" s="10">
        <v>-76.3129744</v>
      </c>
      <c r="E750" s="9" t="s">
        <v>5751</v>
      </c>
      <c r="F750" s="9" t="s">
        <v>5752</v>
      </c>
      <c r="G750" s="9" t="s">
        <v>5753</v>
      </c>
      <c r="H750" s="9" t="s">
        <v>312</v>
      </c>
      <c r="I750" s="9" t="s">
        <v>81</v>
      </c>
      <c r="J750" s="9" t="s">
        <v>5754</v>
      </c>
      <c r="K750" s="12" t="s">
        <v>5755</v>
      </c>
      <c r="L750" s="9" t="s">
        <v>5756</v>
      </c>
      <c r="M750" s="9">
        <v>63.8501315</v>
      </c>
      <c r="N750" s="10">
        <v>88.60098248</v>
      </c>
      <c r="O750" s="10" t="s">
        <v>5757</v>
      </c>
      <c r="P750" s="9">
        <v>9082026.0</v>
      </c>
      <c r="Q750" s="7" t="str">
        <f>IF(OR(ISBLANK(M750), ISBLANK(N750)), "", IF(N750 &lt; Sheet3!$B$6, "Insufficient Reviews", IF(M750 &gt;= Sheet3!$B$2, "Highly Reliable", IF(M750 &gt;= Sheet3!$B$3, "Reliable", IF(M750 &gt;= Sheet3!$B$4, "Mixed Reviews", "Low Reliability")))))</f>
        <v>Mixed Reviews</v>
      </c>
    </row>
    <row r="751">
      <c r="A751" s="3">
        <f t="shared" si="1"/>
        <v>750</v>
      </c>
      <c r="B751" s="9" t="s">
        <v>5758</v>
      </c>
      <c r="C751" s="10">
        <v>39.1467431</v>
      </c>
      <c r="D751" s="10">
        <v>-77.1971944</v>
      </c>
      <c r="E751" s="9" t="s">
        <v>5759</v>
      </c>
      <c r="F751" s="9" t="s">
        <v>5760</v>
      </c>
      <c r="G751" s="9"/>
      <c r="H751" s="9" t="s">
        <v>135</v>
      </c>
      <c r="I751" s="9" t="s">
        <v>81</v>
      </c>
      <c r="J751" s="9" t="s">
        <v>5761</v>
      </c>
      <c r="K751" s="12" t="s">
        <v>5762</v>
      </c>
      <c r="L751" s="9" t="s">
        <v>5763</v>
      </c>
      <c r="M751" s="9">
        <v>78.87012646</v>
      </c>
      <c r="N751" s="10">
        <v>71.02789321</v>
      </c>
      <c r="O751" s="10" t="s">
        <v>5764</v>
      </c>
      <c r="P751" s="9">
        <v>9082026.0</v>
      </c>
      <c r="Q751" s="7" t="str">
        <f>IF(OR(ISBLANK(M751), ISBLANK(N751)), "", IF(N751 &lt; Sheet3!$B$6, "Insufficient Reviews", IF(M751 &gt;= Sheet3!$B$2, "Highly Reliable", IF(M751 &gt;= Sheet3!$B$3, "Reliable", IF(M751 &gt;= Sheet3!$B$4, "Mixed Reviews", "Low Reliability")))))</f>
        <v>Reliable</v>
      </c>
    </row>
    <row r="752">
      <c r="A752" s="3">
        <f t="shared" si="1"/>
        <v>751</v>
      </c>
      <c r="B752" s="9" t="s">
        <v>5765</v>
      </c>
      <c r="C752" s="10">
        <v>39.0459133</v>
      </c>
      <c r="D752" s="10">
        <v>-76.9893156</v>
      </c>
      <c r="E752" s="9" t="s">
        <v>5766</v>
      </c>
      <c r="F752" s="9" t="s">
        <v>5767</v>
      </c>
      <c r="G752" s="9" t="s">
        <v>5768</v>
      </c>
      <c r="H752" s="9"/>
      <c r="I752" s="9" t="s">
        <v>81</v>
      </c>
      <c r="J752" s="9" t="s">
        <v>5769</v>
      </c>
      <c r="K752" s="12" t="s">
        <v>5770</v>
      </c>
      <c r="L752" s="9" t="s">
        <v>5771</v>
      </c>
      <c r="M752" s="9">
        <v>77.65143868</v>
      </c>
      <c r="N752" s="10">
        <v>57.44620626</v>
      </c>
      <c r="O752" s="10" t="s">
        <v>5772</v>
      </c>
      <c r="P752" s="9">
        <v>9082026.0</v>
      </c>
      <c r="Q752" s="7" t="str">
        <f>IF(OR(ISBLANK(M752), ISBLANK(N752)), "", IF(N752 &lt; Sheet3!$B$6, "Insufficient Reviews", IF(M752 &gt;= Sheet3!$B$2, "Highly Reliable", IF(M752 &gt;= Sheet3!$B$3, "Reliable", IF(M752 &gt;= Sheet3!$B$4, "Mixed Reviews", "Low Reliability")))))</f>
        <v>Reliable</v>
      </c>
    </row>
    <row r="753">
      <c r="A753" s="3">
        <f t="shared" si="1"/>
        <v>752</v>
      </c>
      <c r="B753" s="9" t="s">
        <v>5773</v>
      </c>
      <c r="C753" s="10">
        <v>39.0803073</v>
      </c>
      <c r="D753" s="10">
        <v>-77.1512126</v>
      </c>
      <c r="E753" s="9" t="s">
        <v>5774</v>
      </c>
      <c r="F753" s="9" t="s">
        <v>5775</v>
      </c>
      <c r="G753" s="9" t="s">
        <v>5776</v>
      </c>
      <c r="H753" s="9" t="s">
        <v>126</v>
      </c>
      <c r="I753" s="9" t="s">
        <v>81</v>
      </c>
      <c r="J753" s="9" t="s">
        <v>5777</v>
      </c>
      <c r="K753" s="12" t="s">
        <v>5778</v>
      </c>
      <c r="L753" s="9" t="s">
        <v>5779</v>
      </c>
      <c r="M753" s="9">
        <v>79.28055613</v>
      </c>
      <c r="N753" s="10">
        <v>53.37532431</v>
      </c>
      <c r="O753" s="10" t="s">
        <v>5780</v>
      </c>
      <c r="P753" s="9">
        <v>9082026.0</v>
      </c>
      <c r="Q753" s="7" t="str">
        <f>IF(OR(ISBLANK(M753), ISBLANK(N753)), "", IF(N753 &lt; Sheet3!$B$6, "Insufficient Reviews", IF(M753 &gt;= Sheet3!$B$2, "Highly Reliable", IF(M753 &gt;= Sheet3!$B$3, "Reliable", IF(M753 &gt;= Sheet3!$B$4, "Mixed Reviews", "Low Reliability")))))</f>
        <v>Reliable</v>
      </c>
    </row>
    <row r="754">
      <c r="A754" s="3">
        <f t="shared" si="1"/>
        <v>753</v>
      </c>
      <c r="B754" s="9" t="s">
        <v>5781</v>
      </c>
      <c r="C754" s="10">
        <v>39.0091844</v>
      </c>
      <c r="D754" s="10">
        <v>-76.9825521</v>
      </c>
      <c r="E754" s="9" t="s">
        <v>5782</v>
      </c>
      <c r="F754" s="9" t="s">
        <v>5783</v>
      </c>
      <c r="G754" s="9" t="s">
        <v>5784</v>
      </c>
      <c r="H754" s="9" t="s">
        <v>126</v>
      </c>
      <c r="I754" s="9" t="s">
        <v>81</v>
      </c>
      <c r="J754" s="9" t="s">
        <v>5785</v>
      </c>
      <c r="K754" s="12" t="s">
        <v>5786</v>
      </c>
      <c r="L754" s="9" t="s">
        <v>5787</v>
      </c>
      <c r="M754" s="9">
        <v>65.94236266</v>
      </c>
      <c r="N754" s="10">
        <v>54.45964611</v>
      </c>
      <c r="O754" s="10" t="s">
        <v>5788</v>
      </c>
      <c r="P754" s="9">
        <v>9082026.0</v>
      </c>
      <c r="Q754" s="7" t="str">
        <f>IF(OR(ISBLANK(M754), ISBLANK(N754)), "", IF(N754 &lt; Sheet3!$B$6, "Insufficient Reviews", IF(M754 &gt;= Sheet3!$B$2, "Highly Reliable", IF(M754 &gt;= Sheet3!$B$3, "Reliable", IF(M754 &gt;= Sheet3!$B$4, "Mixed Reviews", "Low Reliability")))))</f>
        <v>Mixed Reviews</v>
      </c>
    </row>
    <row r="755">
      <c r="A755" s="3">
        <f t="shared" si="1"/>
        <v>754</v>
      </c>
      <c r="B755" s="9" t="s">
        <v>5789</v>
      </c>
      <c r="C755" s="10">
        <v>39.0199114</v>
      </c>
      <c r="D755" s="10">
        <v>-77.0571975</v>
      </c>
      <c r="E755" s="9" t="s">
        <v>5790</v>
      </c>
      <c r="F755" s="9" t="s">
        <v>5791</v>
      </c>
      <c r="G755" s="9" t="s">
        <v>5792</v>
      </c>
      <c r="H755" s="9" t="s">
        <v>62</v>
      </c>
      <c r="I755" s="9" t="s">
        <v>81</v>
      </c>
      <c r="J755" s="9" t="s">
        <v>5793</v>
      </c>
      <c r="K755" s="12" t="s">
        <v>5794</v>
      </c>
      <c r="L755" s="9" t="s">
        <v>5795</v>
      </c>
      <c r="M755" s="9">
        <v>85.99606254</v>
      </c>
      <c r="N755" s="10">
        <v>73.05327343</v>
      </c>
      <c r="O755" s="10" t="s">
        <v>5796</v>
      </c>
      <c r="P755" s="9">
        <v>9082026.0</v>
      </c>
      <c r="Q755" s="7" t="str">
        <f>IF(OR(ISBLANK(M755), ISBLANK(N755)), "", IF(N755 &lt; Sheet3!$B$6, "Insufficient Reviews", IF(M755 &gt;= Sheet3!$B$2, "Highly Reliable", IF(M755 &gt;= Sheet3!$B$3, "Reliable", IF(M755 &gt;= Sheet3!$B$4, "Mixed Reviews", "Low Reliability")))))</f>
        <v>Highly Reliable</v>
      </c>
    </row>
    <row r="756">
      <c r="A756" s="3">
        <f t="shared" si="1"/>
        <v>755</v>
      </c>
      <c r="B756" s="9" t="s">
        <v>5797</v>
      </c>
      <c r="C756" s="10">
        <v>38.9684778</v>
      </c>
      <c r="D756" s="10">
        <v>-76.8621185</v>
      </c>
      <c r="E756" s="9" t="s">
        <v>5798</v>
      </c>
      <c r="F756" s="9" t="s">
        <v>5799</v>
      </c>
      <c r="G756" s="9"/>
      <c r="H756" s="9"/>
      <c r="I756" s="9" t="s">
        <v>44</v>
      </c>
      <c r="J756" s="9" t="s">
        <v>5800</v>
      </c>
      <c r="K756" s="12" t="s">
        <v>5801</v>
      </c>
      <c r="L756" s="9" t="s">
        <v>5802</v>
      </c>
      <c r="M756" s="9">
        <v>15.0</v>
      </c>
      <c r="N756" s="10">
        <v>31.83333333</v>
      </c>
      <c r="O756" s="10" t="s">
        <v>634</v>
      </c>
      <c r="P756" s="9">
        <v>9082026.0</v>
      </c>
      <c r="Q756" s="7" t="str">
        <f>IF(OR(ISBLANK(M756), ISBLANK(N756)), "", IF(N756 &lt; Sheet3!$B$6, "Insufficient Reviews", IF(M756 &gt;= Sheet3!$B$2, "Highly Reliable", IF(M756 &gt;= Sheet3!$B$3, "Reliable", IF(M756 &gt;= Sheet3!$B$4, "Mixed Reviews", "Low Reliability")))))</f>
        <v>Insufficient Reviews</v>
      </c>
    </row>
    <row r="757">
      <c r="A757" s="3">
        <f t="shared" si="1"/>
        <v>756</v>
      </c>
      <c r="B757" s="9" t="s">
        <v>5803</v>
      </c>
      <c r="C757" s="10">
        <v>38.9930879</v>
      </c>
      <c r="D757" s="10">
        <v>-76.7236839</v>
      </c>
      <c r="E757" s="9" t="s">
        <v>5804</v>
      </c>
      <c r="F757" s="9" t="s">
        <v>5805</v>
      </c>
      <c r="G757" s="11"/>
      <c r="H757" s="11"/>
      <c r="I757" s="9" t="s">
        <v>91</v>
      </c>
      <c r="J757" s="9" t="s">
        <v>5806</v>
      </c>
      <c r="K757" s="9"/>
      <c r="L757" s="9" t="s">
        <v>5807</v>
      </c>
      <c r="M757" s="9">
        <v>10.5</v>
      </c>
      <c r="N757" s="10">
        <v>15.16666667</v>
      </c>
      <c r="O757" s="10" t="s">
        <v>3842</v>
      </c>
      <c r="P757" s="9">
        <v>9082026.0</v>
      </c>
      <c r="Q757" s="7" t="str">
        <f>IF(OR(ISBLANK(M757), ISBLANK(N757)), "", IF(N757 &lt; Sheet3!$B$6, "Insufficient Reviews", IF(M757 &gt;= Sheet3!$B$2, "Highly Reliable", IF(M757 &gt;= Sheet3!$B$3, "Reliable", IF(M757 &gt;= Sheet3!$B$4, "Mixed Reviews", "Low Reliability")))))</f>
        <v>Insufficient Reviews</v>
      </c>
    </row>
    <row r="758">
      <c r="A758" s="3">
        <f t="shared" si="1"/>
        <v>757</v>
      </c>
      <c r="B758" s="9" t="s">
        <v>5808</v>
      </c>
      <c r="C758" s="10">
        <v>38.9909704</v>
      </c>
      <c r="D758" s="10">
        <v>-76.6971016</v>
      </c>
      <c r="E758" s="9" t="s">
        <v>5809</v>
      </c>
      <c r="F758" s="9" t="s">
        <v>5810</v>
      </c>
      <c r="G758" s="11"/>
      <c r="H758" s="11"/>
      <c r="I758" s="9" t="s">
        <v>35</v>
      </c>
      <c r="J758" s="9" t="s">
        <v>5811</v>
      </c>
      <c r="K758" s="12" t="s">
        <v>5812</v>
      </c>
      <c r="L758" s="9" t="s">
        <v>5813</v>
      </c>
      <c r="M758" s="9">
        <v>81.77189813</v>
      </c>
      <c r="N758" s="10">
        <v>69.64154908</v>
      </c>
      <c r="O758" s="10" t="s">
        <v>5814</v>
      </c>
      <c r="P758" s="9">
        <v>9082026.0</v>
      </c>
      <c r="Q758" s="7" t="str">
        <f>IF(OR(ISBLANK(M758), ISBLANK(N758)), "", IF(N758 &lt; Sheet3!$B$6, "Insufficient Reviews", IF(M758 &gt;= Sheet3!$B$2, "Highly Reliable", IF(M758 &gt;= Sheet3!$B$3, "Reliable", IF(M758 &gt;= Sheet3!$B$4, "Mixed Reviews", "Low Reliability")))))</f>
        <v>Reliable</v>
      </c>
    </row>
    <row r="759">
      <c r="A759" s="3">
        <f t="shared" si="1"/>
        <v>758</v>
      </c>
      <c r="B759" s="9" t="s">
        <v>5815</v>
      </c>
      <c r="C759" s="10">
        <v>38.974679</v>
      </c>
      <c r="D759" s="10">
        <v>-77.0102176</v>
      </c>
      <c r="E759" s="9" t="s">
        <v>5816</v>
      </c>
      <c r="F759" s="9" t="s">
        <v>5817</v>
      </c>
      <c r="G759" s="9" t="s">
        <v>5818</v>
      </c>
      <c r="H759" s="9" t="s">
        <v>126</v>
      </c>
      <c r="I759" s="9" t="s">
        <v>81</v>
      </c>
      <c r="J759" s="9" t="s">
        <v>5819</v>
      </c>
      <c r="K759" s="12" t="s">
        <v>5820</v>
      </c>
      <c r="L759" s="9" t="s">
        <v>5821</v>
      </c>
      <c r="M759" s="9">
        <v>75.96555535</v>
      </c>
      <c r="N759" s="10">
        <v>61.73951151</v>
      </c>
      <c r="O759" s="10" t="s">
        <v>5822</v>
      </c>
      <c r="P759" s="9">
        <v>9082026.0</v>
      </c>
      <c r="Q759" s="7" t="str">
        <f>IF(OR(ISBLANK(M759), ISBLANK(N759)), "", IF(N759 &lt; Sheet3!$B$6, "Insufficient Reviews", IF(M759 &gt;= Sheet3!$B$2, "Highly Reliable", IF(M759 &gt;= Sheet3!$B$3, "Reliable", IF(M759 &gt;= Sheet3!$B$4, "Mixed Reviews", "Low Reliability")))))</f>
        <v>Reliable</v>
      </c>
    </row>
    <row r="760">
      <c r="A760" s="3">
        <f t="shared" si="1"/>
        <v>759</v>
      </c>
      <c r="B760" s="9" t="s">
        <v>5823</v>
      </c>
      <c r="C760" s="10">
        <v>38.9641639</v>
      </c>
      <c r="D760" s="10">
        <v>-76.9870797</v>
      </c>
      <c r="E760" s="9" t="s">
        <v>5824</v>
      </c>
      <c r="F760" s="9" t="s">
        <v>5825</v>
      </c>
      <c r="G760" s="9" t="s">
        <v>5826</v>
      </c>
      <c r="H760" s="9" t="s">
        <v>126</v>
      </c>
      <c r="I760" s="9" t="s">
        <v>81</v>
      </c>
      <c r="J760" s="9" t="s">
        <v>5827</v>
      </c>
      <c r="K760" s="12" t="s">
        <v>5828</v>
      </c>
      <c r="L760" s="9" t="s">
        <v>5829</v>
      </c>
      <c r="M760" s="9">
        <v>67.83954305</v>
      </c>
      <c r="N760" s="10">
        <v>58.76108424</v>
      </c>
      <c r="O760" s="10" t="s">
        <v>5830</v>
      </c>
      <c r="P760" s="9">
        <v>9082026.0</v>
      </c>
      <c r="Q760" s="7" t="str">
        <f>IF(OR(ISBLANK(M760), ISBLANK(N760)), "", IF(N760 &lt; Sheet3!$B$6, "Insufficient Reviews", IF(M760 &gt;= Sheet3!$B$2, "Highly Reliable", IF(M760 &gt;= Sheet3!$B$3, "Reliable", IF(M760 &gt;= Sheet3!$B$4, "Mixed Reviews", "Low Reliability")))))</f>
        <v>Mixed Reviews</v>
      </c>
    </row>
    <row r="761">
      <c r="A761" s="3">
        <f t="shared" si="1"/>
        <v>760</v>
      </c>
      <c r="B761" s="9" t="s">
        <v>5831</v>
      </c>
      <c r="C761" s="10">
        <v>39.0087806</v>
      </c>
      <c r="D761" s="10">
        <v>-77.1719949</v>
      </c>
      <c r="E761" s="9" t="s">
        <v>5832</v>
      </c>
      <c r="F761" s="9" t="s">
        <v>5833</v>
      </c>
      <c r="G761" s="11"/>
      <c r="H761" s="9" t="s">
        <v>135</v>
      </c>
      <c r="I761" s="9" t="s">
        <v>81</v>
      </c>
      <c r="J761" s="9" t="s">
        <v>5834</v>
      </c>
      <c r="K761" s="12" t="s">
        <v>5835</v>
      </c>
      <c r="L761" s="9" t="s">
        <v>5836</v>
      </c>
      <c r="M761" s="9">
        <v>78.20029423</v>
      </c>
      <c r="N761" s="10">
        <v>50.05572075</v>
      </c>
      <c r="O761" s="10" t="s">
        <v>5837</v>
      </c>
      <c r="P761" s="9">
        <v>9082026.0</v>
      </c>
      <c r="Q761" s="7" t="str">
        <f>IF(OR(ISBLANK(M761), ISBLANK(N761)), "", IF(N761 &lt; Sheet3!$B$6, "Insufficient Reviews", IF(M761 &gt;= Sheet3!$B$2, "Highly Reliable", IF(M761 &gt;= Sheet3!$B$3, "Reliable", IF(M761 &gt;= Sheet3!$B$4, "Mixed Reviews", "Low Reliability")))))</f>
        <v>Reliable</v>
      </c>
    </row>
    <row r="762">
      <c r="A762" s="3">
        <f t="shared" si="1"/>
        <v>761</v>
      </c>
      <c r="B762" s="9" t="s">
        <v>5838</v>
      </c>
      <c r="C762" s="10">
        <v>38.9716134</v>
      </c>
      <c r="D762" s="10">
        <v>-77.0556072</v>
      </c>
      <c r="E762" s="9" t="s">
        <v>5839</v>
      </c>
      <c r="F762" s="9" t="s">
        <v>5840</v>
      </c>
      <c r="G762" s="9"/>
      <c r="H762" s="9" t="s">
        <v>2035</v>
      </c>
      <c r="I762" s="9" t="s">
        <v>81</v>
      </c>
      <c r="J762" s="9" t="s">
        <v>5841</v>
      </c>
      <c r="K762" s="12" t="s">
        <v>5842</v>
      </c>
      <c r="L762" s="9" t="s">
        <v>5843</v>
      </c>
      <c r="M762" s="9">
        <v>77.12190349</v>
      </c>
      <c r="N762" s="10">
        <v>64.61516286</v>
      </c>
      <c r="O762" s="10" t="s">
        <v>5844</v>
      </c>
      <c r="P762" s="9">
        <v>9082026.0</v>
      </c>
      <c r="Q762" s="7" t="str">
        <f>IF(OR(ISBLANK(M762), ISBLANK(N762)), "", IF(N762 &lt; Sheet3!$B$6, "Insufficient Reviews", IF(M762 &gt;= Sheet3!$B$2, "Highly Reliable", IF(M762 &gt;= Sheet3!$B$3, "Reliable", IF(M762 &gt;= Sheet3!$B$4, "Mixed Reviews", "Low Reliability")))))</f>
        <v>Reliable</v>
      </c>
    </row>
    <row r="763">
      <c r="A763" s="3">
        <f t="shared" si="1"/>
        <v>762</v>
      </c>
      <c r="B763" s="9" t="s">
        <v>5845</v>
      </c>
      <c r="C763" s="10">
        <v>38.9106011</v>
      </c>
      <c r="D763" s="10">
        <v>-76.8539882</v>
      </c>
      <c r="E763" s="9" t="s">
        <v>5846</v>
      </c>
      <c r="F763" s="9" t="s">
        <v>5847</v>
      </c>
      <c r="G763" s="9" t="s">
        <v>5848</v>
      </c>
      <c r="H763" s="9" t="s">
        <v>62</v>
      </c>
      <c r="I763" s="9" t="s">
        <v>44</v>
      </c>
      <c r="J763" s="9" t="s">
        <v>5849</v>
      </c>
      <c r="K763" s="12" t="s">
        <v>5850</v>
      </c>
      <c r="L763" s="9" t="s">
        <v>5851</v>
      </c>
      <c r="M763" s="9">
        <v>13.5</v>
      </c>
      <c r="N763" s="10">
        <v>31.83333333</v>
      </c>
      <c r="O763" s="10" t="s">
        <v>5852</v>
      </c>
      <c r="P763" s="9">
        <v>9082026.0</v>
      </c>
      <c r="Q763" s="7" t="str">
        <f>IF(OR(ISBLANK(M763), ISBLANK(N763)), "", IF(N763 &lt; Sheet3!$B$6, "Insufficient Reviews", IF(M763 &gt;= Sheet3!$B$2, "Highly Reliable", IF(M763 &gt;= Sheet3!$B$3, "Reliable", IF(M763 &gt;= Sheet3!$B$4, "Mixed Reviews", "Low Reliability")))))</f>
        <v>Insufficient Reviews</v>
      </c>
    </row>
    <row r="764">
      <c r="A764" s="3">
        <f t="shared" si="1"/>
        <v>763</v>
      </c>
      <c r="B764" s="9" t="s">
        <v>5853</v>
      </c>
      <c r="C764" s="10">
        <v>38.947293</v>
      </c>
      <c r="D764" s="10">
        <v>-76.9112153</v>
      </c>
      <c r="E764" s="9" t="s">
        <v>5854</v>
      </c>
      <c r="F764" s="9" t="s">
        <v>5855</v>
      </c>
      <c r="G764" s="9" t="s">
        <v>5856</v>
      </c>
      <c r="H764" s="9" t="s">
        <v>2077</v>
      </c>
      <c r="I764" s="9" t="s">
        <v>81</v>
      </c>
      <c r="J764" s="9" t="s">
        <v>5857</v>
      </c>
      <c r="K764" s="12" t="s">
        <v>5858</v>
      </c>
      <c r="L764" s="9" t="s">
        <v>5859</v>
      </c>
      <c r="M764" s="9">
        <v>70.81158426</v>
      </c>
      <c r="N764" s="10">
        <v>64.10580959</v>
      </c>
      <c r="O764" s="10" t="s">
        <v>5860</v>
      </c>
      <c r="P764" s="9">
        <v>9082026.0</v>
      </c>
      <c r="Q764" s="7" t="str">
        <f>IF(OR(ISBLANK(M764), ISBLANK(N764)), "", IF(N764 &lt; Sheet3!$B$6, "Insufficient Reviews", IF(M764 &gt;= Sheet3!$B$2, "Highly Reliable", IF(M764 &gt;= Sheet3!$B$3, "Reliable", IF(M764 &gt;= Sheet3!$B$4, "Mixed Reviews", "Low Reliability")))))</f>
        <v>Reliable</v>
      </c>
    </row>
    <row r="765">
      <c r="A765" s="3">
        <f t="shared" si="1"/>
        <v>764</v>
      </c>
      <c r="B765" s="9" t="s">
        <v>5861</v>
      </c>
      <c r="C765" s="10">
        <v>39.0134299</v>
      </c>
      <c r="D765" s="10">
        <v>-77.1925977</v>
      </c>
      <c r="E765" s="9" t="s">
        <v>5862</v>
      </c>
      <c r="F765" s="9" t="s">
        <v>5863</v>
      </c>
      <c r="G765" s="9" t="s">
        <v>5864</v>
      </c>
      <c r="H765" s="9" t="s">
        <v>126</v>
      </c>
      <c r="I765" s="9" t="s">
        <v>81</v>
      </c>
      <c r="J765" s="9" t="s">
        <v>5865</v>
      </c>
      <c r="K765" s="12" t="s">
        <v>5866</v>
      </c>
      <c r="L765" s="9" t="s">
        <v>5867</v>
      </c>
      <c r="M765" s="9">
        <v>67.9158025</v>
      </c>
      <c r="N765" s="10">
        <v>48.79181634</v>
      </c>
      <c r="O765" s="10" t="s">
        <v>5868</v>
      </c>
      <c r="P765" s="9">
        <v>9082026.0</v>
      </c>
      <c r="Q765" s="7" t="str">
        <f>IF(OR(ISBLANK(M765), ISBLANK(N765)), "", IF(N765 &lt; Sheet3!$B$6, "Insufficient Reviews", IF(M765 &gt;= Sheet3!$B$2, "Highly Reliable", IF(M765 &gt;= Sheet3!$B$3, "Reliable", IF(M765 &gt;= Sheet3!$B$4, "Mixed Reviews", "Low Reliability")))))</f>
        <v>Mixed Reviews</v>
      </c>
    </row>
    <row r="766">
      <c r="A766" s="3">
        <f t="shared" si="1"/>
        <v>765</v>
      </c>
      <c r="B766" s="9" t="s">
        <v>5869</v>
      </c>
      <c r="C766" s="10">
        <v>39.5658117</v>
      </c>
      <c r="D766" s="10">
        <v>-76.9890126</v>
      </c>
      <c r="E766" s="9" t="s">
        <v>5870</v>
      </c>
      <c r="F766" s="9" t="s">
        <v>5871</v>
      </c>
      <c r="G766" s="9" t="s">
        <v>5872</v>
      </c>
      <c r="H766" s="9" t="s">
        <v>135</v>
      </c>
      <c r="I766" s="9" t="s">
        <v>44</v>
      </c>
      <c r="J766" s="9" t="s">
        <v>5873</v>
      </c>
      <c r="K766" s="12" t="s">
        <v>5874</v>
      </c>
      <c r="L766" s="9" t="s">
        <v>5875</v>
      </c>
      <c r="M766" s="9">
        <v>79.69064066</v>
      </c>
      <c r="N766" s="10">
        <v>71.55771795</v>
      </c>
      <c r="O766" s="10" t="s">
        <v>5876</v>
      </c>
      <c r="P766" s="9">
        <v>9082026.0</v>
      </c>
      <c r="Q766" s="7" t="str">
        <f>IF(OR(ISBLANK(M766), ISBLANK(N766)), "", IF(N766 &lt; Sheet3!$B$6, "Insufficient Reviews", IF(M766 &gt;= Sheet3!$B$2, "Highly Reliable", IF(M766 &gt;= Sheet3!$B$3, "Reliable", IF(M766 &gt;= Sheet3!$B$4, "Mixed Reviews", "Low Reliability")))))</f>
        <v>Reliable</v>
      </c>
    </row>
    <row r="767">
      <c r="A767" s="3">
        <f t="shared" si="1"/>
        <v>766</v>
      </c>
      <c r="B767" s="9" t="s">
        <v>5877</v>
      </c>
      <c r="C767" s="10">
        <v>39.5084689</v>
      </c>
      <c r="D767" s="10">
        <v>-76.1606423</v>
      </c>
      <c r="E767" s="9" t="s">
        <v>5878</v>
      </c>
      <c r="F767" s="9" t="s">
        <v>5879</v>
      </c>
      <c r="G767" s="11"/>
      <c r="H767" s="11"/>
      <c r="I767" s="9" t="s">
        <v>91</v>
      </c>
      <c r="J767" s="9" t="s">
        <v>5880</v>
      </c>
      <c r="K767" s="12" t="s">
        <v>5881</v>
      </c>
      <c r="L767" s="9" t="s">
        <v>5882</v>
      </c>
      <c r="M767" s="9">
        <v>46.37861815</v>
      </c>
      <c r="N767" s="10">
        <v>54.07062867</v>
      </c>
      <c r="O767" s="10" t="s">
        <v>5883</v>
      </c>
      <c r="P767" s="9">
        <v>9082026.0</v>
      </c>
      <c r="Q767" s="7" t="str">
        <f>IF(OR(ISBLANK(M767), ISBLANK(N767)), "", IF(N767 &lt; Sheet3!$B$6, "Insufficient Reviews", IF(M767 &gt;= Sheet3!$B$2, "Highly Reliable", IF(M767 &gt;= Sheet3!$B$3, "Reliable", IF(M767 &gt;= Sheet3!$B$4, "Mixed Reviews", "Low Reliability")))))</f>
        <v>Low Reliability</v>
      </c>
    </row>
    <row r="768">
      <c r="A768" s="3">
        <f t="shared" si="1"/>
        <v>767</v>
      </c>
      <c r="B768" s="9" t="s">
        <v>5884</v>
      </c>
      <c r="C768" s="10">
        <v>38.9521123</v>
      </c>
      <c r="D768" s="10">
        <v>-76.9783026</v>
      </c>
      <c r="E768" s="9" t="s">
        <v>5885</v>
      </c>
      <c r="F768" s="9" t="s">
        <v>5745</v>
      </c>
      <c r="G768" s="11"/>
      <c r="H768" s="11"/>
      <c r="I768" s="9" t="s">
        <v>81</v>
      </c>
      <c r="J768" s="9" t="s">
        <v>5886</v>
      </c>
      <c r="K768" s="12" t="s">
        <v>5887</v>
      </c>
      <c r="L768" s="9" t="s">
        <v>5888</v>
      </c>
      <c r="M768" s="9">
        <v>15.0</v>
      </c>
      <c r="N768" s="10">
        <v>30.15333333</v>
      </c>
      <c r="O768" s="10" t="s">
        <v>5889</v>
      </c>
      <c r="P768" s="9">
        <v>9082026.0</v>
      </c>
      <c r="Q768" s="7" t="str">
        <f>IF(OR(ISBLANK(M768), ISBLANK(N768)), "", IF(N768 &lt; Sheet3!$B$6, "Insufficient Reviews", IF(M768 &gt;= Sheet3!$B$2, "Highly Reliable", IF(M768 &gt;= Sheet3!$B$3, "Reliable", IF(M768 &gt;= Sheet3!$B$4, "Mixed Reviews", "Low Reliability")))))</f>
        <v>Insufficient Reviews</v>
      </c>
    </row>
    <row r="769">
      <c r="A769" s="3">
        <f t="shared" si="1"/>
        <v>768</v>
      </c>
      <c r="B769" s="9" t="s">
        <v>5890</v>
      </c>
      <c r="C769" s="10">
        <v>38.9729463</v>
      </c>
      <c r="D769" s="10">
        <v>-76.5517004</v>
      </c>
      <c r="E769" s="9" t="s">
        <v>5891</v>
      </c>
      <c r="F769" s="9" t="s">
        <v>5892</v>
      </c>
      <c r="G769" s="11"/>
      <c r="H769" s="9" t="s">
        <v>126</v>
      </c>
      <c r="I769" s="9" t="s">
        <v>81</v>
      </c>
      <c r="J769" s="9" t="s">
        <v>5893</v>
      </c>
      <c r="K769" s="12" t="s">
        <v>5894</v>
      </c>
      <c r="L769" s="9" t="s">
        <v>5895</v>
      </c>
      <c r="M769" s="9">
        <v>49.50083955</v>
      </c>
      <c r="N769" s="10">
        <v>70.84211582</v>
      </c>
      <c r="O769" s="10" t="s">
        <v>5896</v>
      </c>
      <c r="P769" s="9">
        <v>9082026.0</v>
      </c>
      <c r="Q769" s="7" t="str">
        <f>IF(OR(ISBLANK(M769), ISBLANK(N769)), "", IF(N769 &lt; Sheet3!$B$6, "Insufficient Reviews", IF(M769 &gt;= Sheet3!$B$2, "Highly Reliable", IF(M769 &gt;= Sheet3!$B$3, "Reliable", IF(M769 &gt;= Sheet3!$B$4, "Mixed Reviews", "Low Reliability")))))</f>
        <v>Low Reliability</v>
      </c>
    </row>
    <row r="770">
      <c r="A770" s="3">
        <f t="shared" si="1"/>
        <v>769</v>
      </c>
      <c r="B770" s="9" t="s">
        <v>5897</v>
      </c>
      <c r="C770" s="10">
        <v>38.9175865</v>
      </c>
      <c r="D770" s="10">
        <v>-76.8716064</v>
      </c>
      <c r="E770" s="9" t="s">
        <v>5898</v>
      </c>
      <c r="F770" s="9" t="s">
        <v>5899</v>
      </c>
      <c r="G770" s="9" t="s">
        <v>5900</v>
      </c>
      <c r="H770" s="9" t="s">
        <v>43</v>
      </c>
      <c r="I770" s="9" t="s">
        <v>81</v>
      </c>
      <c r="J770" s="9" t="s">
        <v>5901</v>
      </c>
      <c r="K770" s="12" t="s">
        <v>5902</v>
      </c>
      <c r="L770" s="9" t="s">
        <v>5903</v>
      </c>
      <c r="M770" s="9">
        <v>68.31512033</v>
      </c>
      <c r="N770" s="10">
        <v>53.22684534</v>
      </c>
      <c r="O770" s="10" t="s">
        <v>5904</v>
      </c>
      <c r="P770" s="9">
        <v>9082026.0</v>
      </c>
      <c r="Q770" s="7" t="str">
        <f>IF(OR(ISBLANK(M770), ISBLANK(N770)), "", IF(N770 &lt; Sheet3!$B$6, "Insufficient Reviews", IF(M770 &gt;= Sheet3!$B$2, "Highly Reliable", IF(M770 &gt;= Sheet3!$B$3, "Reliable", IF(M770 &gt;= Sheet3!$B$4, "Mixed Reviews", "Low Reliability")))))</f>
        <v>Mixed Reviews</v>
      </c>
    </row>
    <row r="771">
      <c r="A771" s="3">
        <f t="shared" si="1"/>
        <v>770</v>
      </c>
      <c r="B771" s="9" t="s">
        <v>5905</v>
      </c>
      <c r="C771" s="10">
        <v>38.8964424</v>
      </c>
      <c r="D771" s="10">
        <v>-77.0300958</v>
      </c>
      <c r="E771" s="9" t="s">
        <v>5906</v>
      </c>
      <c r="F771" s="9" t="s">
        <v>5907</v>
      </c>
      <c r="G771" s="11"/>
      <c r="H771" s="11"/>
      <c r="I771" s="9" t="s">
        <v>27</v>
      </c>
      <c r="J771" s="9" t="s">
        <v>5908</v>
      </c>
      <c r="K771" s="12" t="s">
        <v>5909</v>
      </c>
      <c r="L771" s="9" t="s">
        <v>5910</v>
      </c>
      <c r="M771" s="9">
        <v>31.1183252</v>
      </c>
      <c r="N771" s="10">
        <v>52.04838477</v>
      </c>
      <c r="O771" s="10" t="s">
        <v>5911</v>
      </c>
      <c r="P771" s="9">
        <v>9082026.0</v>
      </c>
      <c r="Q771" s="7" t="str">
        <f>IF(OR(ISBLANK(M771), ISBLANK(N771)), "", IF(N771 &lt; Sheet3!$B$6, "Insufficient Reviews", IF(M771 &gt;= Sheet3!$B$2, "Highly Reliable", IF(M771 &gt;= Sheet3!$B$3, "Reliable", IF(M771 &gt;= Sheet3!$B$4, "Mixed Reviews", "Low Reliability")))))</f>
        <v>Low Reliability</v>
      </c>
    </row>
    <row r="772">
      <c r="A772" s="3">
        <f t="shared" si="1"/>
        <v>771</v>
      </c>
      <c r="B772" s="9" t="s">
        <v>5912</v>
      </c>
      <c r="C772" s="10">
        <v>39.3521575</v>
      </c>
      <c r="D772" s="10">
        <v>-76.7565612</v>
      </c>
      <c r="E772" s="9" t="s">
        <v>5913</v>
      </c>
      <c r="F772" s="9" t="s">
        <v>5914</v>
      </c>
      <c r="G772" s="9" t="s">
        <v>5915</v>
      </c>
      <c r="H772" s="9" t="s">
        <v>126</v>
      </c>
      <c r="I772" s="9" t="s">
        <v>81</v>
      </c>
      <c r="J772" s="9" t="s">
        <v>5916</v>
      </c>
      <c r="K772" s="12" t="s">
        <v>5917</v>
      </c>
      <c r="L772" s="9" t="s">
        <v>5918</v>
      </c>
      <c r="M772" s="9">
        <v>80.74739862</v>
      </c>
      <c r="N772" s="10">
        <v>87.72281483</v>
      </c>
      <c r="O772" s="10" t="s">
        <v>5919</v>
      </c>
      <c r="P772" s="9">
        <v>9082026.0</v>
      </c>
      <c r="Q772" s="7" t="str">
        <f>IF(OR(ISBLANK(M772), ISBLANK(N772)), "", IF(N772 &lt; Sheet3!$B$6, "Insufficient Reviews", IF(M772 &gt;= Sheet3!$B$2, "Highly Reliable", IF(M772 &gt;= Sheet3!$B$3, "Reliable", IF(M772 &gt;= Sheet3!$B$4, "Mixed Reviews", "Low Reliability")))))</f>
        <v>Reliable</v>
      </c>
    </row>
    <row r="773">
      <c r="A773" s="3">
        <f t="shared" si="1"/>
        <v>772</v>
      </c>
      <c r="B773" s="9" t="s">
        <v>5920</v>
      </c>
      <c r="C773" s="10">
        <v>39.216301</v>
      </c>
      <c r="D773" s="10">
        <v>-76.673664</v>
      </c>
      <c r="E773" s="9" t="s">
        <v>5921</v>
      </c>
      <c r="F773" s="9" t="s">
        <v>5922</v>
      </c>
      <c r="G773" s="11"/>
      <c r="H773" s="9" t="s">
        <v>5923</v>
      </c>
      <c r="I773" s="9" t="s">
        <v>81</v>
      </c>
      <c r="J773" s="9" t="s">
        <v>5924</v>
      </c>
      <c r="K773" s="12" t="s">
        <v>5925</v>
      </c>
      <c r="L773" s="9" t="s">
        <v>5926</v>
      </c>
      <c r="M773" s="9">
        <v>51.16043634</v>
      </c>
      <c r="N773" s="10">
        <v>68.14009176</v>
      </c>
      <c r="O773" s="10" t="s">
        <v>5927</v>
      </c>
      <c r="P773" s="9">
        <v>9082026.0</v>
      </c>
      <c r="Q773" s="7" t="str">
        <f>IF(OR(ISBLANK(M773), ISBLANK(N773)), "", IF(N773 &lt; Sheet3!$B$6, "Insufficient Reviews", IF(M773 &gt;= Sheet3!$B$2, "Highly Reliable", IF(M773 &gt;= Sheet3!$B$3, "Reliable", IF(M773 &gt;= Sheet3!$B$4, "Mixed Reviews", "Low Reliability")))))</f>
        <v>Low Reliability</v>
      </c>
    </row>
    <row r="774">
      <c r="A774" s="3">
        <f t="shared" si="1"/>
        <v>773</v>
      </c>
      <c r="B774" s="9" t="s">
        <v>5928</v>
      </c>
      <c r="C774" s="10">
        <v>39.3481245</v>
      </c>
      <c r="D774" s="10">
        <v>-76.6768698</v>
      </c>
      <c r="E774" s="9" t="s">
        <v>5929</v>
      </c>
      <c r="F774" s="9" t="s">
        <v>88</v>
      </c>
      <c r="G774" s="9" t="s">
        <v>5930</v>
      </c>
      <c r="H774" s="9" t="s">
        <v>5931</v>
      </c>
      <c r="I774" s="9" t="s">
        <v>91</v>
      </c>
      <c r="J774" s="9" t="s">
        <v>5932</v>
      </c>
      <c r="K774" s="12" t="s">
        <v>93</v>
      </c>
      <c r="L774" s="9" t="s">
        <v>5933</v>
      </c>
      <c r="M774" s="9">
        <v>66.89644114</v>
      </c>
      <c r="N774" s="10">
        <v>70.14028756</v>
      </c>
      <c r="O774" s="10" t="s">
        <v>5934</v>
      </c>
      <c r="P774" s="9">
        <v>9082026.0</v>
      </c>
      <c r="Q774" s="7" t="str">
        <f>IF(OR(ISBLANK(M774), ISBLANK(N774)), "", IF(N774 &lt; Sheet3!$B$6, "Insufficient Reviews", IF(M774 &gt;= Sheet3!$B$2, "Highly Reliable", IF(M774 &gt;= Sheet3!$B$3, "Reliable", IF(M774 &gt;= Sheet3!$B$4, "Mixed Reviews", "Low Reliability")))))</f>
        <v>Mixed Reviews</v>
      </c>
    </row>
    <row r="775">
      <c r="A775" s="3">
        <f t="shared" si="1"/>
        <v>774</v>
      </c>
      <c r="B775" s="9" t="s">
        <v>5935</v>
      </c>
      <c r="C775" s="10">
        <v>39.2814844</v>
      </c>
      <c r="D775" s="10">
        <v>-76.8635415</v>
      </c>
      <c r="E775" s="9" t="s">
        <v>5936</v>
      </c>
      <c r="F775" s="9" t="s">
        <v>5937</v>
      </c>
      <c r="G775" s="9" t="s">
        <v>5938</v>
      </c>
      <c r="H775" s="9" t="s">
        <v>5939</v>
      </c>
      <c r="I775" s="9" t="s">
        <v>27</v>
      </c>
      <c r="J775" s="9" t="s">
        <v>5940</v>
      </c>
      <c r="K775" s="12" t="s">
        <v>1528</v>
      </c>
      <c r="L775" s="9" t="s">
        <v>5941</v>
      </c>
      <c r="M775" s="9">
        <v>80.36765094</v>
      </c>
      <c r="N775" s="10">
        <v>70.72939673</v>
      </c>
      <c r="O775" s="10" t="s">
        <v>5942</v>
      </c>
      <c r="P775" s="9">
        <v>9082026.0</v>
      </c>
      <c r="Q775" s="7" t="str">
        <f>IF(OR(ISBLANK(M775), ISBLANK(N775)), "", IF(N775 &lt; Sheet3!$B$6, "Insufficient Reviews", IF(M775 &gt;= Sheet3!$B$2, "Highly Reliable", IF(M775 &gt;= Sheet3!$B$3, "Reliable", IF(M775 &gt;= Sheet3!$B$4, "Mixed Reviews", "Low Reliability")))))</f>
        <v>Reliable</v>
      </c>
    </row>
    <row r="776">
      <c r="A776" s="3">
        <f t="shared" si="1"/>
        <v>775</v>
      </c>
      <c r="B776" s="9" t="s">
        <v>5943</v>
      </c>
      <c r="C776" s="10">
        <v>39.3833656</v>
      </c>
      <c r="D776" s="10">
        <v>-76.6065826</v>
      </c>
      <c r="E776" s="9" t="s">
        <v>5944</v>
      </c>
      <c r="F776" s="9" t="s">
        <v>5945</v>
      </c>
      <c r="G776" s="11"/>
      <c r="H776" s="9" t="s">
        <v>26</v>
      </c>
      <c r="I776" s="9" t="s">
        <v>35</v>
      </c>
      <c r="J776" s="9" t="s">
        <v>5946</v>
      </c>
      <c r="K776" s="12" t="s">
        <v>5947</v>
      </c>
      <c r="L776" s="9" t="s">
        <v>5948</v>
      </c>
      <c r="M776" s="9">
        <v>71.66644971</v>
      </c>
      <c r="N776" s="10">
        <v>89.5918519</v>
      </c>
      <c r="O776" s="10" t="s">
        <v>5949</v>
      </c>
      <c r="P776" s="9">
        <v>9082026.0</v>
      </c>
      <c r="Q776" s="7" t="str">
        <f>IF(OR(ISBLANK(M776), ISBLANK(N776)), "", IF(N776 &lt; Sheet3!$B$6, "Insufficient Reviews", IF(M776 &gt;= Sheet3!$B$2, "Highly Reliable", IF(M776 &gt;= Sheet3!$B$3, "Reliable", IF(M776 &gt;= Sheet3!$B$4, "Mixed Reviews", "Low Reliability")))))</f>
        <v>Reliable</v>
      </c>
    </row>
    <row r="777">
      <c r="A777" s="3">
        <f t="shared" si="1"/>
        <v>776</v>
      </c>
      <c r="B777" s="9" t="s">
        <v>5950</v>
      </c>
      <c r="C777" s="10">
        <v>39.2906</v>
      </c>
      <c r="D777" s="10">
        <v>-76.6173048</v>
      </c>
      <c r="E777" s="9" t="s">
        <v>5951</v>
      </c>
      <c r="F777" s="9" t="s">
        <v>5952</v>
      </c>
      <c r="G777" s="9"/>
      <c r="H777" s="9" t="s">
        <v>5953</v>
      </c>
      <c r="I777" s="9" t="s">
        <v>27</v>
      </c>
      <c r="J777" s="9" t="s">
        <v>5954</v>
      </c>
      <c r="K777" s="12" t="s">
        <v>5955</v>
      </c>
      <c r="L777" s="9" t="s">
        <v>5956</v>
      </c>
      <c r="M777" s="10">
        <v>48.52086181</v>
      </c>
      <c r="N777" s="10">
        <v>71.04475817</v>
      </c>
      <c r="O777" s="9" t="s">
        <v>5957</v>
      </c>
      <c r="P777" s="9">
        <v>9082026.0</v>
      </c>
      <c r="Q777" s="7" t="str">
        <f>IF(OR(ISBLANK(M777), ISBLANK(N777)), "", IF(N777 &lt; Sheet3!$B$6, "Insufficient Reviews", IF(M777 &gt;= Sheet3!$B$2, "Highly Reliable", IF(M777 &gt;= Sheet3!$B$3, "Reliable", IF(M777 &gt;= Sheet3!$B$4, "Mixed Reviews", "Low Reliability")))))</f>
        <v>Low Reliability</v>
      </c>
    </row>
    <row r="778">
      <c r="A778" s="3">
        <f t="shared" si="1"/>
        <v>777</v>
      </c>
      <c r="B778" s="9" t="s">
        <v>5958</v>
      </c>
      <c r="C778" s="10">
        <v>39.3121447</v>
      </c>
      <c r="D778" s="10">
        <v>-76.6155151</v>
      </c>
      <c r="E778" s="9" t="s">
        <v>5959</v>
      </c>
      <c r="F778" s="9" t="s">
        <v>5960</v>
      </c>
      <c r="G778" s="9" t="s">
        <v>5961</v>
      </c>
      <c r="H778" s="9" t="s">
        <v>26</v>
      </c>
      <c r="I778" s="9" t="s">
        <v>81</v>
      </c>
      <c r="J778" s="9" t="s">
        <v>5962</v>
      </c>
      <c r="K778" s="12" t="s">
        <v>5963</v>
      </c>
      <c r="L778" s="9" t="s">
        <v>5964</v>
      </c>
      <c r="M778" s="9">
        <v>68.98635363</v>
      </c>
      <c r="N778" s="10">
        <v>89.84125685</v>
      </c>
      <c r="O778" s="10" t="s">
        <v>5965</v>
      </c>
      <c r="P778" s="9">
        <v>9082026.0</v>
      </c>
      <c r="Q778" s="7" t="str">
        <f>IF(OR(ISBLANK(M778), ISBLANK(N778)), "", IF(N778 &lt; Sheet3!$B$6, "Insufficient Reviews", IF(M778 &gt;= Sheet3!$B$2, "Highly Reliable", IF(M778 &gt;= Sheet3!$B$3, "Reliable", IF(M778 &gt;= Sheet3!$B$4, "Mixed Reviews", "Low Reliability")))))</f>
        <v>Mixed Reviews</v>
      </c>
    </row>
    <row r="779">
      <c r="A779" s="3">
        <f t="shared" si="1"/>
        <v>778</v>
      </c>
      <c r="B779" s="9" t="s">
        <v>5966</v>
      </c>
      <c r="C779" s="10">
        <v>39.2897567</v>
      </c>
      <c r="D779" s="10">
        <v>-76.6140578</v>
      </c>
      <c r="E779" s="9" t="s">
        <v>5967</v>
      </c>
      <c r="F779" s="9" t="s">
        <v>5968</v>
      </c>
      <c r="G779" s="11"/>
      <c r="H779" s="11"/>
      <c r="I779" s="9" t="s">
        <v>27</v>
      </c>
      <c r="J779" s="9" t="s">
        <v>5969</v>
      </c>
      <c r="K779" s="12" t="s">
        <v>5970</v>
      </c>
      <c r="L779" s="9" t="s">
        <v>5971</v>
      </c>
      <c r="M779" s="9">
        <v>74.69649883</v>
      </c>
      <c r="N779" s="10">
        <v>55.77137723</v>
      </c>
      <c r="O779" s="10" t="s">
        <v>5972</v>
      </c>
      <c r="P779" s="9">
        <v>9082026.0</v>
      </c>
      <c r="Q779" s="7" t="str">
        <f>IF(OR(ISBLANK(M779), ISBLANK(N779)), "", IF(N779 &lt; Sheet3!$B$6, "Insufficient Reviews", IF(M779 &gt;= Sheet3!$B$2, "Highly Reliable", IF(M779 &gt;= Sheet3!$B$3, "Reliable", IF(M779 &gt;= Sheet3!$B$4, "Mixed Reviews", "Low Reliability")))))</f>
        <v>Reliable</v>
      </c>
    </row>
    <row r="780">
      <c r="A780" s="3">
        <f t="shared" si="1"/>
        <v>779</v>
      </c>
      <c r="B780" s="9" t="s">
        <v>5973</v>
      </c>
      <c r="C780" s="10">
        <v>39.324159</v>
      </c>
      <c r="D780" s="10">
        <v>-76.569862</v>
      </c>
      <c r="E780" s="9" t="s">
        <v>5974</v>
      </c>
      <c r="F780" s="9" t="s">
        <v>5975</v>
      </c>
      <c r="G780" s="9" t="s">
        <v>5976</v>
      </c>
      <c r="H780" s="9" t="s">
        <v>5977</v>
      </c>
      <c r="I780" s="9" t="s">
        <v>81</v>
      </c>
      <c r="J780" s="9" t="s">
        <v>5978</v>
      </c>
      <c r="K780" s="12" t="s">
        <v>5979</v>
      </c>
      <c r="L780" s="9" t="s">
        <v>5980</v>
      </c>
      <c r="M780" s="9">
        <v>84.38441087</v>
      </c>
      <c r="N780" s="10">
        <v>95.01810359</v>
      </c>
      <c r="O780" s="10" t="s">
        <v>5981</v>
      </c>
      <c r="P780" s="9">
        <v>9082026.0</v>
      </c>
      <c r="Q780" s="7" t="str">
        <f>IF(OR(ISBLANK(M780), ISBLANK(N780)), "", IF(N780 &lt; Sheet3!$B$6, "Insufficient Reviews", IF(M780 &gt;= Sheet3!$B$2, "Highly Reliable", IF(M780 &gt;= Sheet3!$B$3, "Reliable", IF(M780 &gt;= Sheet3!$B$4, "Mixed Reviews", "Low Reliability")))))</f>
        <v>Highly Reliable</v>
      </c>
    </row>
    <row r="781">
      <c r="A781" s="3">
        <f t="shared" si="1"/>
        <v>780</v>
      </c>
      <c r="B781" s="9" t="s">
        <v>5982</v>
      </c>
      <c r="C781" s="10">
        <v>39.2872614</v>
      </c>
      <c r="D781" s="10">
        <v>-76.6064339</v>
      </c>
      <c r="E781" s="9" t="s">
        <v>5983</v>
      </c>
      <c r="F781" s="9" t="s">
        <v>5984</v>
      </c>
      <c r="G781" s="9" t="s">
        <v>5985</v>
      </c>
      <c r="H781" s="9" t="s">
        <v>4282</v>
      </c>
      <c r="I781" s="9" t="s">
        <v>27</v>
      </c>
      <c r="J781" s="9" t="s">
        <v>5986</v>
      </c>
      <c r="K781" s="12" t="s">
        <v>5987</v>
      </c>
      <c r="L781" s="9" t="s">
        <v>5988</v>
      </c>
      <c r="M781" s="9">
        <v>51.77869413</v>
      </c>
      <c r="N781" s="10">
        <v>71.50625734</v>
      </c>
      <c r="O781" s="10" t="s">
        <v>5989</v>
      </c>
      <c r="P781" s="9">
        <v>9082026.0</v>
      </c>
      <c r="Q781" s="7" t="str">
        <f>IF(OR(ISBLANK(M781), ISBLANK(N781)), "", IF(N781 &lt; Sheet3!$B$6, "Insufficient Reviews", IF(M781 &gt;= Sheet3!$B$2, "Highly Reliable", IF(M781 &gt;= Sheet3!$B$3, "Reliable", IF(M781 &gt;= Sheet3!$B$4, "Mixed Reviews", "Low Reliability")))))</f>
        <v>Low Reliability</v>
      </c>
    </row>
    <row r="782">
      <c r="A782" s="3">
        <f t="shared" si="1"/>
        <v>781</v>
      </c>
      <c r="B782" s="9" t="s">
        <v>5990</v>
      </c>
      <c r="C782" s="10">
        <v>39.1944934</v>
      </c>
      <c r="D782" s="10">
        <v>-76.8546962</v>
      </c>
      <c r="E782" s="9" t="s">
        <v>5991</v>
      </c>
      <c r="F782" s="9" t="s">
        <v>5992</v>
      </c>
      <c r="G782" s="9" t="s">
        <v>5993</v>
      </c>
      <c r="H782" s="9" t="s">
        <v>5994</v>
      </c>
      <c r="I782" s="9" t="s">
        <v>27</v>
      </c>
      <c r="J782" s="9" t="s">
        <v>5995</v>
      </c>
      <c r="K782" s="12" t="s">
        <v>5996</v>
      </c>
      <c r="L782" s="9" t="s">
        <v>5997</v>
      </c>
      <c r="M782" s="9">
        <v>66.9</v>
      </c>
      <c r="N782" s="10">
        <v>41.7322636</v>
      </c>
      <c r="O782" s="10" t="s">
        <v>5486</v>
      </c>
      <c r="P782" s="9">
        <v>9082026.0</v>
      </c>
      <c r="Q782" s="7" t="str">
        <f>IF(OR(ISBLANK(M782), ISBLANK(N782)), "", IF(N782 &lt; Sheet3!$B$6, "Insufficient Reviews", IF(M782 &gt;= Sheet3!$B$2, "Highly Reliable", IF(M782 &gt;= Sheet3!$B$3, "Reliable", IF(M782 &gt;= Sheet3!$B$4, "Mixed Reviews", "Low Reliability")))))</f>
        <v>Mixed Reviews</v>
      </c>
    </row>
    <row r="783">
      <c r="A783" s="3">
        <f t="shared" si="1"/>
        <v>782</v>
      </c>
      <c r="B783" s="9" t="s">
        <v>5998</v>
      </c>
      <c r="C783" s="10">
        <v>39.4112251</v>
      </c>
      <c r="D783" s="10">
        <v>-76.3576541</v>
      </c>
      <c r="E783" s="9" t="s">
        <v>5999</v>
      </c>
      <c r="F783" s="9" t="s">
        <v>6000</v>
      </c>
      <c r="G783" s="9" t="s">
        <v>6001</v>
      </c>
      <c r="H783" s="9" t="s">
        <v>126</v>
      </c>
      <c r="I783" s="9" t="s">
        <v>81</v>
      </c>
      <c r="J783" s="9" t="s">
        <v>6002</v>
      </c>
      <c r="K783" s="12" t="s">
        <v>6003</v>
      </c>
      <c r="L783" s="9" t="s">
        <v>6004</v>
      </c>
      <c r="M783" s="9">
        <v>68.42393738</v>
      </c>
      <c r="N783" s="10">
        <v>74.64189888</v>
      </c>
      <c r="O783" s="10" t="s">
        <v>6005</v>
      </c>
      <c r="P783" s="9">
        <v>9082026.0</v>
      </c>
      <c r="Q783" s="7" t="str">
        <f>IF(OR(ISBLANK(M783), ISBLANK(N783)), "", IF(N783 &lt; Sheet3!$B$6, "Insufficient Reviews", IF(M783 &gt;= Sheet3!$B$2, "Highly Reliable", IF(M783 &gt;= Sheet3!$B$3, "Reliable", IF(M783 &gt;= Sheet3!$B$4, "Mixed Reviews", "Low Reliability")))))</f>
        <v>Mixed Reviews</v>
      </c>
    </row>
    <row r="784">
      <c r="A784" s="3">
        <f t="shared" si="1"/>
        <v>783</v>
      </c>
      <c r="B784" s="9" t="s">
        <v>6006</v>
      </c>
      <c r="C784" s="10">
        <v>39.1887114</v>
      </c>
      <c r="D784" s="10">
        <v>-77.2606549</v>
      </c>
      <c r="E784" s="9" t="s">
        <v>6007</v>
      </c>
      <c r="F784" s="9" t="s">
        <v>6008</v>
      </c>
      <c r="G784" s="9"/>
      <c r="H784" s="9" t="s">
        <v>303</v>
      </c>
      <c r="I784" s="9" t="s">
        <v>482</v>
      </c>
      <c r="J784" s="9" t="s">
        <v>6009</v>
      </c>
      <c r="K784" s="12" t="s">
        <v>6010</v>
      </c>
      <c r="L784" s="9" t="s">
        <v>6011</v>
      </c>
      <c r="M784" s="9">
        <v>83.2496781</v>
      </c>
      <c r="N784" s="10">
        <v>74.88363536</v>
      </c>
      <c r="O784" s="10" t="s">
        <v>6012</v>
      </c>
      <c r="P784" s="9">
        <v>9082026.0</v>
      </c>
      <c r="Q784" s="7" t="str">
        <f>IF(OR(ISBLANK(M784), ISBLANK(N784)), "", IF(N784 &lt; Sheet3!$B$6, "Insufficient Reviews", IF(M784 &gt;= Sheet3!$B$2, "Highly Reliable", IF(M784 &gt;= Sheet3!$B$3, "Reliable", IF(M784 &gt;= Sheet3!$B$4, "Mixed Reviews", "Low Reliability")))))</f>
        <v>Highly Reliable</v>
      </c>
    </row>
    <row r="785">
      <c r="A785" s="3">
        <f t="shared" si="1"/>
        <v>784</v>
      </c>
      <c r="B785" s="9" t="s">
        <v>6013</v>
      </c>
      <c r="C785" s="10">
        <v>38.9520119</v>
      </c>
      <c r="D785" s="10">
        <v>-76.873175</v>
      </c>
      <c r="E785" s="9" t="s">
        <v>6014</v>
      </c>
      <c r="F785" s="9" t="s">
        <v>6015</v>
      </c>
      <c r="G785" s="9"/>
      <c r="H785" s="9" t="s">
        <v>1476</v>
      </c>
      <c r="I785" s="9" t="s">
        <v>81</v>
      </c>
      <c r="J785" s="9" t="s">
        <v>6016</v>
      </c>
      <c r="K785" s="12" t="s">
        <v>6017</v>
      </c>
      <c r="L785" s="9" t="s">
        <v>6018</v>
      </c>
      <c r="M785" s="9">
        <v>71.83487234</v>
      </c>
      <c r="N785" s="10">
        <v>69.12369902</v>
      </c>
      <c r="O785" s="10" t="s">
        <v>6019</v>
      </c>
      <c r="P785" s="9">
        <v>9082026.0</v>
      </c>
      <c r="Q785" s="7" t="str">
        <f>IF(OR(ISBLANK(M785), ISBLANK(N785)), "", IF(N785 &lt; Sheet3!$B$6, "Insufficient Reviews", IF(M785 &gt;= Sheet3!$B$2, "Highly Reliable", IF(M785 &gt;= Sheet3!$B$3, "Reliable", IF(M785 &gt;= Sheet3!$B$4, "Mixed Reviews", "Low Reliability")))))</f>
        <v>Reliable</v>
      </c>
    </row>
    <row r="786">
      <c r="A786" s="3">
        <f t="shared" si="1"/>
        <v>785</v>
      </c>
      <c r="B786" s="9" t="s">
        <v>6020</v>
      </c>
      <c r="C786" s="10">
        <v>38.963299</v>
      </c>
      <c r="D786" s="10">
        <v>-76.93949</v>
      </c>
      <c r="E786" s="9" t="s">
        <v>6021</v>
      </c>
      <c r="F786" s="9" t="s">
        <v>6022</v>
      </c>
      <c r="G786" s="9" t="s">
        <v>6023</v>
      </c>
      <c r="H786" s="9" t="s">
        <v>6024</v>
      </c>
      <c r="I786" s="9" t="s">
        <v>81</v>
      </c>
      <c r="J786" s="9" t="s">
        <v>6025</v>
      </c>
      <c r="K786" s="12" t="s">
        <v>6026</v>
      </c>
      <c r="L786" s="9" t="s">
        <v>6027</v>
      </c>
      <c r="M786" s="9">
        <v>74.96738973</v>
      </c>
      <c r="N786" s="10">
        <v>59.15397632</v>
      </c>
      <c r="O786" s="10" t="s">
        <v>6028</v>
      </c>
      <c r="P786" s="9">
        <v>9082026.0</v>
      </c>
      <c r="Q786" s="7" t="str">
        <f>IF(OR(ISBLANK(M786), ISBLANK(N786)), "", IF(N786 &lt; Sheet3!$B$6, "Insufficient Reviews", IF(M786 &gt;= Sheet3!$B$2, "Highly Reliable", IF(M786 &gt;= Sheet3!$B$3, "Reliable", IF(M786 &gt;= Sheet3!$B$4, "Mixed Reviews", "Low Reliability")))))</f>
        <v>Reliable</v>
      </c>
    </row>
    <row r="787">
      <c r="A787" s="3">
        <f t="shared" si="1"/>
        <v>786</v>
      </c>
      <c r="B787" s="9" t="s">
        <v>6029</v>
      </c>
      <c r="C787" s="10">
        <v>38.92713</v>
      </c>
      <c r="D787" s="10">
        <v>-77.0345688</v>
      </c>
      <c r="E787" s="9" t="s">
        <v>6030</v>
      </c>
      <c r="F787" s="9" t="s">
        <v>6031</v>
      </c>
      <c r="G787" s="9" t="s">
        <v>6032</v>
      </c>
      <c r="H787" s="9" t="s">
        <v>126</v>
      </c>
      <c r="I787" s="9" t="s">
        <v>27</v>
      </c>
      <c r="J787" s="9" t="s">
        <v>6033</v>
      </c>
      <c r="K787" s="12" t="s">
        <v>6034</v>
      </c>
      <c r="L787" s="9" t="s">
        <v>6035</v>
      </c>
      <c r="M787" s="9">
        <v>71.29763572</v>
      </c>
      <c r="N787" s="10">
        <v>70.98458836</v>
      </c>
      <c r="O787" s="10" t="s">
        <v>6036</v>
      </c>
      <c r="P787" s="9">
        <v>9082026.0</v>
      </c>
      <c r="Q787" s="7" t="str">
        <f>IF(OR(ISBLANK(M787), ISBLANK(N787)), "", IF(N787 &lt; Sheet3!$B$6, "Insufficient Reviews", IF(M787 &gt;= Sheet3!$B$2, "Highly Reliable", IF(M787 &gt;= Sheet3!$B$3, "Reliable", IF(M787 &gt;= Sheet3!$B$4, "Mixed Reviews", "Low Reliability")))))</f>
        <v>Reliable</v>
      </c>
    </row>
    <row r="788">
      <c r="A788" s="3">
        <f t="shared" si="1"/>
        <v>787</v>
      </c>
      <c r="B788" s="9" t="s">
        <v>6037</v>
      </c>
      <c r="C788" s="10">
        <v>38.8735885</v>
      </c>
      <c r="D788" s="10">
        <v>-76.9335632</v>
      </c>
      <c r="E788" s="9" t="s">
        <v>6038</v>
      </c>
      <c r="F788" s="9" t="s">
        <v>6039</v>
      </c>
      <c r="G788" s="9"/>
      <c r="H788" s="9" t="s">
        <v>126</v>
      </c>
      <c r="I788" s="9" t="s">
        <v>35</v>
      </c>
      <c r="J788" s="9" t="s">
        <v>6040</v>
      </c>
      <c r="K788" s="12" t="s">
        <v>6041</v>
      </c>
      <c r="L788" s="9" t="s">
        <v>6042</v>
      </c>
      <c r="M788" s="9">
        <v>75.53980781</v>
      </c>
      <c r="N788" s="10">
        <v>86.03755356</v>
      </c>
      <c r="O788" s="10" t="s">
        <v>6043</v>
      </c>
      <c r="P788" s="9">
        <v>9082026.0</v>
      </c>
      <c r="Q788" s="7" t="str">
        <f>IF(OR(ISBLANK(M788), ISBLANK(N788)), "", IF(N788 &lt; Sheet3!$B$6, "Insufficient Reviews", IF(M788 &gt;= Sheet3!$B$2, "Highly Reliable", IF(M788 &gt;= Sheet3!$B$3, "Reliable", IF(M788 &gt;= Sheet3!$B$4, "Mixed Reviews", "Low Reliability")))))</f>
        <v>Reliable</v>
      </c>
    </row>
    <row r="789">
      <c r="A789" s="3">
        <f t="shared" si="1"/>
        <v>788</v>
      </c>
      <c r="B789" s="9" t="s">
        <v>6044</v>
      </c>
      <c r="C789" s="10">
        <v>38.8508826</v>
      </c>
      <c r="D789" s="10">
        <v>-77.0504305</v>
      </c>
      <c r="E789" s="9" t="s">
        <v>6045</v>
      </c>
      <c r="F789" s="9" t="s">
        <v>6046</v>
      </c>
      <c r="G789" s="9" t="s">
        <v>6047</v>
      </c>
      <c r="H789" s="9" t="s">
        <v>6048</v>
      </c>
      <c r="I789" s="9" t="s">
        <v>482</v>
      </c>
      <c r="J789" s="9" t="s">
        <v>6049</v>
      </c>
      <c r="K789" s="12" t="s">
        <v>6050</v>
      </c>
      <c r="L789" s="9" t="s">
        <v>6051</v>
      </c>
      <c r="M789" s="9">
        <v>73.5</v>
      </c>
      <c r="N789" s="10">
        <v>49.39112153</v>
      </c>
      <c r="O789" s="10" t="s">
        <v>6052</v>
      </c>
      <c r="P789" s="9">
        <v>9082026.0</v>
      </c>
      <c r="Q789" s="7" t="str">
        <f>IF(OR(ISBLANK(M789), ISBLANK(N789)), "", IF(N789 &lt; Sheet3!$B$6, "Insufficient Reviews", IF(M789 &gt;= Sheet3!$B$2, "Highly Reliable", IF(M789 &gt;= Sheet3!$B$3, "Reliable", IF(M789 &gt;= Sheet3!$B$4, "Mixed Reviews", "Low Reliability")))))</f>
        <v>Reliable</v>
      </c>
    </row>
    <row r="790">
      <c r="A790" s="3">
        <f t="shared" si="1"/>
        <v>789</v>
      </c>
      <c r="B790" s="9" t="s">
        <v>6053</v>
      </c>
      <c r="C790" s="10">
        <v>38.3738043</v>
      </c>
      <c r="D790" s="10">
        <v>-75.6103729</v>
      </c>
      <c r="E790" s="9" t="s">
        <v>6054</v>
      </c>
      <c r="F790" s="9" t="s">
        <v>6055</v>
      </c>
      <c r="G790" s="11"/>
      <c r="H790" s="9" t="s">
        <v>6056</v>
      </c>
      <c r="I790" s="9" t="s">
        <v>81</v>
      </c>
      <c r="J790" s="9" t="s">
        <v>6057</v>
      </c>
      <c r="K790" s="12" t="s">
        <v>6058</v>
      </c>
      <c r="L790" s="9" t="s">
        <v>6059</v>
      </c>
      <c r="M790" s="9">
        <v>81.56707313</v>
      </c>
      <c r="N790" s="10">
        <v>70.59699934</v>
      </c>
      <c r="O790" s="10" t="s">
        <v>6060</v>
      </c>
      <c r="P790" s="9">
        <v>9082026.0</v>
      </c>
      <c r="Q790" s="7" t="str">
        <f>IF(OR(ISBLANK(M790), ISBLANK(N790)), "", IF(N790 &lt; Sheet3!$B$6, "Insufficient Reviews", IF(M790 &gt;= Sheet3!$B$2, "Highly Reliable", IF(M790 &gt;= Sheet3!$B$3, "Reliable", IF(M790 &gt;= Sheet3!$B$4, "Mixed Reviews", "Low Reliability")))))</f>
        <v>Reliable</v>
      </c>
    </row>
    <row r="791">
      <c r="A791" s="3">
        <f t="shared" si="1"/>
        <v>790</v>
      </c>
      <c r="B791" s="9" t="s">
        <v>6061</v>
      </c>
      <c r="C791" s="10">
        <v>42.3200852</v>
      </c>
      <c r="D791" s="10">
        <v>-71.0988361</v>
      </c>
      <c r="E791" s="9" t="s">
        <v>6062</v>
      </c>
      <c r="F791" s="9" t="s">
        <v>6063</v>
      </c>
      <c r="G791" s="11"/>
      <c r="H791" s="9" t="s">
        <v>126</v>
      </c>
      <c r="I791" s="9" t="s">
        <v>81</v>
      </c>
      <c r="J791" s="9" t="s">
        <v>6064</v>
      </c>
      <c r="K791" s="12" t="s">
        <v>6065</v>
      </c>
      <c r="L791" s="9" t="s">
        <v>6066</v>
      </c>
      <c r="M791" s="9">
        <v>61.36823856</v>
      </c>
      <c r="N791" s="10">
        <v>67.19773081</v>
      </c>
      <c r="O791" s="10" t="s">
        <v>6067</v>
      </c>
      <c r="P791" s="9">
        <v>9082026.0</v>
      </c>
      <c r="Q791" s="7" t="str">
        <f>IF(OR(ISBLANK(M791), ISBLANK(N791)), "", IF(N791 &lt; Sheet3!$B$6, "Insufficient Reviews", IF(M791 &gt;= Sheet3!$B$2, "Highly Reliable", IF(M791 &gt;= Sheet3!$B$3, "Reliable", IF(M791 &gt;= Sheet3!$B$4, "Mixed Reviews", "Low Reliability")))))</f>
        <v>Mixed Reviews</v>
      </c>
    </row>
    <row r="792">
      <c r="A792" s="3">
        <f t="shared" si="1"/>
        <v>791</v>
      </c>
      <c r="B792" s="9" t="s">
        <v>6068</v>
      </c>
      <c r="C792" s="10">
        <v>35.8346276</v>
      </c>
      <c r="D792" s="10">
        <v>-78.6666728</v>
      </c>
      <c r="E792" s="9" t="s">
        <v>6069</v>
      </c>
      <c r="F792" s="9" t="s">
        <v>6070</v>
      </c>
      <c r="G792" s="9" t="s">
        <v>6071</v>
      </c>
      <c r="H792" s="9" t="s">
        <v>6072</v>
      </c>
      <c r="I792" s="9" t="s">
        <v>81</v>
      </c>
      <c r="J792" s="9" t="s">
        <v>6073</v>
      </c>
      <c r="K792" s="12" t="s">
        <v>6074</v>
      </c>
      <c r="L792" s="9" t="s">
        <v>6075</v>
      </c>
      <c r="M792" s="9">
        <v>68.624508</v>
      </c>
      <c r="N792" s="10">
        <v>62.53331021</v>
      </c>
      <c r="O792" s="10" t="s">
        <v>6076</v>
      </c>
      <c r="P792" s="9">
        <v>9082026.0</v>
      </c>
      <c r="Q792" s="7" t="str">
        <f>IF(OR(ISBLANK(M792), ISBLANK(N792)), "", IF(N792 &lt; Sheet3!$B$6, "Insufficient Reviews", IF(M792 &gt;= Sheet3!$B$2, "Highly Reliable", IF(M792 &gt;= Sheet3!$B$3, "Reliable", IF(M792 &gt;= Sheet3!$B$4, "Mixed Reviews", "Low Reliability")))))</f>
        <v>Mixed Reviews</v>
      </c>
    </row>
    <row r="793">
      <c r="A793" s="3">
        <f t="shared" si="1"/>
        <v>792</v>
      </c>
      <c r="B793" s="9" t="s">
        <v>6077</v>
      </c>
      <c r="C793" s="10">
        <v>39.318941</v>
      </c>
      <c r="D793" s="10">
        <v>-76.743661</v>
      </c>
      <c r="E793" s="9" t="s">
        <v>6078</v>
      </c>
      <c r="F793" s="9" t="s">
        <v>6079</v>
      </c>
      <c r="G793" s="9"/>
      <c r="H793" s="11"/>
      <c r="I793" s="9" t="s">
        <v>91</v>
      </c>
      <c r="J793" s="9" t="s">
        <v>6080</v>
      </c>
      <c r="K793" s="12" t="s">
        <v>6081</v>
      </c>
      <c r="L793" s="9" t="s">
        <v>6082</v>
      </c>
      <c r="M793" s="9">
        <v>36.05718088</v>
      </c>
      <c r="N793" s="10">
        <v>57.76322394</v>
      </c>
      <c r="O793" s="10" t="s">
        <v>6083</v>
      </c>
      <c r="P793" s="9">
        <v>9082026.0</v>
      </c>
      <c r="Q793" s="7" t="str">
        <f>IF(OR(ISBLANK(M793), ISBLANK(N793)), "", IF(N793 &lt; Sheet3!$B$6, "Insufficient Reviews", IF(M793 &gt;= Sheet3!$B$2, "Highly Reliable", IF(M793 &gt;= Sheet3!$B$3, "Reliable", IF(M793 &gt;= Sheet3!$B$4, "Mixed Reviews", "Low Reliability")))))</f>
        <v>Low Reliability</v>
      </c>
    </row>
    <row r="794">
      <c r="A794" s="3">
        <f t="shared" si="1"/>
        <v>793</v>
      </c>
      <c r="B794" s="9" t="s">
        <v>6084</v>
      </c>
      <c r="C794" s="10">
        <v>39.4579137</v>
      </c>
      <c r="D794" s="10">
        <v>-76.6320398</v>
      </c>
      <c r="E794" s="9" t="s">
        <v>6085</v>
      </c>
      <c r="F794" s="9" t="s">
        <v>6086</v>
      </c>
      <c r="G794" s="9"/>
      <c r="H794" s="9" t="s">
        <v>1476</v>
      </c>
      <c r="I794" s="9" t="s">
        <v>35</v>
      </c>
      <c r="J794" s="9" t="s">
        <v>6087</v>
      </c>
      <c r="K794" s="12" t="s">
        <v>6088</v>
      </c>
      <c r="L794" s="9" t="s">
        <v>6089</v>
      </c>
      <c r="M794" s="9">
        <v>18.0</v>
      </c>
      <c r="N794" s="10">
        <v>53.5</v>
      </c>
      <c r="O794" s="10" t="s">
        <v>4794</v>
      </c>
      <c r="P794" s="9">
        <v>9082026.0</v>
      </c>
      <c r="Q794" s="7" t="str">
        <f>IF(OR(ISBLANK(M794), ISBLANK(N794)), "", IF(N794 &lt; Sheet3!$B$6, "Insufficient Reviews", IF(M794 &gt;= Sheet3!$B$2, "Highly Reliable", IF(M794 &gt;= Sheet3!$B$3, "Reliable", IF(M794 &gt;= Sheet3!$B$4, "Mixed Reviews", "Low Reliability")))))</f>
        <v>Low Reliability</v>
      </c>
    </row>
    <row r="795">
      <c r="A795" s="3">
        <f t="shared" si="1"/>
        <v>794</v>
      </c>
      <c r="B795" s="9" t="s">
        <v>6090</v>
      </c>
      <c r="C795" s="10">
        <v>39.1284376</v>
      </c>
      <c r="D795" s="10">
        <v>-76.781723</v>
      </c>
      <c r="E795" s="9" t="s">
        <v>6091</v>
      </c>
      <c r="F795" s="9" t="s">
        <v>6092</v>
      </c>
      <c r="G795" s="11"/>
      <c r="H795" s="9" t="s">
        <v>135</v>
      </c>
      <c r="I795" s="9" t="s">
        <v>91</v>
      </c>
      <c r="J795" s="9" t="s">
        <v>6093</v>
      </c>
      <c r="K795" s="12" t="s">
        <v>6094</v>
      </c>
      <c r="L795" s="9" t="s">
        <v>6095</v>
      </c>
      <c r="M795" s="9">
        <v>84.51816197</v>
      </c>
      <c r="N795" s="10">
        <v>71.06222668</v>
      </c>
      <c r="O795" s="10" t="s">
        <v>6096</v>
      </c>
      <c r="P795" s="9">
        <v>9082026.0</v>
      </c>
      <c r="Q795" s="7" t="str">
        <f>IF(OR(ISBLANK(M795), ISBLANK(N795)), "", IF(N795 &lt; Sheet3!$B$6, "Insufficient Reviews", IF(M795 &gt;= Sheet3!$B$2, "Highly Reliable", IF(M795 &gt;= Sheet3!$B$3, "Reliable", IF(M795 &gt;= Sheet3!$B$4, "Mixed Reviews", "Low Reliability")))))</f>
        <v>Highly Reliable</v>
      </c>
    </row>
    <row r="796">
      <c r="A796" s="3">
        <f t="shared" si="1"/>
        <v>795</v>
      </c>
      <c r="B796" s="9" t="s">
        <v>6097</v>
      </c>
      <c r="C796" s="10">
        <v>39.4322709</v>
      </c>
      <c r="D796" s="10">
        <v>-76.6297903</v>
      </c>
      <c r="E796" s="9" t="s">
        <v>6098</v>
      </c>
      <c r="F796" s="9" t="s">
        <v>6099</v>
      </c>
      <c r="G796" s="9" t="s">
        <v>6100</v>
      </c>
      <c r="H796" s="9"/>
      <c r="I796" s="9" t="s">
        <v>91</v>
      </c>
      <c r="J796" s="9" t="s">
        <v>6101</v>
      </c>
      <c r="K796" s="12" t="s">
        <v>6102</v>
      </c>
      <c r="L796" s="9" t="s">
        <v>6103</v>
      </c>
      <c r="M796" s="9">
        <v>16.5</v>
      </c>
      <c r="N796" s="10">
        <v>54.73</v>
      </c>
      <c r="O796" s="10" t="s">
        <v>6104</v>
      </c>
      <c r="P796" s="9">
        <v>9082026.0</v>
      </c>
      <c r="Q796" s="7" t="str">
        <f>IF(OR(ISBLANK(M796), ISBLANK(N796)), "", IF(N796 &lt; Sheet3!$B$6, "Insufficient Reviews", IF(M796 &gt;= Sheet3!$B$2, "Highly Reliable", IF(M796 &gt;= Sheet3!$B$3, "Reliable", IF(M796 &gt;= Sheet3!$B$4, "Mixed Reviews", "Low Reliability")))))</f>
        <v>Low Reliability</v>
      </c>
    </row>
    <row r="797">
      <c r="A797" s="3">
        <f t="shared" si="1"/>
        <v>796</v>
      </c>
      <c r="B797" s="9" t="s">
        <v>5587</v>
      </c>
      <c r="C797" s="10">
        <v>39.373097</v>
      </c>
      <c r="D797" s="10">
        <v>-76.608841</v>
      </c>
      <c r="E797" s="9" t="s">
        <v>6105</v>
      </c>
      <c r="F797" s="9" t="s">
        <v>6106</v>
      </c>
      <c r="G797" s="9"/>
      <c r="H797" s="9" t="s">
        <v>26</v>
      </c>
      <c r="I797" s="9" t="s">
        <v>91</v>
      </c>
      <c r="J797" s="9" t="s">
        <v>6107</v>
      </c>
      <c r="K797" s="12" t="s">
        <v>6108</v>
      </c>
      <c r="L797" s="9" t="s">
        <v>6109</v>
      </c>
      <c r="M797" s="9">
        <v>51.62837229</v>
      </c>
      <c r="N797" s="10">
        <v>65.66593241</v>
      </c>
      <c r="O797" s="10" t="s">
        <v>6110</v>
      </c>
      <c r="P797" s="9">
        <v>9082026.0</v>
      </c>
      <c r="Q797" s="7" t="str">
        <f>IF(OR(ISBLANK(M797), ISBLANK(N797)), "", IF(N797 &lt; Sheet3!$B$6, "Insufficient Reviews", IF(M797 &gt;= Sheet3!$B$2, "Highly Reliable", IF(M797 &gt;= Sheet3!$B$3, "Reliable", IF(M797 &gt;= Sheet3!$B$4, "Mixed Reviews", "Low Reliability")))))</f>
        <v>Low Reliability</v>
      </c>
    </row>
    <row r="798">
      <c r="A798" s="3">
        <f t="shared" si="1"/>
        <v>797</v>
      </c>
      <c r="B798" s="9" t="s">
        <v>6111</v>
      </c>
      <c r="C798" s="10">
        <v>39.3305366</v>
      </c>
      <c r="D798" s="10">
        <v>-76.6092077</v>
      </c>
      <c r="E798" s="9" t="s">
        <v>6112</v>
      </c>
      <c r="F798" s="9" t="s">
        <v>6113</v>
      </c>
      <c r="G798" s="9"/>
      <c r="H798" s="9" t="s">
        <v>43</v>
      </c>
      <c r="I798" s="9" t="s">
        <v>27</v>
      </c>
      <c r="J798" s="9" t="s">
        <v>6114</v>
      </c>
      <c r="K798" s="12" t="s">
        <v>6115</v>
      </c>
      <c r="L798" s="9" t="s">
        <v>6116</v>
      </c>
      <c r="M798" s="9">
        <v>77.45314982</v>
      </c>
      <c r="N798" s="10">
        <v>70.86456973</v>
      </c>
      <c r="O798" s="10" t="s">
        <v>6117</v>
      </c>
      <c r="P798" s="9">
        <v>9082026.0</v>
      </c>
      <c r="Q798" s="7" t="str">
        <f>IF(OR(ISBLANK(M798), ISBLANK(N798)), "", IF(N798 &lt; Sheet3!$B$6, "Insufficient Reviews", IF(M798 &gt;= Sheet3!$B$2, "Highly Reliable", IF(M798 &gt;= Sheet3!$B$3, "Reliable", IF(M798 &gt;= Sheet3!$B$4, "Mixed Reviews", "Low Reliability")))))</f>
        <v>Reliable</v>
      </c>
    </row>
    <row r="799">
      <c r="A799" s="3">
        <f t="shared" si="1"/>
        <v>798</v>
      </c>
      <c r="B799" s="9" t="s">
        <v>6118</v>
      </c>
      <c r="C799" s="10">
        <v>39.3686659</v>
      </c>
      <c r="D799" s="10">
        <v>-76.4613393</v>
      </c>
      <c r="E799" s="9" t="s">
        <v>6119</v>
      </c>
      <c r="F799" s="9" t="s">
        <v>6120</v>
      </c>
      <c r="G799" s="9"/>
      <c r="H799" s="9" t="s">
        <v>126</v>
      </c>
      <c r="I799" s="9" t="s">
        <v>91</v>
      </c>
      <c r="J799" s="9" t="s">
        <v>6121</v>
      </c>
      <c r="K799" s="12" t="s">
        <v>6122</v>
      </c>
      <c r="L799" s="9" t="s">
        <v>6123</v>
      </c>
      <c r="M799" s="9">
        <v>83.40529106</v>
      </c>
      <c r="N799" s="10">
        <v>62.35457657</v>
      </c>
      <c r="O799" s="10" t="s">
        <v>6124</v>
      </c>
      <c r="P799" s="9">
        <v>9082026.0</v>
      </c>
      <c r="Q799" s="7" t="str">
        <f>IF(OR(ISBLANK(M799), ISBLANK(N799)), "", IF(N799 &lt; Sheet3!$B$6, "Insufficient Reviews", IF(M799 &gt;= Sheet3!$B$2, "Highly Reliable", IF(M799 &gt;= Sheet3!$B$3, "Reliable", IF(M799 &gt;= Sheet3!$B$4, "Mixed Reviews", "Low Reliability")))))</f>
        <v>Highly Reliable</v>
      </c>
    </row>
    <row r="800">
      <c r="A800" s="3">
        <f t="shared" si="1"/>
        <v>799</v>
      </c>
      <c r="B800" s="9" t="s">
        <v>6125</v>
      </c>
      <c r="C800" s="10">
        <v>39.161184</v>
      </c>
      <c r="D800" s="10">
        <v>-77.060608</v>
      </c>
      <c r="E800" s="9" t="s">
        <v>6126</v>
      </c>
      <c r="F800" s="9" t="s">
        <v>6127</v>
      </c>
      <c r="G800" s="11"/>
      <c r="H800" s="9" t="s">
        <v>5224</v>
      </c>
      <c r="I800" s="9" t="s">
        <v>91</v>
      </c>
      <c r="J800" s="9" t="s">
        <v>6128</v>
      </c>
      <c r="K800" s="12" t="s">
        <v>6129</v>
      </c>
      <c r="L800" s="9" t="s">
        <v>6130</v>
      </c>
      <c r="M800" s="9">
        <v>72.2160557</v>
      </c>
      <c r="N800" s="10">
        <v>65.56521994</v>
      </c>
      <c r="O800" s="10" t="s">
        <v>6131</v>
      </c>
      <c r="P800" s="9">
        <v>9082026.0</v>
      </c>
      <c r="Q800" s="7" t="str">
        <f>IF(OR(ISBLANK(M800), ISBLANK(N800)), "", IF(N800 &lt; Sheet3!$B$6, "Insufficient Reviews", IF(M800 &gt;= Sheet3!$B$2, "Highly Reliable", IF(M800 &gt;= Sheet3!$B$3, "Reliable", IF(M800 &gt;= Sheet3!$B$4, "Mixed Reviews", "Low Reliability")))))</f>
        <v>Reliable</v>
      </c>
    </row>
    <row r="801">
      <c r="A801" s="3">
        <f t="shared" si="1"/>
        <v>800</v>
      </c>
      <c r="B801" s="9" t="s">
        <v>6132</v>
      </c>
      <c r="C801" s="10">
        <v>39.1499318</v>
      </c>
      <c r="D801" s="10">
        <v>-77.2079354</v>
      </c>
      <c r="E801" s="9" t="s">
        <v>6133</v>
      </c>
      <c r="F801" s="9" t="s">
        <v>6134</v>
      </c>
      <c r="G801" s="9"/>
      <c r="H801" s="9" t="s">
        <v>126</v>
      </c>
      <c r="I801" s="9" t="s">
        <v>35</v>
      </c>
      <c r="J801" s="9" t="s">
        <v>6135</v>
      </c>
      <c r="K801" s="12" t="s">
        <v>6136</v>
      </c>
      <c r="L801" s="9" t="s">
        <v>6137</v>
      </c>
      <c r="M801" s="9">
        <v>81.75314599</v>
      </c>
      <c r="N801" s="10">
        <v>68.91542587</v>
      </c>
      <c r="O801" s="10" t="s">
        <v>6138</v>
      </c>
      <c r="P801" s="9">
        <v>9082026.0</v>
      </c>
      <c r="Q801" s="7" t="str">
        <f>IF(OR(ISBLANK(M801), ISBLANK(N801)), "", IF(N801 &lt; Sheet3!$B$6, "Insufficient Reviews", IF(M801 &gt;= Sheet3!$B$2, "Highly Reliable", IF(M801 &gt;= Sheet3!$B$3, "Reliable", IF(M801 &gt;= Sheet3!$B$4, "Mixed Reviews", "Low Reliability")))))</f>
        <v>Reliable</v>
      </c>
    </row>
    <row r="802">
      <c r="A802" s="3">
        <f t="shared" si="1"/>
        <v>801</v>
      </c>
      <c r="B802" s="9" t="s">
        <v>6139</v>
      </c>
      <c r="C802" s="10">
        <v>38.894453</v>
      </c>
      <c r="D802" s="10">
        <v>-77.0725907</v>
      </c>
      <c r="E802" s="9" t="s">
        <v>6140</v>
      </c>
      <c r="F802" s="9" t="s">
        <v>6141</v>
      </c>
      <c r="G802" s="9"/>
      <c r="H802" s="11"/>
      <c r="I802" s="9" t="s">
        <v>91</v>
      </c>
      <c r="J802" s="9" t="s">
        <v>6142</v>
      </c>
      <c r="K802" s="12" t="s">
        <v>6143</v>
      </c>
      <c r="L802" s="9" t="s">
        <v>6144</v>
      </c>
      <c r="M802" s="10">
        <v>72.0</v>
      </c>
      <c r="N802" s="10">
        <v>35.6627623</v>
      </c>
      <c r="O802" s="9" t="s">
        <v>4216</v>
      </c>
      <c r="P802" s="9">
        <v>9082026.0</v>
      </c>
      <c r="Q802" s="7" t="str">
        <f>IF(OR(ISBLANK(M802), ISBLANK(N802)), "", IF(N802 &lt; Sheet3!$B$6, "Insufficient Reviews", IF(M802 &gt;= Sheet3!$B$2, "Highly Reliable", IF(M802 &gt;= Sheet3!$B$3, "Reliable", IF(M802 &gt;= Sheet3!$B$4, "Mixed Reviews", "Low Reliability")))))</f>
        <v>Insufficient Reviews</v>
      </c>
    </row>
    <row r="803">
      <c r="A803" s="3">
        <f t="shared" si="1"/>
        <v>802</v>
      </c>
      <c r="B803" s="9" t="s">
        <v>6145</v>
      </c>
      <c r="C803" s="10">
        <v>39.0900069</v>
      </c>
      <c r="D803" s="10">
        <v>-77.1530714</v>
      </c>
      <c r="E803" s="9" t="s">
        <v>6146</v>
      </c>
      <c r="F803" s="9" t="s">
        <v>6147</v>
      </c>
      <c r="G803" s="9" t="s">
        <v>6148</v>
      </c>
      <c r="H803" s="9" t="s">
        <v>532</v>
      </c>
      <c r="I803" s="9" t="s">
        <v>91</v>
      </c>
      <c r="J803" s="9" t="s">
        <v>6149</v>
      </c>
      <c r="K803" s="12" t="s">
        <v>6150</v>
      </c>
      <c r="L803" s="9" t="s">
        <v>6151</v>
      </c>
      <c r="M803" s="9">
        <v>52.76453923</v>
      </c>
      <c r="N803" s="10">
        <v>71.67057956</v>
      </c>
      <c r="O803" s="10" t="s">
        <v>6152</v>
      </c>
      <c r="P803" s="9">
        <v>9082026.0</v>
      </c>
      <c r="Q803" s="7" t="str">
        <f>IF(OR(ISBLANK(M803), ISBLANK(N803)), "", IF(N803 &lt; Sheet3!$B$6, "Insufficient Reviews", IF(M803 &gt;= Sheet3!$B$2, "Highly Reliable", IF(M803 &gt;= Sheet3!$B$3, "Reliable", IF(M803 &gt;= Sheet3!$B$4, "Mixed Reviews", "Low Reliability")))))</f>
        <v>Low Reliability</v>
      </c>
    </row>
    <row r="804">
      <c r="A804" s="3">
        <f t="shared" si="1"/>
        <v>803</v>
      </c>
      <c r="B804" s="9" t="s">
        <v>6153</v>
      </c>
      <c r="C804" s="10">
        <v>39.4173784</v>
      </c>
      <c r="D804" s="10">
        <v>-77.4536716</v>
      </c>
      <c r="E804" s="9" t="s">
        <v>6154</v>
      </c>
      <c r="F804" s="9" t="s">
        <v>6155</v>
      </c>
      <c r="G804" s="9"/>
      <c r="H804" s="9" t="s">
        <v>126</v>
      </c>
      <c r="I804" s="9" t="s">
        <v>27</v>
      </c>
      <c r="J804" s="9" t="s">
        <v>6156</v>
      </c>
      <c r="K804" s="12" t="s">
        <v>6157</v>
      </c>
      <c r="L804" s="9" t="s">
        <v>6158</v>
      </c>
      <c r="M804" s="9">
        <v>13.5</v>
      </c>
      <c r="N804" s="10">
        <v>31.83333333</v>
      </c>
      <c r="O804" s="10" t="s">
        <v>290</v>
      </c>
      <c r="P804" s="9">
        <v>9082026.0</v>
      </c>
      <c r="Q804" s="7" t="str">
        <f>IF(OR(ISBLANK(M804), ISBLANK(N804)), "", IF(N804 &lt; Sheet3!$B$6, "Insufficient Reviews", IF(M804 &gt;= Sheet3!$B$2, "Highly Reliable", IF(M804 &gt;= Sheet3!$B$3, "Reliable", IF(M804 &gt;= Sheet3!$B$4, "Mixed Reviews", "Low Reliability")))))</f>
        <v>Insufficient Reviews</v>
      </c>
    </row>
    <row r="805">
      <c r="A805" s="3">
        <f t="shared" si="1"/>
        <v>804</v>
      </c>
      <c r="B805" s="9" t="s">
        <v>6159</v>
      </c>
      <c r="C805" s="10">
        <v>39.051814</v>
      </c>
      <c r="D805" s="10">
        <v>-77.1148035</v>
      </c>
      <c r="E805" s="9" t="s">
        <v>6160</v>
      </c>
      <c r="F805" s="9" t="s">
        <v>6161</v>
      </c>
      <c r="G805" s="11"/>
      <c r="H805" s="11"/>
      <c r="I805" s="9" t="s">
        <v>91</v>
      </c>
      <c r="J805" s="9" t="s">
        <v>6162</v>
      </c>
      <c r="K805" s="12" t="s">
        <v>6163</v>
      </c>
      <c r="L805" s="9" t="s">
        <v>6164</v>
      </c>
      <c r="M805" s="9">
        <v>79.74291513</v>
      </c>
      <c r="N805" s="10">
        <v>67.69137238</v>
      </c>
      <c r="O805" s="10" t="s">
        <v>6165</v>
      </c>
      <c r="P805" s="9">
        <v>9082026.0</v>
      </c>
      <c r="Q805" s="7" t="str">
        <f>IF(OR(ISBLANK(M805), ISBLANK(N805)), "", IF(N805 &lt; Sheet3!$B$6, "Insufficient Reviews", IF(M805 &gt;= Sheet3!$B$2, "Highly Reliable", IF(M805 &gt;= Sheet3!$B$3, "Reliable", IF(M805 &gt;= Sheet3!$B$4, "Mixed Reviews", "Low Reliability")))))</f>
        <v>Reliable</v>
      </c>
    </row>
    <row r="806">
      <c r="A806" s="3">
        <f t="shared" si="1"/>
        <v>805</v>
      </c>
      <c r="B806" s="9" t="s">
        <v>6166</v>
      </c>
      <c r="C806" s="10">
        <v>38.8916961</v>
      </c>
      <c r="D806" s="10">
        <v>-77.0052186</v>
      </c>
      <c r="E806" s="9" t="s">
        <v>6167</v>
      </c>
      <c r="F806" s="9" t="s">
        <v>6168</v>
      </c>
      <c r="G806" s="9" t="s">
        <v>6169</v>
      </c>
      <c r="H806" s="9" t="s">
        <v>6170</v>
      </c>
      <c r="I806" s="9" t="s">
        <v>35</v>
      </c>
      <c r="J806" s="9" t="s">
        <v>6171</v>
      </c>
      <c r="K806" s="12" t="s">
        <v>6172</v>
      </c>
      <c r="L806" s="9" t="s">
        <v>6173</v>
      </c>
      <c r="M806" s="9">
        <v>29.70653904</v>
      </c>
      <c r="N806" s="10">
        <v>48.337194</v>
      </c>
      <c r="O806" s="10" t="s">
        <v>6174</v>
      </c>
      <c r="P806" s="9">
        <v>9082026.0</v>
      </c>
      <c r="Q806" s="7" t="str">
        <f>IF(OR(ISBLANK(M806), ISBLANK(N806)), "", IF(N806 &lt; Sheet3!$B$6, "Insufficient Reviews", IF(M806 &gt;= Sheet3!$B$2, "Highly Reliable", IF(M806 &gt;= Sheet3!$B$3, "Reliable", IF(M806 &gt;= Sheet3!$B$4, "Mixed Reviews", "Low Reliability")))))</f>
        <v>Low Reliability</v>
      </c>
    </row>
    <row r="807">
      <c r="A807" s="3">
        <f t="shared" si="1"/>
        <v>806</v>
      </c>
      <c r="B807" s="9" t="s">
        <v>6175</v>
      </c>
      <c r="C807" s="10">
        <v>38.85942</v>
      </c>
      <c r="D807" s="10">
        <v>-77.0495385</v>
      </c>
      <c r="E807" s="9" t="s">
        <v>6176</v>
      </c>
      <c r="F807" s="9" t="s">
        <v>6177</v>
      </c>
      <c r="G807" s="11"/>
      <c r="H807" s="9" t="s">
        <v>303</v>
      </c>
      <c r="I807" s="9" t="s">
        <v>35</v>
      </c>
      <c r="J807" s="9" t="s">
        <v>6178</v>
      </c>
      <c r="K807" s="12" t="s">
        <v>6179</v>
      </c>
      <c r="L807" s="9" t="s">
        <v>6180</v>
      </c>
      <c r="M807" s="10">
        <v>65.43019413</v>
      </c>
      <c r="N807" s="10">
        <v>63.10345254</v>
      </c>
      <c r="O807" s="9" t="s">
        <v>6181</v>
      </c>
      <c r="P807" s="9">
        <v>9082026.0</v>
      </c>
      <c r="Q807" s="7" t="str">
        <f>IF(OR(ISBLANK(M807), ISBLANK(N807)), "", IF(N807 &lt; Sheet3!$B$6, "Insufficient Reviews", IF(M807 &gt;= Sheet3!$B$2, "Highly Reliable", IF(M807 &gt;= Sheet3!$B$3, "Reliable", IF(M807 &gt;= Sheet3!$B$4, "Mixed Reviews", "Low Reliability")))))</f>
        <v>Mixed Reviews</v>
      </c>
    </row>
    <row r="808">
      <c r="A808" s="3">
        <f t="shared" si="1"/>
        <v>807</v>
      </c>
      <c r="B808" s="9" t="s">
        <v>6182</v>
      </c>
      <c r="C808" s="10">
        <v>39.643646</v>
      </c>
      <c r="D808" s="10">
        <v>-77.7205723</v>
      </c>
      <c r="E808" s="9" t="s">
        <v>6183</v>
      </c>
      <c r="F808" s="9" t="s">
        <v>6184</v>
      </c>
      <c r="G808" s="11"/>
      <c r="H808" s="9" t="s">
        <v>6185</v>
      </c>
      <c r="I808" s="9" t="s">
        <v>35</v>
      </c>
      <c r="J808" s="9" t="s">
        <v>6186</v>
      </c>
      <c r="K808" s="12" t="s">
        <v>6187</v>
      </c>
      <c r="L808" s="9" t="s">
        <v>6188</v>
      </c>
      <c r="M808" s="9">
        <v>78.55588137</v>
      </c>
      <c r="N808" s="10">
        <v>45.23334988</v>
      </c>
      <c r="O808" s="10" t="s">
        <v>1522</v>
      </c>
      <c r="P808" s="9">
        <v>9082026.0</v>
      </c>
      <c r="Q808" s="7" t="str">
        <f>IF(OR(ISBLANK(M808), ISBLANK(N808)), "", IF(N808 &lt; Sheet3!$B$6, "Insufficient Reviews", IF(M808 &gt;= Sheet3!$B$2, "Highly Reliable", IF(M808 &gt;= Sheet3!$B$3, "Reliable", IF(M808 &gt;= Sheet3!$B$4, "Mixed Reviews", "Low Reliability")))))</f>
        <v>Reliable</v>
      </c>
    </row>
    <row r="809">
      <c r="A809" s="3">
        <f t="shared" si="1"/>
        <v>808</v>
      </c>
      <c r="B809" s="9" t="s">
        <v>6189</v>
      </c>
      <c r="C809" s="10">
        <v>39.6095531</v>
      </c>
      <c r="D809" s="10">
        <v>-75.8240476</v>
      </c>
      <c r="E809" s="9" t="s">
        <v>6190</v>
      </c>
      <c r="F809" s="9" t="s">
        <v>6191</v>
      </c>
      <c r="G809" s="9"/>
      <c r="H809" s="9" t="s">
        <v>6192</v>
      </c>
      <c r="I809" s="9" t="s">
        <v>91</v>
      </c>
      <c r="J809" s="9" t="s">
        <v>6193</v>
      </c>
      <c r="K809" s="9"/>
      <c r="L809" s="9" t="s">
        <v>6194</v>
      </c>
      <c r="M809" s="9">
        <v>9.0</v>
      </c>
      <c r="N809" s="10">
        <v>14.97166667</v>
      </c>
      <c r="O809" s="10" t="s">
        <v>6195</v>
      </c>
      <c r="P809" s="9">
        <v>9082026.0</v>
      </c>
      <c r="Q809" s="7" t="str">
        <f>IF(OR(ISBLANK(M809), ISBLANK(N809)), "", IF(N809 &lt; Sheet3!$B$6, "Insufficient Reviews", IF(M809 &gt;= Sheet3!$B$2, "Highly Reliable", IF(M809 &gt;= Sheet3!$B$3, "Reliable", IF(M809 &gt;= Sheet3!$B$4, "Mixed Reviews", "Low Reliability")))))</f>
        <v>Insufficient Reviews</v>
      </c>
    </row>
    <row r="810">
      <c r="A810" s="3">
        <f t="shared" si="1"/>
        <v>809</v>
      </c>
      <c r="B810" s="9" t="s">
        <v>6196</v>
      </c>
      <c r="C810" s="10">
        <v>36.8461929</v>
      </c>
      <c r="D810" s="10">
        <v>-76.2931241</v>
      </c>
      <c r="E810" s="9" t="s">
        <v>6197</v>
      </c>
      <c r="F810" s="9" t="s">
        <v>6198</v>
      </c>
      <c r="G810" s="9" t="s">
        <v>6199</v>
      </c>
      <c r="H810" s="9" t="s">
        <v>6200</v>
      </c>
      <c r="I810" s="9" t="s">
        <v>91</v>
      </c>
      <c r="J810" s="9" t="s">
        <v>6201</v>
      </c>
      <c r="K810" s="12" t="s">
        <v>6202</v>
      </c>
      <c r="L810" s="9" t="s">
        <v>6203</v>
      </c>
      <c r="M810" s="9">
        <v>75.49455146</v>
      </c>
      <c r="N810" s="10">
        <v>70.47764896</v>
      </c>
      <c r="O810" s="10" t="s">
        <v>6204</v>
      </c>
      <c r="P810" s="9">
        <v>9082026.0</v>
      </c>
      <c r="Q810" s="7" t="str">
        <f>IF(OR(ISBLANK(M810), ISBLANK(N810)), "", IF(N810 &lt; Sheet3!$B$6, "Insufficient Reviews", IF(M810 &gt;= Sheet3!$B$2, "Highly Reliable", IF(M810 &gt;= Sheet3!$B$3, "Reliable", IF(M810 &gt;= Sheet3!$B$4, "Mixed Reviews", "Low Reliability")))))</f>
        <v>Reliable</v>
      </c>
    </row>
    <row r="811">
      <c r="A811" s="3">
        <f t="shared" si="1"/>
        <v>810</v>
      </c>
      <c r="B811" s="9" t="s">
        <v>6205</v>
      </c>
      <c r="C811" s="10">
        <v>40.7630117</v>
      </c>
      <c r="D811" s="10">
        <v>-73.9755707</v>
      </c>
      <c r="E811" s="9" t="s">
        <v>6206</v>
      </c>
      <c r="F811" s="9" t="s">
        <v>6207</v>
      </c>
      <c r="G811" s="9" t="s">
        <v>6208</v>
      </c>
      <c r="H811" s="9"/>
      <c r="I811" s="9" t="s">
        <v>91</v>
      </c>
      <c r="J811" s="9" t="s">
        <v>6209</v>
      </c>
      <c r="K811" s="12" t="s">
        <v>6210</v>
      </c>
      <c r="L811" s="9" t="s">
        <v>6211</v>
      </c>
      <c r="M811" s="9">
        <v>80.5</v>
      </c>
      <c r="N811" s="10">
        <v>35.6627623</v>
      </c>
      <c r="O811" s="10" t="s">
        <v>6212</v>
      </c>
      <c r="P811" s="9">
        <v>9082026.0</v>
      </c>
      <c r="Q811" s="7" t="str">
        <f>IF(OR(ISBLANK(M811), ISBLANK(N811)), "", IF(N811 &lt; Sheet3!$B$6, "Insufficient Reviews", IF(M811 &gt;= Sheet3!$B$2, "Highly Reliable", IF(M811 &gt;= Sheet3!$B$3, "Reliable", IF(M811 &gt;= Sheet3!$B$4, "Mixed Reviews", "Low Reliability")))))</f>
        <v>Insufficient Reviews</v>
      </c>
    </row>
    <row r="812">
      <c r="A812" s="3">
        <f t="shared" si="1"/>
        <v>811</v>
      </c>
      <c r="B812" s="9" t="s">
        <v>6213</v>
      </c>
      <c r="C812" s="10">
        <v>41.9690711</v>
      </c>
      <c r="D812" s="10">
        <v>-87.7608462</v>
      </c>
      <c r="E812" s="9" t="s">
        <v>6214</v>
      </c>
      <c r="F812" s="9" t="s">
        <v>6215</v>
      </c>
      <c r="G812" s="9" t="s">
        <v>6216</v>
      </c>
      <c r="H812" s="9" t="s">
        <v>135</v>
      </c>
      <c r="I812" s="9" t="s">
        <v>44</v>
      </c>
      <c r="J812" s="9" t="s">
        <v>6217</v>
      </c>
      <c r="K812" s="12" t="s">
        <v>6218</v>
      </c>
      <c r="L812" s="9" t="s">
        <v>6219</v>
      </c>
      <c r="M812" s="9">
        <v>81.87007962</v>
      </c>
      <c r="N812" s="10">
        <v>64.97416358</v>
      </c>
      <c r="O812" s="10" t="s">
        <v>6220</v>
      </c>
      <c r="P812" s="9">
        <v>9082026.0</v>
      </c>
      <c r="Q812" s="7" t="str">
        <f>IF(OR(ISBLANK(M812), ISBLANK(N812)), "", IF(N812 &lt; Sheet3!$B$6, "Insufficient Reviews", IF(M812 &gt;= Sheet3!$B$2, "Highly Reliable", IF(M812 &gt;= Sheet3!$B$3, "Reliable", IF(M812 &gt;= Sheet3!$B$4, "Mixed Reviews", "Low Reliability")))))</f>
        <v>Reliable</v>
      </c>
    </row>
    <row r="813">
      <c r="A813" s="3">
        <f t="shared" si="1"/>
        <v>812</v>
      </c>
      <c r="B813" s="9" t="s">
        <v>6221</v>
      </c>
      <c r="C813" s="10">
        <v>41.3928387</v>
      </c>
      <c r="D813" s="10">
        <v>-73.5197514</v>
      </c>
      <c r="E813" s="9" t="s">
        <v>6222</v>
      </c>
      <c r="F813" s="9" t="s">
        <v>6223</v>
      </c>
      <c r="G813" s="9" t="s">
        <v>6224</v>
      </c>
      <c r="H813" s="9" t="s">
        <v>6225</v>
      </c>
      <c r="I813" s="9" t="s">
        <v>91</v>
      </c>
      <c r="J813" s="9" t="s">
        <v>6226</v>
      </c>
      <c r="K813" s="12" t="s">
        <v>6227</v>
      </c>
      <c r="L813" s="9" t="s">
        <v>6228</v>
      </c>
      <c r="M813" s="9">
        <v>80.5</v>
      </c>
      <c r="N813" s="10">
        <v>37.90283464</v>
      </c>
      <c r="O813" s="10" t="s">
        <v>1351</v>
      </c>
      <c r="P813" s="9">
        <v>9082026.0</v>
      </c>
      <c r="Q813" s="7" t="str">
        <f>IF(OR(ISBLANK(M813), ISBLANK(N813)), "", IF(N813 &lt; Sheet3!$B$6, "Insufficient Reviews", IF(M813 &gt;= Sheet3!$B$2, "Highly Reliable", IF(M813 &gt;= Sheet3!$B$3, "Reliable", IF(M813 &gt;= Sheet3!$B$4, "Mixed Reviews", "Low Reliability")))))</f>
        <v>Insufficient Reviews</v>
      </c>
    </row>
    <row r="814">
      <c r="A814" s="3">
        <f t="shared" si="1"/>
        <v>813</v>
      </c>
      <c r="B814" s="9" t="s">
        <v>6229</v>
      </c>
      <c r="C814" s="10">
        <v>39.4266717</v>
      </c>
      <c r="D814" s="10">
        <v>-76.7794115</v>
      </c>
      <c r="E814" s="9" t="s">
        <v>6230</v>
      </c>
      <c r="F814" s="9" t="s">
        <v>6231</v>
      </c>
      <c r="G814" s="9" t="s">
        <v>6232</v>
      </c>
      <c r="H814" s="9"/>
      <c r="I814" s="9" t="s">
        <v>44</v>
      </c>
      <c r="J814" s="9" t="s">
        <v>6233</v>
      </c>
      <c r="K814" s="12" t="s">
        <v>6234</v>
      </c>
      <c r="L814" s="9" t="s">
        <v>6235</v>
      </c>
      <c r="M814" s="9">
        <v>66.02337676</v>
      </c>
      <c r="N814" s="10">
        <v>60.07202222</v>
      </c>
      <c r="O814" s="10" t="s">
        <v>6236</v>
      </c>
      <c r="P814" s="9">
        <v>9082026.0</v>
      </c>
      <c r="Q814" s="7" t="str">
        <f>IF(OR(ISBLANK(M814), ISBLANK(N814)), "", IF(N814 &lt; Sheet3!$B$6, "Insufficient Reviews", IF(M814 &gt;= Sheet3!$B$2, "Highly Reliable", IF(M814 &gt;= Sheet3!$B$3, "Reliable", IF(M814 &gt;= Sheet3!$B$4, "Mixed Reviews", "Low Reliability")))))</f>
        <v>Mixed Reviews</v>
      </c>
    </row>
    <row r="815">
      <c r="A815" s="3">
        <f t="shared" si="1"/>
        <v>814</v>
      </c>
      <c r="B815" s="9" t="s">
        <v>6237</v>
      </c>
      <c r="C815" s="10">
        <v>39.5383652</v>
      </c>
      <c r="D815" s="10">
        <v>-76.3519253</v>
      </c>
      <c r="E815" s="9" t="s">
        <v>6238</v>
      </c>
      <c r="F815" s="9" t="s">
        <v>6239</v>
      </c>
      <c r="G815" s="9" t="s">
        <v>3669</v>
      </c>
      <c r="H815" s="9" t="s">
        <v>6240</v>
      </c>
      <c r="I815" s="9" t="s">
        <v>44</v>
      </c>
      <c r="J815" s="9" t="s">
        <v>6241</v>
      </c>
      <c r="K815" s="12" t="s">
        <v>6242</v>
      </c>
      <c r="L815" s="9" t="s">
        <v>6243</v>
      </c>
      <c r="M815" s="9">
        <v>66.80119763</v>
      </c>
      <c r="N815" s="10">
        <v>59.15311051</v>
      </c>
      <c r="O815" s="10" t="s">
        <v>6244</v>
      </c>
      <c r="P815" s="9">
        <v>9082026.0</v>
      </c>
      <c r="Q815" s="7" t="str">
        <f>IF(OR(ISBLANK(M815), ISBLANK(N815)), "", IF(N815 &lt; Sheet3!$B$6, "Insufficient Reviews", IF(M815 &gt;= Sheet3!$B$2, "Highly Reliable", IF(M815 &gt;= Sheet3!$B$3, "Reliable", IF(M815 &gt;= Sheet3!$B$4, "Mixed Reviews", "Low Reliability")))))</f>
        <v>Mixed Reviews</v>
      </c>
    </row>
    <row r="816">
      <c r="A816" s="3">
        <f t="shared" si="1"/>
        <v>815</v>
      </c>
      <c r="B816" s="9" t="s">
        <v>6245</v>
      </c>
      <c r="C816" s="10">
        <v>39.4117994</v>
      </c>
      <c r="D816" s="10">
        <v>-76.7787784</v>
      </c>
      <c r="E816" s="9" t="s">
        <v>6246</v>
      </c>
      <c r="F816" s="9" t="s">
        <v>6247</v>
      </c>
      <c r="G816" s="9" t="s">
        <v>4186</v>
      </c>
      <c r="H816" s="9" t="s">
        <v>6248</v>
      </c>
      <c r="I816" s="9" t="s">
        <v>44</v>
      </c>
      <c r="J816" s="9" t="s">
        <v>6249</v>
      </c>
      <c r="K816" s="12" t="s">
        <v>6250</v>
      </c>
      <c r="L816" s="9" t="s">
        <v>6251</v>
      </c>
      <c r="M816" s="9">
        <v>72.4807699</v>
      </c>
      <c r="N816" s="10">
        <v>73.94426659</v>
      </c>
      <c r="O816" s="10" t="s">
        <v>6252</v>
      </c>
      <c r="P816" s="9">
        <v>9082026.0</v>
      </c>
      <c r="Q816" s="7" t="str">
        <f>IF(OR(ISBLANK(M816), ISBLANK(N816)), "", IF(N816 &lt; Sheet3!$B$6, "Insufficient Reviews", IF(M816 &gt;= Sheet3!$B$2, "Highly Reliable", IF(M816 &gt;= Sheet3!$B$3, "Reliable", IF(M816 &gt;= Sheet3!$B$4, "Mixed Reviews", "Low Reliability")))))</f>
        <v>Reliable</v>
      </c>
    </row>
    <row r="817">
      <c r="A817" s="3">
        <f t="shared" si="1"/>
        <v>816</v>
      </c>
      <c r="B817" s="9" t="s">
        <v>6253</v>
      </c>
      <c r="C817" s="10">
        <v>39.3992349</v>
      </c>
      <c r="D817" s="10">
        <v>-76.8001689</v>
      </c>
      <c r="E817" s="9" t="s">
        <v>6254</v>
      </c>
      <c r="F817" s="9" t="s">
        <v>6255</v>
      </c>
      <c r="G817" s="9" t="s">
        <v>6256</v>
      </c>
      <c r="H817" s="9" t="s">
        <v>6257</v>
      </c>
      <c r="I817" s="9" t="s">
        <v>44</v>
      </c>
      <c r="J817" s="9" t="s">
        <v>6258</v>
      </c>
      <c r="K817" s="12" t="s">
        <v>6259</v>
      </c>
      <c r="L817" s="9" t="s">
        <v>6260</v>
      </c>
      <c r="M817" s="9">
        <v>70.66703976</v>
      </c>
      <c r="N817" s="10">
        <v>70.26559266</v>
      </c>
      <c r="O817" s="10" t="s">
        <v>6261</v>
      </c>
      <c r="P817" s="9">
        <v>9082026.0</v>
      </c>
      <c r="Q817" s="7" t="str">
        <f>IF(OR(ISBLANK(M817), ISBLANK(N817)), "", IF(N817 &lt; Sheet3!$B$6, "Insufficient Reviews", IF(M817 &gt;= Sheet3!$B$2, "Highly Reliable", IF(M817 &gt;= Sheet3!$B$3, "Reliable", IF(M817 &gt;= Sheet3!$B$4, "Mixed Reviews", "Low Reliability")))))</f>
        <v>Reliable</v>
      </c>
    </row>
    <row r="818">
      <c r="A818" s="3">
        <f t="shared" si="1"/>
        <v>817</v>
      </c>
      <c r="B818" s="9" t="s">
        <v>6262</v>
      </c>
      <c r="C818" s="10">
        <v>39.4000359</v>
      </c>
      <c r="D818" s="10">
        <v>-76.9394032</v>
      </c>
      <c r="E818" s="9" t="s">
        <v>6263</v>
      </c>
      <c r="F818" s="9" t="s">
        <v>6264</v>
      </c>
      <c r="G818" s="9" t="s">
        <v>6265</v>
      </c>
      <c r="H818" s="9" t="s">
        <v>126</v>
      </c>
      <c r="I818" s="9" t="s">
        <v>44</v>
      </c>
      <c r="J818" s="9" t="s">
        <v>6266</v>
      </c>
      <c r="K818" s="12" t="s">
        <v>6267</v>
      </c>
      <c r="L818" s="9" t="s">
        <v>6268</v>
      </c>
      <c r="M818" s="9">
        <v>75.60726749</v>
      </c>
      <c r="N818" s="10">
        <v>49.09703626</v>
      </c>
      <c r="O818" s="10" t="s">
        <v>6269</v>
      </c>
      <c r="P818" s="9">
        <v>9082026.0</v>
      </c>
      <c r="Q818" s="7" t="str">
        <f>IF(OR(ISBLANK(M818), ISBLANK(N818)), "", IF(N818 &lt; Sheet3!$B$6, "Insufficient Reviews", IF(M818 &gt;= Sheet3!$B$2, "Highly Reliable", IF(M818 &gt;= Sheet3!$B$3, "Reliable", IF(M818 &gt;= Sheet3!$B$4, "Mixed Reviews", "Low Reliability")))))</f>
        <v>Reliable</v>
      </c>
    </row>
    <row r="819">
      <c r="A819" s="3">
        <f t="shared" si="1"/>
        <v>818</v>
      </c>
      <c r="B819" s="9" t="s">
        <v>6270</v>
      </c>
      <c r="C819" s="10">
        <v>39.3763504</v>
      </c>
      <c r="D819" s="10">
        <v>-76.8190107</v>
      </c>
      <c r="E819" s="9" t="s">
        <v>6271</v>
      </c>
      <c r="F819" s="9" t="s">
        <v>6272</v>
      </c>
      <c r="G819" s="9" t="s">
        <v>6273</v>
      </c>
      <c r="H819" s="9" t="s">
        <v>126</v>
      </c>
      <c r="I819" s="9" t="s">
        <v>44</v>
      </c>
      <c r="J819" s="9" t="s">
        <v>6274</v>
      </c>
      <c r="K819" s="12" t="s">
        <v>6275</v>
      </c>
      <c r="L819" s="9" t="s">
        <v>6276</v>
      </c>
      <c r="M819" s="9">
        <v>84.72352549</v>
      </c>
      <c r="N819" s="10">
        <v>69.5633313</v>
      </c>
      <c r="O819" s="10" t="s">
        <v>1496</v>
      </c>
      <c r="P819" s="9">
        <v>9082026.0</v>
      </c>
      <c r="Q819" s="7" t="str">
        <f>IF(OR(ISBLANK(M819), ISBLANK(N819)), "", IF(N819 &lt; Sheet3!$B$6, "Insufficient Reviews", IF(M819 &gt;= Sheet3!$B$2, "Highly Reliable", IF(M819 &gt;= Sheet3!$B$3, "Reliable", IF(M819 &gt;= Sheet3!$B$4, "Mixed Reviews", "Low Reliability")))))</f>
        <v>Highly Reliable</v>
      </c>
    </row>
    <row r="820">
      <c r="A820" s="3">
        <f t="shared" si="1"/>
        <v>819</v>
      </c>
      <c r="B820" s="9" t="s">
        <v>6277</v>
      </c>
      <c r="C820" s="10">
        <v>39.3948773</v>
      </c>
      <c r="D820" s="10">
        <v>-76.5775568</v>
      </c>
      <c r="E820" s="9" t="s">
        <v>6278</v>
      </c>
      <c r="F820" s="9" t="s">
        <v>6279</v>
      </c>
      <c r="G820" s="9" t="s">
        <v>6280</v>
      </c>
      <c r="H820" s="9" t="s">
        <v>6281</v>
      </c>
      <c r="I820" s="9" t="s">
        <v>44</v>
      </c>
      <c r="J820" s="9" t="s">
        <v>6282</v>
      </c>
      <c r="K820" s="12" t="s">
        <v>6283</v>
      </c>
      <c r="L820" s="9" t="s">
        <v>6284</v>
      </c>
      <c r="M820" s="10">
        <v>60.39000155</v>
      </c>
      <c r="N820" s="10">
        <v>56.51264039</v>
      </c>
      <c r="O820" s="9" t="s">
        <v>6285</v>
      </c>
      <c r="P820" s="9">
        <v>9082026.0</v>
      </c>
      <c r="Q820" s="7" t="str">
        <f>IF(OR(ISBLANK(M820), ISBLANK(N820)), "", IF(N820 &lt; Sheet3!$B$6, "Insufficient Reviews", IF(M820 &gt;= Sheet3!$B$2, "Highly Reliable", IF(M820 &gt;= Sheet3!$B$3, "Reliable", IF(M820 &gt;= Sheet3!$B$4, "Mixed Reviews", "Low Reliability")))))</f>
        <v>Mixed Reviews</v>
      </c>
    </row>
    <row r="821">
      <c r="A821" s="3">
        <f t="shared" si="1"/>
        <v>820</v>
      </c>
      <c r="B821" s="9" t="s">
        <v>6286</v>
      </c>
      <c r="C821" s="10">
        <v>39.5595582</v>
      </c>
      <c r="D821" s="10">
        <v>-76.9777466</v>
      </c>
      <c r="E821" s="9" t="s">
        <v>6287</v>
      </c>
      <c r="F821" s="9" t="s">
        <v>6288</v>
      </c>
      <c r="G821" s="9" t="s">
        <v>6289</v>
      </c>
      <c r="H821" s="9" t="s">
        <v>6290</v>
      </c>
      <c r="I821" s="9" t="s">
        <v>91</v>
      </c>
      <c r="J821" s="9" t="s">
        <v>6291</v>
      </c>
      <c r="K821" s="12" t="s">
        <v>6292</v>
      </c>
      <c r="L821" s="9" t="s">
        <v>6293</v>
      </c>
      <c r="M821" s="9">
        <v>87.05826293</v>
      </c>
      <c r="N821" s="10">
        <v>73.63040566</v>
      </c>
      <c r="O821" s="10" t="s">
        <v>6294</v>
      </c>
      <c r="P821" s="9">
        <v>9082026.0</v>
      </c>
      <c r="Q821" s="7" t="str">
        <f>IF(OR(ISBLANK(M821), ISBLANK(N821)), "", IF(N821 &lt; Sheet3!$B$6, "Insufficient Reviews", IF(M821 &gt;= Sheet3!$B$2, "Highly Reliable", IF(M821 &gt;= Sheet3!$B$3, "Reliable", IF(M821 &gt;= Sheet3!$B$4, "Mixed Reviews", "Low Reliability")))))</f>
        <v>Highly Reliable</v>
      </c>
    </row>
    <row r="822">
      <c r="A822" s="3">
        <f t="shared" si="1"/>
        <v>821</v>
      </c>
      <c r="B822" s="9" t="s">
        <v>6295</v>
      </c>
      <c r="C822" s="10">
        <v>39.56799</v>
      </c>
      <c r="D822" s="10">
        <v>-76.9877176</v>
      </c>
      <c r="E822" s="9" t="s">
        <v>6296</v>
      </c>
      <c r="F822" s="9" t="s">
        <v>6297</v>
      </c>
      <c r="G822" s="9" t="s">
        <v>6298</v>
      </c>
      <c r="H822" s="9" t="s">
        <v>6299</v>
      </c>
      <c r="I822" s="9" t="s">
        <v>44</v>
      </c>
      <c r="J822" s="9" t="s">
        <v>6300</v>
      </c>
      <c r="K822" s="9"/>
      <c r="L822" s="9" t="s">
        <v>6301</v>
      </c>
      <c r="M822" s="9">
        <v>12.0</v>
      </c>
      <c r="N822" s="10">
        <v>15.91666667</v>
      </c>
      <c r="O822" s="10" t="s">
        <v>741</v>
      </c>
      <c r="P822" s="9">
        <v>9082026.0</v>
      </c>
      <c r="Q822" s="7" t="str">
        <f>IF(OR(ISBLANK(M822), ISBLANK(N822)), "", IF(N822 &lt; Sheet3!$B$6, "Insufficient Reviews", IF(M822 &gt;= Sheet3!$B$2, "Highly Reliable", IF(M822 &gt;= Sheet3!$B$3, "Reliable", IF(M822 &gt;= Sheet3!$B$4, "Mixed Reviews", "Low Reliability")))))</f>
        <v>Insufficient Reviews</v>
      </c>
    </row>
    <row r="823">
      <c r="A823" s="3">
        <f t="shared" si="1"/>
        <v>822</v>
      </c>
      <c r="B823" s="9" t="s">
        <v>6302</v>
      </c>
      <c r="C823" s="10">
        <v>39.37456</v>
      </c>
      <c r="D823" s="10">
        <v>-76.7264604</v>
      </c>
      <c r="E823" s="9" t="s">
        <v>6303</v>
      </c>
      <c r="F823" s="9" t="s">
        <v>6304</v>
      </c>
      <c r="G823" s="9" t="s">
        <v>6305</v>
      </c>
      <c r="H823" s="9"/>
      <c r="I823" s="9" t="s">
        <v>44</v>
      </c>
      <c r="J823" s="9" t="s">
        <v>6306</v>
      </c>
      <c r="K823" s="12" t="s">
        <v>6307</v>
      </c>
      <c r="L823" s="9" t="s">
        <v>6308</v>
      </c>
      <c r="M823" s="9">
        <v>77.45650132</v>
      </c>
      <c r="N823" s="10">
        <v>68.19936012</v>
      </c>
      <c r="O823" s="10" t="s">
        <v>6309</v>
      </c>
      <c r="P823" s="9">
        <v>9082026.0</v>
      </c>
      <c r="Q823" s="7" t="str">
        <f>IF(OR(ISBLANK(M823), ISBLANK(N823)), "", IF(N823 &lt; Sheet3!$B$6, "Insufficient Reviews", IF(M823 &gt;= Sheet3!$B$2, "Highly Reliable", IF(M823 &gt;= Sheet3!$B$3, "Reliable", IF(M823 &gt;= Sheet3!$B$4, "Mixed Reviews", "Low Reliability")))))</f>
        <v>Reliable</v>
      </c>
    </row>
    <row r="824">
      <c r="A824" s="3">
        <f t="shared" si="1"/>
        <v>823</v>
      </c>
      <c r="B824" s="9" t="s">
        <v>6310</v>
      </c>
      <c r="C824" s="10">
        <v>39.262732</v>
      </c>
      <c r="D824" s="10">
        <v>-76.6652007</v>
      </c>
      <c r="E824" s="9" t="s">
        <v>6311</v>
      </c>
      <c r="F824" s="9" t="s">
        <v>6312</v>
      </c>
      <c r="G824" s="9" t="s">
        <v>4186</v>
      </c>
      <c r="H824" s="9" t="s">
        <v>126</v>
      </c>
      <c r="I824" s="9" t="s">
        <v>44</v>
      </c>
      <c r="J824" s="9" t="s">
        <v>6313</v>
      </c>
      <c r="K824" s="12" t="s">
        <v>6314</v>
      </c>
      <c r="L824" s="9" t="s">
        <v>6315</v>
      </c>
      <c r="M824" s="9">
        <v>49.5</v>
      </c>
      <c r="N824" s="10">
        <v>37.90283464</v>
      </c>
      <c r="O824" s="10" t="s">
        <v>1351</v>
      </c>
      <c r="P824" s="9">
        <v>9082026.0</v>
      </c>
      <c r="Q824" s="7" t="str">
        <f>IF(OR(ISBLANK(M824), ISBLANK(N824)), "", IF(N824 &lt; Sheet3!$B$6, "Insufficient Reviews", IF(M824 &gt;= Sheet3!$B$2, "Highly Reliable", IF(M824 &gt;= Sheet3!$B$3, "Reliable", IF(M824 &gt;= Sheet3!$B$4, "Mixed Reviews", "Low Reliability")))))</f>
        <v>Insufficient Reviews</v>
      </c>
    </row>
    <row r="825">
      <c r="A825" s="3">
        <f t="shared" si="1"/>
        <v>824</v>
      </c>
      <c r="B825" s="9" t="s">
        <v>6316</v>
      </c>
      <c r="C825" s="10">
        <v>39.3546622</v>
      </c>
      <c r="D825" s="10">
        <v>-76.7574887</v>
      </c>
      <c r="E825" s="9" t="s">
        <v>6317</v>
      </c>
      <c r="F825" s="9" t="s">
        <v>6318</v>
      </c>
      <c r="G825" s="9"/>
      <c r="H825" s="9" t="s">
        <v>6319</v>
      </c>
      <c r="I825" s="9" t="s">
        <v>44</v>
      </c>
      <c r="J825" s="9" t="s">
        <v>6320</v>
      </c>
      <c r="K825" s="9"/>
      <c r="L825" s="9" t="s">
        <v>6321</v>
      </c>
      <c r="M825" s="9">
        <v>76.82287697</v>
      </c>
      <c r="N825" s="10">
        <v>31.16134694</v>
      </c>
      <c r="O825" s="10" t="s">
        <v>6322</v>
      </c>
      <c r="P825" s="9">
        <v>9082026.0</v>
      </c>
      <c r="Q825" s="7" t="str">
        <f>IF(OR(ISBLANK(M825), ISBLANK(N825)), "", IF(N825 &lt; Sheet3!$B$6, "Insufficient Reviews", IF(M825 &gt;= Sheet3!$B$2, "Highly Reliable", IF(M825 &gt;= Sheet3!$B$3, "Reliable", IF(M825 &gt;= Sheet3!$B$4, "Mixed Reviews", "Low Reliability")))))</f>
        <v>Insufficient Reviews</v>
      </c>
    </row>
    <row r="826">
      <c r="A826" s="3">
        <f t="shared" si="1"/>
        <v>825</v>
      </c>
      <c r="B826" s="9" t="s">
        <v>6323</v>
      </c>
      <c r="C826" s="10">
        <v>39.573712</v>
      </c>
      <c r="D826" s="10">
        <v>-76.9949523</v>
      </c>
      <c r="E826" s="9" t="s">
        <v>6324</v>
      </c>
      <c r="F826" s="9" t="s">
        <v>6325</v>
      </c>
      <c r="G826" s="9" t="s">
        <v>6326</v>
      </c>
      <c r="H826" s="9" t="s">
        <v>3846</v>
      </c>
      <c r="I826" s="9" t="s">
        <v>44</v>
      </c>
      <c r="J826" s="9" t="s">
        <v>6327</v>
      </c>
      <c r="K826" s="12" t="s">
        <v>6328</v>
      </c>
      <c r="L826" s="9" t="s">
        <v>6329</v>
      </c>
      <c r="M826" s="9">
        <v>16.5</v>
      </c>
      <c r="N826" s="10">
        <v>31.83333333</v>
      </c>
      <c r="O826" s="10" t="s">
        <v>290</v>
      </c>
      <c r="P826" s="9">
        <v>9082026.0</v>
      </c>
      <c r="Q826" s="7" t="str">
        <f>IF(OR(ISBLANK(M826), ISBLANK(N826)), "", IF(N826 &lt; Sheet3!$B$6, "Insufficient Reviews", IF(M826 &gt;= Sheet3!$B$2, "Highly Reliable", IF(M826 &gt;= Sheet3!$B$3, "Reliable", IF(M826 &gt;= Sheet3!$B$4, "Mixed Reviews", "Low Reliability")))))</f>
        <v>Insufficient Reviews</v>
      </c>
    </row>
    <row r="827">
      <c r="A827" s="3">
        <f t="shared" si="1"/>
        <v>826</v>
      </c>
      <c r="B827" s="9" t="s">
        <v>3447</v>
      </c>
      <c r="C827" s="10">
        <v>39.2972506</v>
      </c>
      <c r="D827" s="10">
        <v>-76.5922077</v>
      </c>
      <c r="E827" s="9" t="s">
        <v>6330</v>
      </c>
      <c r="F827" s="9" t="s">
        <v>464</v>
      </c>
      <c r="G827" s="9"/>
      <c r="H827" s="11"/>
      <c r="I827" s="9" t="s">
        <v>91</v>
      </c>
      <c r="J827" s="9" t="s">
        <v>6331</v>
      </c>
      <c r="K827" s="12" t="s">
        <v>6332</v>
      </c>
      <c r="L827" s="9" t="s">
        <v>6333</v>
      </c>
      <c r="M827" s="9">
        <v>60.1674133</v>
      </c>
      <c r="N827" s="10">
        <v>89.53457563</v>
      </c>
      <c r="O827" s="10" t="s">
        <v>6334</v>
      </c>
      <c r="P827" s="9">
        <v>9082026.0</v>
      </c>
      <c r="Q827" s="7" t="str">
        <f>IF(OR(ISBLANK(M827), ISBLANK(N827)), "", IF(N827 &lt; Sheet3!$B$6, "Insufficient Reviews", IF(M827 &gt;= Sheet3!$B$2, "Highly Reliable", IF(M827 &gt;= Sheet3!$B$3, "Reliable", IF(M827 &gt;= Sheet3!$B$4, "Mixed Reviews", "Low Reliability")))))</f>
        <v>Mixed Reviews</v>
      </c>
    </row>
    <row r="828">
      <c r="A828" s="3">
        <f t="shared" si="1"/>
        <v>827</v>
      </c>
      <c r="B828" s="9" t="s">
        <v>6335</v>
      </c>
      <c r="C828" s="10">
        <v>39.2082773</v>
      </c>
      <c r="D828" s="10">
        <v>-76.7995991</v>
      </c>
      <c r="E828" s="9" t="s">
        <v>6336</v>
      </c>
      <c r="F828" s="9" t="s">
        <v>6337</v>
      </c>
      <c r="G828" s="9" t="s">
        <v>6338</v>
      </c>
      <c r="H828" s="9" t="s">
        <v>6339</v>
      </c>
      <c r="I828" s="9" t="s">
        <v>44</v>
      </c>
      <c r="J828" s="9" t="s">
        <v>6340</v>
      </c>
      <c r="K828" s="12" t="s">
        <v>6341</v>
      </c>
      <c r="L828" s="9" t="s">
        <v>6342</v>
      </c>
      <c r="M828" s="9">
        <v>81.80807792</v>
      </c>
      <c r="N828" s="10">
        <v>72.98431555</v>
      </c>
      <c r="O828" s="10" t="s">
        <v>6343</v>
      </c>
      <c r="P828" s="9">
        <v>9082026.0</v>
      </c>
      <c r="Q828" s="7" t="str">
        <f>IF(OR(ISBLANK(M828), ISBLANK(N828)), "", IF(N828 &lt; Sheet3!$B$6, "Insufficient Reviews", IF(M828 &gt;= Sheet3!$B$2, "Highly Reliable", IF(M828 &gt;= Sheet3!$B$3, "Reliable", IF(M828 &gt;= Sheet3!$B$4, "Mixed Reviews", "Low Reliability")))))</f>
        <v>Reliable</v>
      </c>
    </row>
    <row r="829">
      <c r="A829" s="3">
        <f t="shared" si="1"/>
        <v>828</v>
      </c>
      <c r="B829" s="9" t="s">
        <v>6344</v>
      </c>
      <c r="C829" s="10">
        <v>39.3016152</v>
      </c>
      <c r="D829" s="10">
        <v>-76.5823252</v>
      </c>
      <c r="E829" s="9" t="s">
        <v>6345</v>
      </c>
      <c r="F829" s="9" t="s">
        <v>6346</v>
      </c>
      <c r="G829" s="9" t="s">
        <v>6347</v>
      </c>
      <c r="H829" s="9" t="s">
        <v>126</v>
      </c>
      <c r="I829" s="9" t="s">
        <v>44</v>
      </c>
      <c r="J829" s="9" t="s">
        <v>6348</v>
      </c>
      <c r="K829" s="12" t="s">
        <v>6349</v>
      </c>
      <c r="L829" s="9" t="s">
        <v>6350</v>
      </c>
      <c r="M829" s="9">
        <v>10.5</v>
      </c>
      <c r="N829" s="10">
        <v>53.5</v>
      </c>
      <c r="O829" s="10" t="s">
        <v>4794</v>
      </c>
      <c r="P829" s="9">
        <v>9082026.0</v>
      </c>
      <c r="Q829" s="7" t="str">
        <f>IF(OR(ISBLANK(M829), ISBLANK(N829)), "", IF(N829 &lt; Sheet3!$B$6, "Insufficient Reviews", IF(M829 &gt;= Sheet3!$B$2, "Highly Reliable", IF(M829 &gt;= Sheet3!$B$3, "Reliable", IF(M829 &gt;= Sheet3!$B$4, "Mixed Reviews", "Low Reliability")))))</f>
        <v>Low Reliability</v>
      </c>
    </row>
    <row r="830">
      <c r="A830" s="3">
        <f t="shared" si="1"/>
        <v>829</v>
      </c>
      <c r="B830" s="9" t="s">
        <v>6351</v>
      </c>
      <c r="C830" s="10">
        <v>39.3045675</v>
      </c>
      <c r="D830" s="10">
        <v>-76.5759474</v>
      </c>
      <c r="E830" s="9" t="s">
        <v>6352</v>
      </c>
      <c r="F830" s="9" t="s">
        <v>6353</v>
      </c>
      <c r="G830" s="9"/>
      <c r="H830" s="9" t="s">
        <v>6354</v>
      </c>
      <c r="I830" s="9" t="s">
        <v>44</v>
      </c>
      <c r="J830" s="9" t="s">
        <v>6355</v>
      </c>
      <c r="K830" s="12" t="s">
        <v>6356</v>
      </c>
      <c r="L830" s="9" t="s">
        <v>6357</v>
      </c>
      <c r="M830" s="9">
        <v>13.5</v>
      </c>
      <c r="N830" s="10">
        <v>30.00333333</v>
      </c>
      <c r="O830" s="10" t="s">
        <v>6358</v>
      </c>
      <c r="P830" s="9">
        <v>9082026.0</v>
      </c>
      <c r="Q830" s="7" t="str">
        <f>IF(OR(ISBLANK(M830), ISBLANK(N830)), "", IF(N830 &lt; Sheet3!$B$6, "Insufficient Reviews", IF(M830 &gt;= Sheet3!$B$2, "Highly Reliable", IF(M830 &gt;= Sheet3!$B$3, "Reliable", IF(M830 &gt;= Sheet3!$B$4, "Mixed Reviews", "Low Reliability")))))</f>
        <v>Insufficient Reviews</v>
      </c>
    </row>
    <row r="831">
      <c r="A831" s="3">
        <f t="shared" si="1"/>
        <v>830</v>
      </c>
      <c r="B831" s="9" t="s">
        <v>6359</v>
      </c>
      <c r="C831" s="10">
        <v>39.3047518</v>
      </c>
      <c r="D831" s="10">
        <v>-76.5750553</v>
      </c>
      <c r="E831" s="9" t="s">
        <v>6360</v>
      </c>
      <c r="F831" s="9" t="s">
        <v>6361</v>
      </c>
      <c r="G831" s="9" t="s">
        <v>4186</v>
      </c>
      <c r="H831" s="9" t="s">
        <v>6362</v>
      </c>
      <c r="I831" s="9" t="s">
        <v>44</v>
      </c>
      <c r="J831" s="9" t="s">
        <v>6363</v>
      </c>
      <c r="K831" s="12" t="s">
        <v>6364</v>
      </c>
      <c r="L831" s="9" t="s">
        <v>6365</v>
      </c>
      <c r="M831" s="9">
        <v>72.64895945</v>
      </c>
      <c r="N831" s="10">
        <v>54.11086059</v>
      </c>
      <c r="O831" s="10" t="s">
        <v>6366</v>
      </c>
      <c r="P831" s="9">
        <v>9082026.0</v>
      </c>
      <c r="Q831" s="7" t="str">
        <f>IF(OR(ISBLANK(M831), ISBLANK(N831)), "", IF(N831 &lt; Sheet3!$B$6, "Insufficient Reviews", IF(M831 &gt;= Sheet3!$B$2, "Highly Reliable", IF(M831 &gt;= Sheet3!$B$3, "Reliable", IF(M831 &gt;= Sheet3!$B$4, "Mixed Reviews", "Low Reliability")))))</f>
        <v>Reliable</v>
      </c>
    </row>
    <row r="832">
      <c r="A832" s="3">
        <f t="shared" si="1"/>
        <v>831</v>
      </c>
      <c r="B832" s="9" t="s">
        <v>1097</v>
      </c>
      <c r="C832" s="10">
        <v>39.2432807</v>
      </c>
      <c r="D832" s="10">
        <v>-76.6611169</v>
      </c>
      <c r="E832" s="9" t="s">
        <v>6367</v>
      </c>
      <c r="F832" s="9" t="s">
        <v>6368</v>
      </c>
      <c r="G832" s="9" t="s">
        <v>6369</v>
      </c>
      <c r="H832" s="9" t="s">
        <v>26</v>
      </c>
      <c r="I832" s="9" t="s">
        <v>44</v>
      </c>
      <c r="J832" s="9" t="s">
        <v>6370</v>
      </c>
      <c r="K832" s="12" t="s">
        <v>6371</v>
      </c>
      <c r="L832" s="9" t="s">
        <v>6372</v>
      </c>
      <c r="M832" s="9">
        <v>72.48936867</v>
      </c>
      <c r="N832" s="10">
        <v>59.41203773</v>
      </c>
      <c r="O832" s="10" t="s">
        <v>6373</v>
      </c>
      <c r="P832" s="9">
        <v>9082026.0</v>
      </c>
      <c r="Q832" s="7" t="str">
        <f>IF(OR(ISBLANK(M832), ISBLANK(N832)), "", IF(N832 &lt; Sheet3!$B$6, "Insufficient Reviews", IF(M832 &gt;= Sheet3!$B$2, "Highly Reliable", IF(M832 &gt;= Sheet3!$B$3, "Reliable", IF(M832 &gt;= Sheet3!$B$4, "Mixed Reviews", "Low Reliability")))))</f>
        <v>Reliable</v>
      </c>
    </row>
    <row r="833">
      <c r="A833" s="3">
        <f t="shared" si="1"/>
        <v>832</v>
      </c>
      <c r="B833" s="9" t="s">
        <v>6374</v>
      </c>
      <c r="C833" s="10">
        <v>39.3541324</v>
      </c>
      <c r="D833" s="10">
        <v>-76.5318876</v>
      </c>
      <c r="E833" s="9" t="s">
        <v>6375</v>
      </c>
      <c r="F833" s="9" t="s">
        <v>6376</v>
      </c>
      <c r="G833" s="9"/>
      <c r="H833" s="9" t="s">
        <v>126</v>
      </c>
      <c r="I833" s="9" t="s">
        <v>44</v>
      </c>
      <c r="J833" s="9" t="s">
        <v>6377</v>
      </c>
      <c r="K833" s="12" t="s">
        <v>6378</v>
      </c>
      <c r="L833" s="9" t="s">
        <v>6379</v>
      </c>
      <c r="M833" s="9">
        <v>82.36755357</v>
      </c>
      <c r="N833" s="10">
        <v>59.43669441</v>
      </c>
      <c r="O833" s="10" t="s">
        <v>6380</v>
      </c>
      <c r="P833" s="9">
        <v>9082026.0</v>
      </c>
      <c r="Q833" s="7" t="str">
        <f>IF(OR(ISBLANK(M833), ISBLANK(N833)), "", IF(N833 &lt; Sheet3!$B$6, "Insufficient Reviews", IF(M833 &gt;= Sheet3!$B$2, "Highly Reliable", IF(M833 &gt;= Sheet3!$B$3, "Reliable", IF(M833 &gt;= Sheet3!$B$4, "Mixed Reviews", "Low Reliability")))))</f>
        <v>Highly Reliable</v>
      </c>
    </row>
    <row r="834">
      <c r="A834" s="3">
        <f t="shared" si="1"/>
        <v>833</v>
      </c>
      <c r="B834" s="9" t="s">
        <v>6381</v>
      </c>
      <c r="C834" s="10">
        <v>39.3673575</v>
      </c>
      <c r="D834" s="10">
        <v>-76.5205331</v>
      </c>
      <c r="E834" s="9" t="s">
        <v>6382</v>
      </c>
      <c r="F834" s="9" t="s">
        <v>6383</v>
      </c>
      <c r="G834" s="9" t="s">
        <v>6384</v>
      </c>
      <c r="H834" s="9" t="s">
        <v>6385</v>
      </c>
      <c r="I834" s="9" t="s">
        <v>44</v>
      </c>
      <c r="J834" s="9" t="s">
        <v>6386</v>
      </c>
      <c r="K834" s="12" t="s">
        <v>6387</v>
      </c>
      <c r="L834" s="9" t="s">
        <v>6388</v>
      </c>
      <c r="M834" s="9">
        <v>73.49084637</v>
      </c>
      <c r="N834" s="10">
        <v>70.01846571</v>
      </c>
      <c r="O834" s="10" t="s">
        <v>6389</v>
      </c>
      <c r="P834" s="9">
        <v>9082026.0</v>
      </c>
      <c r="Q834" s="7" t="str">
        <f>IF(OR(ISBLANK(M834), ISBLANK(N834)), "", IF(N834 &lt; Sheet3!$B$6, "Insufficient Reviews", IF(M834 &gt;= Sheet3!$B$2, "Highly Reliable", IF(M834 &gt;= Sheet3!$B$3, "Reliable", IF(M834 &gt;= Sheet3!$B$4, "Mixed Reviews", "Low Reliability")))))</f>
        <v>Reliable</v>
      </c>
    </row>
    <row r="835">
      <c r="A835" s="3">
        <f t="shared" si="1"/>
        <v>834</v>
      </c>
      <c r="B835" s="9" t="s">
        <v>6390</v>
      </c>
      <c r="C835" s="10">
        <v>39.1943029</v>
      </c>
      <c r="D835" s="10">
        <v>-76.8220451</v>
      </c>
      <c r="E835" s="9" t="s">
        <v>6391</v>
      </c>
      <c r="F835" s="9" t="s">
        <v>6392</v>
      </c>
      <c r="G835" s="9" t="s">
        <v>6393</v>
      </c>
      <c r="H835" s="9" t="s">
        <v>6394</v>
      </c>
      <c r="I835" s="9" t="s">
        <v>44</v>
      </c>
      <c r="J835" s="9" t="s">
        <v>6395</v>
      </c>
      <c r="K835" s="12" t="s">
        <v>6396</v>
      </c>
      <c r="L835" s="9" t="s">
        <v>6397</v>
      </c>
      <c r="M835" s="9">
        <v>77.2654021</v>
      </c>
      <c r="N835" s="10">
        <v>70.67206569</v>
      </c>
      <c r="O835" s="10" t="s">
        <v>6398</v>
      </c>
      <c r="P835" s="9">
        <v>9082026.0</v>
      </c>
      <c r="Q835" s="7" t="str">
        <f>IF(OR(ISBLANK(M835), ISBLANK(N835)), "", IF(N835 &lt; Sheet3!$B$6, "Insufficient Reviews", IF(M835 &gt;= Sheet3!$B$2, "Highly Reliable", IF(M835 &gt;= Sheet3!$B$3, "Reliable", IF(M835 &gt;= Sheet3!$B$4, "Mixed Reviews", "Low Reliability")))))</f>
        <v>Reliable</v>
      </c>
    </row>
    <row r="836">
      <c r="A836" s="3">
        <f t="shared" si="1"/>
        <v>835</v>
      </c>
      <c r="B836" s="9" t="s">
        <v>6399</v>
      </c>
      <c r="C836" s="10">
        <v>39.1942425</v>
      </c>
      <c r="D836" s="10">
        <v>-76.8220941</v>
      </c>
      <c r="E836" s="9" t="s">
        <v>6400</v>
      </c>
      <c r="F836" s="9" t="s">
        <v>6401</v>
      </c>
      <c r="G836" s="9"/>
      <c r="H836" s="9" t="s">
        <v>126</v>
      </c>
      <c r="I836" s="9" t="s">
        <v>44</v>
      </c>
      <c r="J836" s="9" t="s">
        <v>6402</v>
      </c>
      <c r="K836" s="12" t="s">
        <v>6403</v>
      </c>
      <c r="L836" s="9" t="s">
        <v>6404</v>
      </c>
      <c r="M836" s="9">
        <v>81.3797703</v>
      </c>
      <c r="N836" s="10">
        <v>66.80003634</v>
      </c>
      <c r="O836" s="10" t="s">
        <v>6405</v>
      </c>
      <c r="P836" s="9">
        <v>9082026.0</v>
      </c>
      <c r="Q836" s="7" t="str">
        <f>IF(OR(ISBLANK(M836), ISBLANK(N836)), "", IF(N836 &lt; Sheet3!$B$6, "Insufficient Reviews", IF(M836 &gt;= Sheet3!$B$2, "Highly Reliable", IF(M836 &gt;= Sheet3!$B$3, "Reliable", IF(M836 &gt;= Sheet3!$B$4, "Mixed Reviews", "Low Reliability")))))</f>
        <v>Reliable</v>
      </c>
    </row>
    <row r="837">
      <c r="A837" s="3">
        <f t="shared" si="1"/>
        <v>836</v>
      </c>
      <c r="B837" s="9" t="s">
        <v>6406</v>
      </c>
      <c r="C837" s="10">
        <v>39.2944138</v>
      </c>
      <c r="D837" s="10">
        <v>-76.5713319</v>
      </c>
      <c r="E837" s="9" t="s">
        <v>6407</v>
      </c>
      <c r="F837" s="9" t="s">
        <v>6408</v>
      </c>
      <c r="G837" s="9" t="s">
        <v>6409</v>
      </c>
      <c r="H837" s="9" t="s">
        <v>1199</v>
      </c>
      <c r="I837" s="9" t="s">
        <v>44</v>
      </c>
      <c r="J837" s="9" t="s">
        <v>6410</v>
      </c>
      <c r="K837" s="12" t="s">
        <v>6411</v>
      </c>
      <c r="L837" s="9" t="s">
        <v>6412</v>
      </c>
      <c r="M837" s="9">
        <v>87.70404561</v>
      </c>
      <c r="N837" s="10">
        <v>98.40936374</v>
      </c>
      <c r="O837" s="10" t="s">
        <v>6413</v>
      </c>
      <c r="P837" s="9">
        <v>9082026.0</v>
      </c>
      <c r="Q837" s="7" t="str">
        <f>IF(OR(ISBLANK(M837), ISBLANK(N837)), "", IF(N837 &lt; Sheet3!$B$6, "Insufficient Reviews", IF(M837 &gt;= Sheet3!$B$2, "Highly Reliable", IF(M837 &gt;= Sheet3!$B$3, "Reliable", IF(M837 &gt;= Sheet3!$B$4, "Mixed Reviews", "Low Reliability")))))</f>
        <v>Highly Reliable</v>
      </c>
    </row>
    <row r="838">
      <c r="A838" s="3">
        <f t="shared" si="1"/>
        <v>837</v>
      </c>
      <c r="B838" s="9" t="s">
        <v>6414</v>
      </c>
      <c r="C838" s="10">
        <v>39.2924463</v>
      </c>
      <c r="D838" s="10">
        <v>-76.5660945</v>
      </c>
      <c r="E838" s="9" t="s">
        <v>6415</v>
      </c>
      <c r="F838" s="9" t="s">
        <v>6416</v>
      </c>
      <c r="G838" s="9"/>
      <c r="H838" s="9" t="s">
        <v>126</v>
      </c>
      <c r="I838" s="9" t="s">
        <v>44</v>
      </c>
      <c r="J838" s="9" t="s">
        <v>6417</v>
      </c>
      <c r="K838" s="12" t="s">
        <v>6418</v>
      </c>
      <c r="L838" s="9" t="s">
        <v>6419</v>
      </c>
      <c r="M838" s="9">
        <v>63.40965783</v>
      </c>
      <c r="N838" s="10">
        <v>58.0626539</v>
      </c>
      <c r="O838" s="10" t="s">
        <v>6420</v>
      </c>
      <c r="P838" s="9">
        <v>9082026.0</v>
      </c>
      <c r="Q838" s="7" t="str">
        <f>IF(OR(ISBLANK(M838), ISBLANK(N838)), "", IF(N838 &lt; Sheet3!$B$6, "Insufficient Reviews", IF(M838 &gt;= Sheet3!$B$2, "Highly Reliable", IF(M838 &gt;= Sheet3!$B$3, "Reliable", IF(M838 &gt;= Sheet3!$B$4, "Mixed Reviews", "Low Reliability")))))</f>
        <v>Mixed Reviews</v>
      </c>
    </row>
    <row r="839">
      <c r="A839" s="3">
        <f t="shared" si="1"/>
        <v>838</v>
      </c>
      <c r="B839" s="9" t="s">
        <v>6421</v>
      </c>
      <c r="C839" s="10">
        <v>39.2867466</v>
      </c>
      <c r="D839" s="10">
        <v>-76.5695599</v>
      </c>
      <c r="E839" s="9" t="s">
        <v>6422</v>
      </c>
      <c r="F839" s="9" t="s">
        <v>6423</v>
      </c>
      <c r="G839" s="9" t="s">
        <v>6424</v>
      </c>
      <c r="H839" s="9" t="s">
        <v>43</v>
      </c>
      <c r="I839" s="9" t="s">
        <v>44</v>
      </c>
      <c r="J839" s="9" t="s">
        <v>6425</v>
      </c>
      <c r="K839" s="12" t="s">
        <v>6426</v>
      </c>
      <c r="L839" s="9" t="s">
        <v>6427</v>
      </c>
      <c r="M839" s="9">
        <v>63.09088188</v>
      </c>
      <c r="N839" s="10">
        <v>65.00402043</v>
      </c>
      <c r="O839" s="10" t="s">
        <v>6428</v>
      </c>
      <c r="P839" s="9">
        <v>9082026.0</v>
      </c>
      <c r="Q839" s="7" t="str">
        <f>IF(OR(ISBLANK(M839), ISBLANK(N839)), "", IF(N839 &lt; Sheet3!$B$6, "Insufficient Reviews", IF(M839 &gt;= Sheet3!$B$2, "Highly Reliable", IF(M839 &gt;= Sheet3!$B$3, "Reliable", IF(M839 &gt;= Sheet3!$B$4, "Mixed Reviews", "Low Reliability")))))</f>
        <v>Mixed Reviews</v>
      </c>
    </row>
    <row r="840">
      <c r="A840" s="3">
        <f t="shared" si="1"/>
        <v>839</v>
      </c>
      <c r="B840" s="9" t="s">
        <v>6429</v>
      </c>
      <c r="C840" s="10">
        <v>39.2684124</v>
      </c>
      <c r="D840" s="10">
        <v>-76.591552</v>
      </c>
      <c r="E840" s="9" t="s">
        <v>6430</v>
      </c>
      <c r="F840" s="9" t="s">
        <v>6431</v>
      </c>
      <c r="G840" s="9" t="s">
        <v>4186</v>
      </c>
      <c r="H840" s="9" t="s">
        <v>6432</v>
      </c>
      <c r="I840" s="9" t="s">
        <v>44</v>
      </c>
      <c r="J840" s="9" t="s">
        <v>6433</v>
      </c>
      <c r="K840" s="12" t="s">
        <v>6434</v>
      </c>
      <c r="L840" s="9" t="s">
        <v>6435</v>
      </c>
      <c r="M840" s="9">
        <v>83.40529106</v>
      </c>
      <c r="N840" s="10">
        <v>48.46628967</v>
      </c>
      <c r="O840" s="10" t="s">
        <v>6436</v>
      </c>
      <c r="P840" s="9">
        <v>9082026.0</v>
      </c>
      <c r="Q840" s="7" t="str">
        <f>IF(OR(ISBLANK(M840), ISBLANK(N840)), "", IF(N840 &lt; Sheet3!$B$6, "Insufficient Reviews", IF(M840 &gt;= Sheet3!$B$2, "Highly Reliable", IF(M840 &gt;= Sheet3!$B$3, "Reliable", IF(M840 &gt;= Sheet3!$B$4, "Mixed Reviews", "Low Reliability")))))</f>
        <v>Highly Reliable</v>
      </c>
    </row>
    <row r="841">
      <c r="A841" s="3">
        <f t="shared" si="1"/>
        <v>840</v>
      </c>
      <c r="B841" s="9" t="s">
        <v>470</v>
      </c>
      <c r="C841" s="10">
        <v>39.2519583</v>
      </c>
      <c r="D841" s="10">
        <v>-76.6143071</v>
      </c>
      <c r="E841" s="9" t="s">
        <v>471</v>
      </c>
      <c r="F841" s="9" t="s">
        <v>472</v>
      </c>
      <c r="G841" s="9"/>
      <c r="H841" s="9" t="s">
        <v>135</v>
      </c>
      <c r="I841" s="9" t="s">
        <v>91</v>
      </c>
      <c r="J841" s="9" t="s">
        <v>6437</v>
      </c>
      <c r="K841" s="12" t="s">
        <v>475</v>
      </c>
      <c r="L841" s="9" t="s">
        <v>6438</v>
      </c>
      <c r="M841" s="9">
        <v>81.86633253</v>
      </c>
      <c r="N841" s="10">
        <v>73.70152904</v>
      </c>
      <c r="O841" s="10" t="s">
        <v>6439</v>
      </c>
      <c r="P841" s="9">
        <v>9082026.0</v>
      </c>
      <c r="Q841" s="7" t="str">
        <f>IF(OR(ISBLANK(M841), ISBLANK(N841)), "", IF(N841 &lt; Sheet3!$B$6, "Insufficient Reviews", IF(M841 &gt;= Sheet3!$B$2, "Highly Reliable", IF(M841 &gt;= Sheet3!$B$3, "Reliable", IF(M841 &gt;= Sheet3!$B$4, "Mixed Reviews", "Low Reliability")))))</f>
        <v>Reliable</v>
      </c>
    </row>
    <row r="842">
      <c r="A842" s="3">
        <f t="shared" si="1"/>
        <v>841</v>
      </c>
      <c r="B842" s="9" t="s">
        <v>6440</v>
      </c>
      <c r="C842" s="10">
        <v>39.28614</v>
      </c>
      <c r="D842" s="10">
        <v>-76.567505</v>
      </c>
      <c r="E842" s="9" t="s">
        <v>6441</v>
      </c>
      <c r="F842" s="9" t="s">
        <v>6442</v>
      </c>
      <c r="G842" s="9" t="s">
        <v>6443</v>
      </c>
      <c r="H842" s="9" t="s">
        <v>6444</v>
      </c>
      <c r="I842" s="9" t="s">
        <v>44</v>
      </c>
      <c r="J842" s="9" t="s">
        <v>6445</v>
      </c>
      <c r="K842" s="12" t="s">
        <v>6446</v>
      </c>
      <c r="L842" s="9" t="s">
        <v>6447</v>
      </c>
      <c r="M842" s="9">
        <v>50.18882454</v>
      </c>
      <c r="N842" s="10">
        <v>50.13102315</v>
      </c>
      <c r="O842" s="10" t="s">
        <v>6448</v>
      </c>
      <c r="P842" s="9">
        <v>9082026.0</v>
      </c>
      <c r="Q842" s="7" t="str">
        <f>IF(OR(ISBLANK(M842), ISBLANK(N842)), "", IF(N842 &lt; Sheet3!$B$6, "Insufficient Reviews", IF(M842 &gt;= Sheet3!$B$2, "Highly Reliable", IF(M842 &gt;= Sheet3!$B$3, "Reliable", IF(M842 &gt;= Sheet3!$B$4, "Mixed Reviews", "Low Reliability")))))</f>
        <v>Low Reliability</v>
      </c>
    </row>
    <row r="843">
      <c r="A843" s="3">
        <f t="shared" si="1"/>
        <v>842</v>
      </c>
      <c r="B843" s="9" t="s">
        <v>6449</v>
      </c>
      <c r="C843" s="10">
        <v>38.804821</v>
      </c>
      <c r="D843" s="10">
        <v>-77.2369665</v>
      </c>
      <c r="E843" s="9" t="s">
        <v>6450</v>
      </c>
      <c r="F843" s="9" t="s">
        <v>6451</v>
      </c>
      <c r="G843" s="9" t="s">
        <v>6452</v>
      </c>
      <c r="H843" s="9" t="s">
        <v>126</v>
      </c>
      <c r="I843" s="9" t="s">
        <v>35</v>
      </c>
      <c r="J843" s="9" t="s">
        <v>6453</v>
      </c>
      <c r="K843" s="12" t="s">
        <v>6454</v>
      </c>
      <c r="L843" s="9" t="s">
        <v>6455</v>
      </c>
      <c r="M843" s="9">
        <v>13.5</v>
      </c>
      <c r="N843" s="10">
        <v>31.83333333</v>
      </c>
      <c r="O843" s="10" t="s">
        <v>634</v>
      </c>
      <c r="P843" s="9">
        <v>9082026.0</v>
      </c>
      <c r="Q843" s="7" t="str">
        <f>IF(OR(ISBLANK(M843), ISBLANK(N843)), "", IF(N843 &lt; Sheet3!$B$6, "Insufficient Reviews", IF(M843 &gt;= Sheet3!$B$2, "Highly Reliable", IF(M843 &gt;= Sheet3!$B$3, "Reliable", IF(M843 &gt;= Sheet3!$B$4, "Mixed Reviews", "Low Reliability")))))</f>
        <v>Insufficient Reviews</v>
      </c>
    </row>
    <row r="844">
      <c r="A844" s="3">
        <f t="shared" si="1"/>
        <v>843</v>
      </c>
      <c r="B844" s="9" t="s">
        <v>6456</v>
      </c>
      <c r="C844" s="10">
        <v>39.1738306</v>
      </c>
      <c r="D844" s="10">
        <v>-76.8576409</v>
      </c>
      <c r="E844" s="9" t="s">
        <v>6457</v>
      </c>
      <c r="F844" s="9" t="s">
        <v>6458</v>
      </c>
      <c r="G844" s="9" t="s">
        <v>6459</v>
      </c>
      <c r="H844" s="9" t="s">
        <v>6460</v>
      </c>
      <c r="I844" s="9" t="s">
        <v>44</v>
      </c>
      <c r="J844" s="9" t="s">
        <v>6461</v>
      </c>
      <c r="K844" s="12" t="s">
        <v>6462</v>
      </c>
      <c r="L844" s="9" t="s">
        <v>6463</v>
      </c>
      <c r="M844" s="9">
        <v>54.16496158</v>
      </c>
      <c r="N844" s="10">
        <v>68.18410704</v>
      </c>
      <c r="O844" s="10" t="s">
        <v>6464</v>
      </c>
      <c r="P844" s="9">
        <v>9082026.0</v>
      </c>
      <c r="Q844" s="7" t="str">
        <f>IF(OR(ISBLANK(M844), ISBLANK(N844)), "", IF(N844 &lt; Sheet3!$B$6, "Insufficient Reviews", IF(M844 &gt;= Sheet3!$B$2, "Highly Reliable", IF(M844 &gt;= Sheet3!$B$3, "Reliable", IF(M844 &gt;= Sheet3!$B$4, "Mixed Reviews", "Low Reliability")))))</f>
        <v>Low Reliability</v>
      </c>
    </row>
    <row r="845">
      <c r="A845" s="3">
        <f t="shared" si="1"/>
        <v>844</v>
      </c>
      <c r="B845" s="9" t="s">
        <v>6465</v>
      </c>
      <c r="C845" s="10">
        <v>39.2390043</v>
      </c>
      <c r="D845" s="10">
        <v>-76.6090829</v>
      </c>
      <c r="E845" s="9" t="s">
        <v>6466</v>
      </c>
      <c r="F845" s="9" t="s">
        <v>6467</v>
      </c>
      <c r="G845" s="9" t="s">
        <v>6468</v>
      </c>
      <c r="H845" s="9" t="s">
        <v>126</v>
      </c>
      <c r="I845" s="9" t="s">
        <v>44</v>
      </c>
      <c r="J845" s="9" t="s">
        <v>6469</v>
      </c>
      <c r="K845" s="12" t="s">
        <v>6470</v>
      </c>
      <c r="L845" s="9" t="s">
        <v>6471</v>
      </c>
      <c r="M845" s="9">
        <v>75.68731819</v>
      </c>
      <c r="N845" s="10">
        <v>58.34899165</v>
      </c>
      <c r="O845" s="10" t="s">
        <v>6472</v>
      </c>
      <c r="P845" s="9">
        <v>9082026.0</v>
      </c>
      <c r="Q845" s="7" t="str">
        <f>IF(OR(ISBLANK(M845), ISBLANK(N845)), "", IF(N845 &lt; Sheet3!$B$6, "Insufficient Reviews", IF(M845 &gt;= Sheet3!$B$2, "Highly Reliable", IF(M845 &gt;= Sheet3!$B$3, "Reliable", IF(M845 &gt;= Sheet3!$B$4, "Mixed Reviews", "Low Reliability")))))</f>
        <v>Reliable</v>
      </c>
    </row>
    <row r="846">
      <c r="A846" s="3">
        <f t="shared" si="1"/>
        <v>845</v>
      </c>
      <c r="B846" s="9" t="s">
        <v>6473</v>
      </c>
      <c r="C846" s="10">
        <v>39.3539145</v>
      </c>
      <c r="D846" s="10">
        <v>-76.4577907</v>
      </c>
      <c r="E846" s="9" t="s">
        <v>6474</v>
      </c>
      <c r="F846" s="9" t="s">
        <v>6475</v>
      </c>
      <c r="G846" s="9" t="s">
        <v>6476</v>
      </c>
      <c r="H846" s="9" t="s">
        <v>126</v>
      </c>
      <c r="I846" s="9" t="s">
        <v>44</v>
      </c>
      <c r="J846" s="9" t="s">
        <v>6477</v>
      </c>
      <c r="K846" s="12" t="s">
        <v>6478</v>
      </c>
      <c r="L846" s="9" t="s">
        <v>6479</v>
      </c>
      <c r="M846" s="9">
        <v>16.5</v>
      </c>
      <c r="N846" s="10">
        <v>31.83333333</v>
      </c>
      <c r="O846" s="10" t="s">
        <v>290</v>
      </c>
      <c r="P846" s="9">
        <v>9082026.0</v>
      </c>
      <c r="Q846" s="7" t="str">
        <f>IF(OR(ISBLANK(M846), ISBLANK(N846)), "", IF(N846 &lt; Sheet3!$B$6, "Insufficient Reviews", IF(M846 &gt;= Sheet3!$B$2, "Highly Reliable", IF(M846 &gt;= Sheet3!$B$3, "Reliable", IF(M846 &gt;= Sheet3!$B$4, "Mixed Reviews", "Low Reliability")))))</f>
        <v>Insufficient Reviews</v>
      </c>
    </row>
    <row r="847">
      <c r="A847" s="3">
        <f t="shared" si="1"/>
        <v>846</v>
      </c>
      <c r="B847" s="9" t="s">
        <v>6480</v>
      </c>
      <c r="C847" s="10">
        <v>39.3209602</v>
      </c>
      <c r="D847" s="10">
        <v>-76.5731688</v>
      </c>
      <c r="E847" s="9" t="s">
        <v>6481</v>
      </c>
      <c r="F847" s="9" t="s">
        <v>6482</v>
      </c>
      <c r="G847" s="9" t="s">
        <v>6483</v>
      </c>
      <c r="H847" s="9" t="s">
        <v>126</v>
      </c>
      <c r="I847" s="9" t="s">
        <v>44</v>
      </c>
      <c r="J847" s="9" t="s">
        <v>6484</v>
      </c>
      <c r="K847" s="12" t="s">
        <v>6485</v>
      </c>
      <c r="L847" s="9" t="s">
        <v>6486</v>
      </c>
      <c r="M847" s="9">
        <v>74.59689167</v>
      </c>
      <c r="N847" s="10">
        <v>55.22682152</v>
      </c>
      <c r="O847" s="10" t="s">
        <v>6487</v>
      </c>
      <c r="P847" s="9">
        <v>9082026.0</v>
      </c>
      <c r="Q847" s="7" t="str">
        <f>IF(OR(ISBLANK(M847), ISBLANK(N847)), "", IF(N847 &lt; Sheet3!$B$6, "Insufficient Reviews", IF(M847 &gt;= Sheet3!$B$2, "Highly Reliable", IF(M847 &gt;= Sheet3!$B$3, "Reliable", IF(M847 &gt;= Sheet3!$B$4, "Mixed Reviews", "Low Reliability")))))</f>
        <v>Reliable</v>
      </c>
    </row>
    <row r="848">
      <c r="A848" s="3">
        <f t="shared" si="1"/>
        <v>847</v>
      </c>
      <c r="B848" s="9" t="s">
        <v>6488</v>
      </c>
      <c r="C848" s="10">
        <v>39.2005961</v>
      </c>
      <c r="D848" s="10">
        <v>-76.6557101</v>
      </c>
      <c r="E848" s="9" t="s">
        <v>6489</v>
      </c>
      <c r="F848" s="9" t="s">
        <v>6490</v>
      </c>
      <c r="G848" s="9" t="s">
        <v>6491</v>
      </c>
      <c r="H848" s="9" t="s">
        <v>6492</v>
      </c>
      <c r="I848" s="9" t="s">
        <v>44</v>
      </c>
      <c r="J848" s="9" t="s">
        <v>6493</v>
      </c>
      <c r="K848" s="12" t="s">
        <v>6494</v>
      </c>
      <c r="L848" s="9" t="s">
        <v>6495</v>
      </c>
      <c r="M848" s="9">
        <v>84.44717411</v>
      </c>
      <c r="N848" s="10">
        <v>64.67045202</v>
      </c>
      <c r="O848" s="10" t="s">
        <v>6496</v>
      </c>
      <c r="P848" s="9">
        <v>9082026.0</v>
      </c>
      <c r="Q848" s="7" t="str">
        <f>IF(OR(ISBLANK(M848), ISBLANK(N848)), "", IF(N848 &lt; Sheet3!$B$6, "Insufficient Reviews", IF(M848 &gt;= Sheet3!$B$2, "Highly Reliable", IF(M848 &gt;= Sheet3!$B$3, "Reliable", IF(M848 &gt;= Sheet3!$B$4, "Mixed Reviews", "Low Reliability")))))</f>
        <v>Highly Reliable</v>
      </c>
    </row>
    <row r="849">
      <c r="A849" s="3">
        <f t="shared" si="1"/>
        <v>848</v>
      </c>
      <c r="B849" s="9" t="s">
        <v>6497</v>
      </c>
      <c r="C849" s="10">
        <v>39.2180938</v>
      </c>
      <c r="D849" s="10">
        <v>-76.6156832</v>
      </c>
      <c r="E849" s="9" t="s">
        <v>6498</v>
      </c>
      <c r="F849" s="9" t="s">
        <v>6325</v>
      </c>
      <c r="G849" s="9" t="s">
        <v>6499</v>
      </c>
      <c r="H849" s="9" t="s">
        <v>3846</v>
      </c>
      <c r="I849" s="9" t="s">
        <v>44</v>
      </c>
      <c r="J849" s="9" t="s">
        <v>6500</v>
      </c>
      <c r="K849" s="12" t="s">
        <v>6328</v>
      </c>
      <c r="L849" s="9" t="s">
        <v>6501</v>
      </c>
      <c r="M849" s="9">
        <v>59.04622256</v>
      </c>
      <c r="N849" s="10">
        <v>55.02573906</v>
      </c>
      <c r="O849" s="10" t="s">
        <v>6502</v>
      </c>
      <c r="P849" s="9">
        <v>9082026.0</v>
      </c>
      <c r="Q849" s="7" t="str">
        <f>IF(OR(ISBLANK(M849), ISBLANK(N849)), "", IF(N849 &lt; Sheet3!$B$6, "Insufficient Reviews", IF(M849 &gt;= Sheet3!$B$2, "Highly Reliable", IF(M849 &gt;= Sheet3!$B$3, "Reliable", IF(M849 &gt;= Sheet3!$B$4, "Mixed Reviews", "Low Reliability")))))</f>
        <v>Low Reliability</v>
      </c>
    </row>
    <row r="850">
      <c r="A850" s="3">
        <f t="shared" si="1"/>
        <v>849</v>
      </c>
      <c r="B850" s="9" t="s">
        <v>6503</v>
      </c>
      <c r="C850" s="10">
        <v>39.3474454</v>
      </c>
      <c r="D850" s="10">
        <v>-76.4734714</v>
      </c>
      <c r="E850" s="9" t="s">
        <v>6504</v>
      </c>
      <c r="F850" s="9" t="s">
        <v>6505</v>
      </c>
      <c r="G850" s="9" t="s">
        <v>6506</v>
      </c>
      <c r="H850" s="9" t="s">
        <v>6507</v>
      </c>
      <c r="I850" s="9" t="s">
        <v>44</v>
      </c>
      <c r="J850" s="9" t="s">
        <v>6508</v>
      </c>
      <c r="K850" s="12" t="s">
        <v>6509</v>
      </c>
      <c r="L850" s="9" t="s">
        <v>6510</v>
      </c>
      <c r="M850" s="9">
        <v>83.47900942</v>
      </c>
      <c r="N850" s="10">
        <v>71.03658265</v>
      </c>
      <c r="O850" s="10" t="s">
        <v>6511</v>
      </c>
      <c r="P850" s="9">
        <v>9082026.0</v>
      </c>
      <c r="Q850" s="7" t="str">
        <f>IF(OR(ISBLANK(M850), ISBLANK(N850)), "", IF(N850 &lt; Sheet3!$B$6, "Insufficient Reviews", IF(M850 &gt;= Sheet3!$B$2, "Highly Reliable", IF(M850 &gt;= Sheet3!$B$3, "Reliable", IF(M850 &gt;= Sheet3!$B$4, "Mixed Reviews", "Low Reliability")))))</f>
        <v>Highly Reliable</v>
      </c>
    </row>
    <row r="851">
      <c r="A851" s="3">
        <f t="shared" si="1"/>
        <v>850</v>
      </c>
      <c r="B851" s="9" t="s">
        <v>6512</v>
      </c>
      <c r="C851" s="10">
        <v>39.3479478</v>
      </c>
      <c r="D851" s="10">
        <v>-76.4727207</v>
      </c>
      <c r="E851" s="9" t="s">
        <v>6513</v>
      </c>
      <c r="F851" s="9" t="s">
        <v>6514</v>
      </c>
      <c r="G851" s="9" t="s">
        <v>6515</v>
      </c>
      <c r="H851" s="9" t="s">
        <v>6492</v>
      </c>
      <c r="I851" s="9" t="s">
        <v>35</v>
      </c>
      <c r="J851" s="9" t="s">
        <v>6516</v>
      </c>
      <c r="K851" s="12" t="s">
        <v>6517</v>
      </c>
      <c r="L851" s="9" t="s">
        <v>6518</v>
      </c>
      <c r="M851" s="9">
        <v>87.00629198</v>
      </c>
      <c r="N851" s="10">
        <v>59.52918668</v>
      </c>
      <c r="O851" s="10" t="s">
        <v>6519</v>
      </c>
      <c r="P851" s="9">
        <v>9082026.0</v>
      </c>
      <c r="Q851" s="7" t="str">
        <f>IF(OR(ISBLANK(M851), ISBLANK(N851)), "", IF(N851 &lt; Sheet3!$B$6, "Insufficient Reviews", IF(M851 &gt;= Sheet3!$B$2, "Highly Reliable", IF(M851 &gt;= Sheet3!$B$3, "Reliable", IF(M851 &gt;= Sheet3!$B$4, "Mixed Reviews", "Low Reliability")))))</f>
        <v>Highly Reliable</v>
      </c>
    </row>
    <row r="852">
      <c r="A852" s="3">
        <f t="shared" si="1"/>
        <v>851</v>
      </c>
      <c r="B852" s="9" t="s">
        <v>6520</v>
      </c>
      <c r="C852" s="10">
        <v>39.3732991</v>
      </c>
      <c r="D852" s="10">
        <v>-76.4576074</v>
      </c>
      <c r="E852" s="9" t="s">
        <v>6521</v>
      </c>
      <c r="F852" s="9" t="s">
        <v>6522</v>
      </c>
      <c r="G852" s="9" t="s">
        <v>6523</v>
      </c>
      <c r="H852" s="9" t="s">
        <v>6524</v>
      </c>
      <c r="I852" s="9" t="s">
        <v>44</v>
      </c>
      <c r="J852" s="9" t="s">
        <v>6525</v>
      </c>
      <c r="K852" s="12" t="s">
        <v>6526</v>
      </c>
      <c r="L852" s="9" t="s">
        <v>6527</v>
      </c>
      <c r="M852" s="9">
        <v>69.50620261</v>
      </c>
      <c r="N852" s="10">
        <v>70.14950915</v>
      </c>
      <c r="O852" s="10" t="s">
        <v>6528</v>
      </c>
      <c r="P852" s="9">
        <v>9082026.0</v>
      </c>
      <c r="Q852" s="7" t="str">
        <f>IF(OR(ISBLANK(M852), ISBLANK(N852)), "", IF(N852 &lt; Sheet3!$B$6, "Insufficient Reviews", IF(M852 &gt;= Sheet3!$B$2, "Highly Reliable", IF(M852 &gt;= Sheet3!$B$3, "Reliable", IF(M852 &gt;= Sheet3!$B$4, "Mixed Reviews", "Low Reliability")))))</f>
        <v>Mixed Reviews</v>
      </c>
    </row>
    <row r="853">
      <c r="A853" s="3">
        <f t="shared" si="1"/>
        <v>852</v>
      </c>
      <c r="B853" s="9" t="s">
        <v>6529</v>
      </c>
      <c r="C853" s="10">
        <v>39.3742233</v>
      </c>
      <c r="D853" s="10">
        <v>-76.4563432</v>
      </c>
      <c r="E853" s="9" t="s">
        <v>6530</v>
      </c>
      <c r="F853" s="9" t="s">
        <v>6531</v>
      </c>
      <c r="G853" s="9"/>
      <c r="H853" s="11"/>
      <c r="I853" s="9" t="s">
        <v>44</v>
      </c>
      <c r="J853" s="9" t="s">
        <v>6532</v>
      </c>
      <c r="K853" s="12" t="s">
        <v>6533</v>
      </c>
      <c r="L853" s="9" t="s">
        <v>6534</v>
      </c>
      <c r="M853" s="9">
        <v>65.14840387</v>
      </c>
      <c r="N853" s="10">
        <v>59.41089028</v>
      </c>
      <c r="O853" s="10" t="s">
        <v>6535</v>
      </c>
      <c r="P853" s="9">
        <v>9082026.0</v>
      </c>
      <c r="Q853" s="7" t="str">
        <f>IF(OR(ISBLANK(M853), ISBLANK(N853)), "", IF(N853 &lt; Sheet3!$B$6, "Insufficient Reviews", IF(M853 &gt;= Sheet3!$B$2, "Highly Reliable", IF(M853 &gt;= Sheet3!$B$3, "Reliable", IF(M853 &gt;= Sheet3!$B$4, "Mixed Reviews", "Low Reliability")))))</f>
        <v>Mixed Reviews</v>
      </c>
    </row>
    <row r="854">
      <c r="A854" s="3">
        <f t="shared" si="1"/>
        <v>853</v>
      </c>
      <c r="B854" s="9" t="s">
        <v>6536</v>
      </c>
      <c r="C854" s="10">
        <v>39.373716</v>
      </c>
      <c r="D854" s="10">
        <v>-76.4566427</v>
      </c>
      <c r="E854" s="9" t="s">
        <v>6537</v>
      </c>
      <c r="F854" s="9" t="s">
        <v>6538</v>
      </c>
      <c r="G854" s="9" t="s">
        <v>4186</v>
      </c>
      <c r="H854" s="9" t="s">
        <v>6539</v>
      </c>
      <c r="I854" s="9" t="s">
        <v>44</v>
      </c>
      <c r="J854" s="9" t="s">
        <v>6540</v>
      </c>
      <c r="K854" s="12" t="s">
        <v>6541</v>
      </c>
      <c r="L854" s="9" t="s">
        <v>6542</v>
      </c>
      <c r="M854" s="9">
        <v>68.38039038</v>
      </c>
      <c r="N854" s="10">
        <v>58.73656415</v>
      </c>
      <c r="O854" s="10" t="s">
        <v>6543</v>
      </c>
      <c r="P854" s="9">
        <v>9082026.0</v>
      </c>
      <c r="Q854" s="7" t="str">
        <f>IF(OR(ISBLANK(M854), ISBLANK(N854)), "", IF(N854 &lt; Sheet3!$B$6, "Insufficient Reviews", IF(M854 &gt;= Sheet3!$B$2, "Highly Reliable", IF(M854 &gt;= Sheet3!$B$3, "Reliable", IF(M854 &gt;= Sheet3!$B$4, "Mixed Reviews", "Low Reliability")))))</f>
        <v>Mixed Reviews</v>
      </c>
    </row>
    <row r="855">
      <c r="A855" s="3">
        <f t="shared" si="1"/>
        <v>854</v>
      </c>
      <c r="B855" s="9" t="s">
        <v>6544</v>
      </c>
      <c r="C855" s="10">
        <v>39.2899866</v>
      </c>
      <c r="D855" s="10">
        <v>-76.506869</v>
      </c>
      <c r="E855" s="9" t="s">
        <v>6545</v>
      </c>
      <c r="F855" s="9" t="s">
        <v>6546</v>
      </c>
      <c r="G855" s="9"/>
      <c r="H855" s="9" t="s">
        <v>3846</v>
      </c>
      <c r="I855" s="9" t="s">
        <v>44</v>
      </c>
      <c r="J855" s="9" t="s">
        <v>6547</v>
      </c>
      <c r="K855" s="12" t="s">
        <v>6328</v>
      </c>
      <c r="L855" s="9" t="s">
        <v>6548</v>
      </c>
      <c r="M855" s="9">
        <v>50.28100178</v>
      </c>
      <c r="N855" s="10">
        <v>53.32221327</v>
      </c>
      <c r="O855" s="10" t="s">
        <v>6549</v>
      </c>
      <c r="P855" s="9">
        <v>9082026.0</v>
      </c>
      <c r="Q855" s="7" t="str">
        <f>IF(OR(ISBLANK(M855), ISBLANK(N855)), "", IF(N855 &lt; Sheet3!$B$6, "Insufficient Reviews", IF(M855 &gt;= Sheet3!$B$2, "Highly Reliable", IF(M855 &gt;= Sheet3!$B$3, "Reliable", IF(M855 &gt;= Sheet3!$B$4, "Mixed Reviews", "Low Reliability")))))</f>
        <v>Low Reliability</v>
      </c>
    </row>
    <row r="856">
      <c r="A856" s="3">
        <f t="shared" si="1"/>
        <v>855</v>
      </c>
      <c r="B856" s="9" t="s">
        <v>6550</v>
      </c>
      <c r="C856" s="10">
        <v>39.3566223</v>
      </c>
      <c r="D856" s="10">
        <v>-76.4567689</v>
      </c>
      <c r="E856" s="9" t="s">
        <v>6551</v>
      </c>
      <c r="F856" s="9" t="s">
        <v>6552</v>
      </c>
      <c r="G856" s="9" t="s">
        <v>6553</v>
      </c>
      <c r="H856" s="9" t="s">
        <v>6554</v>
      </c>
      <c r="I856" s="9" t="s">
        <v>91</v>
      </c>
      <c r="J856" s="9" t="s">
        <v>6555</v>
      </c>
      <c r="K856" s="12" t="s">
        <v>6556</v>
      </c>
      <c r="L856" s="9" t="s">
        <v>6557</v>
      </c>
      <c r="M856" s="9">
        <v>60.78065545</v>
      </c>
      <c r="N856" s="10">
        <v>69.16754994</v>
      </c>
      <c r="O856" s="10" t="s">
        <v>6558</v>
      </c>
      <c r="P856" s="9">
        <v>9082026.0</v>
      </c>
      <c r="Q856" s="7" t="str">
        <f>IF(OR(ISBLANK(M856), ISBLANK(N856)), "", IF(N856 &lt; Sheet3!$B$6, "Insufficient Reviews", IF(M856 &gt;= Sheet3!$B$2, "Highly Reliable", IF(M856 &gt;= Sheet3!$B$3, "Reliable", IF(M856 &gt;= Sheet3!$B$4, "Mixed Reviews", "Low Reliability")))))</f>
        <v>Mixed Reviews</v>
      </c>
    </row>
    <row r="857">
      <c r="A857" s="3">
        <f t="shared" si="1"/>
        <v>856</v>
      </c>
      <c r="B857" s="9" t="s">
        <v>6559</v>
      </c>
      <c r="C857" s="10">
        <v>39.3402894</v>
      </c>
      <c r="D857" s="10">
        <v>-76.4698916</v>
      </c>
      <c r="E857" s="9" t="s">
        <v>6560</v>
      </c>
      <c r="F857" s="9" t="s">
        <v>6561</v>
      </c>
      <c r="G857" s="9" t="s">
        <v>6562</v>
      </c>
      <c r="H857" s="9" t="s">
        <v>2973</v>
      </c>
      <c r="I857" s="9" t="s">
        <v>44</v>
      </c>
      <c r="J857" s="9" t="s">
        <v>6563</v>
      </c>
      <c r="K857" s="12" t="s">
        <v>6564</v>
      </c>
      <c r="L857" s="9" t="s">
        <v>6565</v>
      </c>
      <c r="M857" s="9">
        <v>66.84920829</v>
      </c>
      <c r="N857" s="10">
        <v>57.83248338</v>
      </c>
      <c r="O857" s="10" t="s">
        <v>6566</v>
      </c>
      <c r="P857" s="9">
        <v>9082026.0</v>
      </c>
      <c r="Q857" s="7" t="str">
        <f>IF(OR(ISBLANK(M857), ISBLANK(N857)), "", IF(N857 &lt; Sheet3!$B$6, "Insufficient Reviews", IF(M857 &gt;= Sheet3!$B$2, "Highly Reliable", IF(M857 &gt;= Sheet3!$B$3, "Reliable", IF(M857 &gt;= Sheet3!$B$4, "Mixed Reviews", "Low Reliability")))))</f>
        <v>Mixed Reviews</v>
      </c>
    </row>
    <row r="858">
      <c r="A858" s="3">
        <f t="shared" si="1"/>
        <v>857</v>
      </c>
      <c r="B858" s="9" t="s">
        <v>6567</v>
      </c>
      <c r="C858" s="10">
        <v>39.2581526</v>
      </c>
      <c r="D858" s="10">
        <v>-76.5228682</v>
      </c>
      <c r="E858" s="9" t="s">
        <v>6568</v>
      </c>
      <c r="F858" s="9" t="s">
        <v>6569</v>
      </c>
      <c r="G858" s="9" t="s">
        <v>6570</v>
      </c>
      <c r="H858" s="9" t="s">
        <v>6571</v>
      </c>
      <c r="I858" s="9" t="s">
        <v>44</v>
      </c>
      <c r="J858" s="9" t="s">
        <v>6572</v>
      </c>
      <c r="K858" s="12" t="s">
        <v>6573</v>
      </c>
      <c r="L858" s="9" t="s">
        <v>6574</v>
      </c>
      <c r="M858" s="9">
        <v>69.92323048</v>
      </c>
      <c r="N858" s="10">
        <v>67.3646545</v>
      </c>
      <c r="O858" s="10" t="s">
        <v>6575</v>
      </c>
      <c r="P858" s="9">
        <v>9082026.0</v>
      </c>
      <c r="Q858" s="7" t="str">
        <f>IF(OR(ISBLANK(M858), ISBLANK(N858)), "", IF(N858 &lt; Sheet3!$B$6, "Insufficient Reviews", IF(M858 &gt;= Sheet3!$B$2, "Highly Reliable", IF(M858 &gt;= Sheet3!$B$3, "Reliable", IF(M858 &gt;= Sheet3!$B$4, "Mixed Reviews", "Low Reliability")))))</f>
        <v>Mixed Reviews</v>
      </c>
    </row>
    <row r="859">
      <c r="A859" s="3">
        <f t="shared" si="1"/>
        <v>858</v>
      </c>
      <c r="B859" s="9" t="s">
        <v>6576</v>
      </c>
      <c r="C859" s="10">
        <v>39.1869312</v>
      </c>
      <c r="D859" s="10">
        <v>-76.6146051</v>
      </c>
      <c r="E859" s="9" t="s">
        <v>6577</v>
      </c>
      <c r="F859" s="9" t="s">
        <v>6578</v>
      </c>
      <c r="G859" s="9" t="s">
        <v>6579</v>
      </c>
      <c r="H859" s="9" t="s">
        <v>6580</v>
      </c>
      <c r="I859" s="9" t="s">
        <v>44</v>
      </c>
      <c r="J859" s="9" t="s">
        <v>6581</v>
      </c>
      <c r="K859" s="9"/>
      <c r="L859" s="9" t="s">
        <v>6582</v>
      </c>
      <c r="M859" s="9">
        <v>74.3632879</v>
      </c>
      <c r="N859" s="10">
        <v>56.35633755</v>
      </c>
      <c r="O859" s="10" t="s">
        <v>6583</v>
      </c>
      <c r="P859" s="9">
        <v>9082026.0</v>
      </c>
      <c r="Q859" s="7" t="str">
        <f>IF(OR(ISBLANK(M859), ISBLANK(N859)), "", IF(N859 &lt; Sheet3!$B$6, "Insufficient Reviews", IF(M859 &gt;= Sheet3!$B$2, "Highly Reliable", IF(M859 &gt;= Sheet3!$B$3, "Reliable", IF(M859 &gt;= Sheet3!$B$4, "Mixed Reviews", "Low Reliability")))))</f>
        <v>Reliable</v>
      </c>
    </row>
    <row r="860">
      <c r="A860" s="3">
        <f t="shared" si="1"/>
        <v>859</v>
      </c>
      <c r="B860" s="9" t="s">
        <v>6584</v>
      </c>
      <c r="C860" s="10">
        <v>39.1717428</v>
      </c>
      <c r="D860" s="10">
        <v>-76.6185717</v>
      </c>
      <c r="E860" s="9" t="s">
        <v>6585</v>
      </c>
      <c r="F860" s="9" t="s">
        <v>6586</v>
      </c>
      <c r="G860" s="9" t="s">
        <v>6587</v>
      </c>
      <c r="H860" s="9" t="s">
        <v>6588</v>
      </c>
      <c r="I860" s="9" t="s">
        <v>35</v>
      </c>
      <c r="J860" s="9" t="s">
        <v>6589</v>
      </c>
      <c r="K860" s="12" t="s">
        <v>6590</v>
      </c>
      <c r="L860" s="9" t="s">
        <v>6591</v>
      </c>
      <c r="M860" s="9">
        <v>78.40601465</v>
      </c>
      <c r="N860" s="10">
        <v>58.85457602</v>
      </c>
      <c r="O860" s="10" t="s">
        <v>6592</v>
      </c>
      <c r="P860" s="9">
        <v>9082026.0</v>
      </c>
      <c r="Q860" s="7" t="str">
        <f>IF(OR(ISBLANK(M860), ISBLANK(N860)), "", IF(N860 &lt; Sheet3!$B$6, "Insufficient Reviews", IF(M860 &gt;= Sheet3!$B$2, "Highly Reliable", IF(M860 &gt;= Sheet3!$B$3, "Reliable", IF(M860 &gt;= Sheet3!$B$4, "Mixed Reviews", "Low Reliability")))))</f>
        <v>Reliable</v>
      </c>
    </row>
    <row r="861">
      <c r="A861" s="3">
        <f t="shared" si="1"/>
        <v>860</v>
      </c>
      <c r="B861" s="9" t="s">
        <v>6593</v>
      </c>
      <c r="C861" s="10">
        <v>39.1540879</v>
      </c>
      <c r="D861" s="10">
        <v>-77.0548086</v>
      </c>
      <c r="E861" s="9" t="s">
        <v>6594</v>
      </c>
      <c r="F861" s="9" t="s">
        <v>6595</v>
      </c>
      <c r="G861" s="9" t="s">
        <v>6596</v>
      </c>
      <c r="H861" s="9" t="s">
        <v>135</v>
      </c>
      <c r="I861" s="9" t="s">
        <v>91</v>
      </c>
      <c r="J861" s="9" t="s">
        <v>6597</v>
      </c>
      <c r="K861" s="12" t="s">
        <v>6598</v>
      </c>
      <c r="L861" s="9" t="s">
        <v>6599</v>
      </c>
      <c r="M861" s="9">
        <v>78.85883409</v>
      </c>
      <c r="N861" s="10">
        <v>71.50229216</v>
      </c>
      <c r="O861" s="10" t="s">
        <v>461</v>
      </c>
      <c r="P861" s="9">
        <v>9082026.0</v>
      </c>
      <c r="Q861" s="7" t="str">
        <f>IF(OR(ISBLANK(M861), ISBLANK(N861)), "", IF(N861 &lt; Sheet3!$B$6, "Insufficient Reviews", IF(M861 &gt;= Sheet3!$B$2, "Highly Reliable", IF(M861 &gt;= Sheet3!$B$3, "Reliable", IF(M861 &gt;= Sheet3!$B$4, "Mixed Reviews", "Low Reliability")))))</f>
        <v>Reliable</v>
      </c>
    </row>
    <row r="862">
      <c r="A862" s="3">
        <f t="shared" si="1"/>
        <v>861</v>
      </c>
      <c r="B862" s="9" t="s">
        <v>6600</v>
      </c>
      <c r="C862" s="10">
        <v>39.1481341</v>
      </c>
      <c r="D862" s="10">
        <v>-76.6329851</v>
      </c>
      <c r="E862" s="9" t="s">
        <v>6601</v>
      </c>
      <c r="F862" s="9" t="s">
        <v>6602</v>
      </c>
      <c r="G862" s="9" t="s">
        <v>6603</v>
      </c>
      <c r="H862" s="9" t="s">
        <v>6604</v>
      </c>
      <c r="I862" s="9" t="s">
        <v>35</v>
      </c>
      <c r="J862" s="9" t="s">
        <v>6605</v>
      </c>
      <c r="K862" s="12" t="s">
        <v>6606</v>
      </c>
      <c r="L862" s="9" t="s">
        <v>6607</v>
      </c>
      <c r="M862" s="10">
        <v>65.24680742</v>
      </c>
      <c r="N862" s="10">
        <v>69.27623161</v>
      </c>
      <c r="O862" s="9" t="s">
        <v>6608</v>
      </c>
      <c r="P862" s="9">
        <v>9082026.0</v>
      </c>
      <c r="Q862" s="7" t="str">
        <f>IF(OR(ISBLANK(M862), ISBLANK(N862)), "", IF(N862 &lt; Sheet3!$B$6, "Insufficient Reviews", IF(M862 &gt;= Sheet3!$B$2, "Highly Reliable", IF(M862 &gt;= Sheet3!$B$3, "Reliable", IF(M862 &gt;= Sheet3!$B$4, "Mixed Reviews", "Low Reliability")))))</f>
        <v>Mixed Reviews</v>
      </c>
    </row>
    <row r="863">
      <c r="A863" s="3">
        <f t="shared" si="1"/>
        <v>862</v>
      </c>
      <c r="B863" s="9" t="s">
        <v>6609</v>
      </c>
      <c r="C863" s="10">
        <v>39.1067242</v>
      </c>
      <c r="D863" s="10">
        <v>-76.9306825</v>
      </c>
      <c r="E863" s="9" t="s">
        <v>6610</v>
      </c>
      <c r="F863" s="9" t="s">
        <v>6611</v>
      </c>
      <c r="G863" s="9" t="s">
        <v>6612</v>
      </c>
      <c r="H863" s="9" t="s">
        <v>6613</v>
      </c>
      <c r="I863" s="9" t="s">
        <v>44</v>
      </c>
      <c r="J863" s="9" t="s">
        <v>6614</v>
      </c>
      <c r="K863" s="12" t="s">
        <v>6615</v>
      </c>
      <c r="L863" s="9" t="s">
        <v>6616</v>
      </c>
      <c r="M863" s="9">
        <v>65.90311998</v>
      </c>
      <c r="N863" s="10">
        <v>59.82632098</v>
      </c>
      <c r="O863" s="10" t="s">
        <v>6617</v>
      </c>
      <c r="P863" s="9">
        <v>9082026.0</v>
      </c>
      <c r="Q863" s="7" t="str">
        <f>IF(OR(ISBLANK(M863), ISBLANK(N863)), "", IF(N863 &lt; Sheet3!$B$6, "Insufficient Reviews", IF(M863 &gt;= Sheet3!$B$2, "Highly Reliable", IF(M863 &gt;= Sheet3!$B$3, "Reliable", IF(M863 &gt;= Sheet3!$B$4, "Mixed Reviews", "Low Reliability")))))</f>
        <v>Mixed Reviews</v>
      </c>
    </row>
    <row r="864">
      <c r="A864" s="3">
        <f t="shared" si="1"/>
        <v>863</v>
      </c>
      <c r="B864" s="9" t="s">
        <v>6618</v>
      </c>
      <c r="C864" s="10">
        <v>39.5289623</v>
      </c>
      <c r="D864" s="10">
        <v>-76.3627612</v>
      </c>
      <c r="E864" s="9" t="s">
        <v>6619</v>
      </c>
      <c r="F864" s="9" t="s">
        <v>6620</v>
      </c>
      <c r="G864" s="9" t="s">
        <v>6621</v>
      </c>
      <c r="H864" s="9" t="s">
        <v>6622</v>
      </c>
      <c r="I864" s="9" t="s">
        <v>44</v>
      </c>
      <c r="J864" s="9" t="s">
        <v>6623</v>
      </c>
      <c r="K864" s="12" t="s">
        <v>6624</v>
      </c>
      <c r="L864" s="9" t="s">
        <v>6625</v>
      </c>
      <c r="M864" s="9">
        <v>82.97712209</v>
      </c>
      <c r="N864" s="10">
        <v>72.75920013</v>
      </c>
      <c r="O864" s="10" t="s">
        <v>6626</v>
      </c>
      <c r="P864" s="9">
        <v>9082026.0</v>
      </c>
      <c r="Q864" s="7" t="str">
        <f>IF(OR(ISBLANK(M864), ISBLANK(N864)), "", IF(N864 &lt; Sheet3!$B$6, "Insufficient Reviews", IF(M864 &gt;= Sheet3!$B$2, "Highly Reliable", IF(M864 &gt;= Sheet3!$B$3, "Reliable", IF(M864 &gt;= Sheet3!$B$4, "Mixed Reviews", "Low Reliability")))))</f>
        <v>Highly Reliable</v>
      </c>
    </row>
    <row r="865">
      <c r="A865" s="3">
        <f t="shared" si="1"/>
        <v>864</v>
      </c>
      <c r="B865" s="9" t="s">
        <v>6627</v>
      </c>
      <c r="C865" s="10">
        <v>39.5523458</v>
      </c>
      <c r="D865" s="10">
        <v>-76.3638227</v>
      </c>
      <c r="E865" s="9" t="s">
        <v>6628</v>
      </c>
      <c r="F865" s="9" t="s">
        <v>6629</v>
      </c>
      <c r="G865" s="9" t="s">
        <v>6630</v>
      </c>
      <c r="H865" s="9" t="s">
        <v>6631</v>
      </c>
      <c r="I865" s="9" t="s">
        <v>44</v>
      </c>
      <c r="J865" s="9" t="s">
        <v>6632</v>
      </c>
      <c r="K865" s="12" t="s">
        <v>6633</v>
      </c>
      <c r="L865" s="9" t="s">
        <v>6634</v>
      </c>
      <c r="M865" s="9">
        <v>80.45276884</v>
      </c>
      <c r="N865" s="10">
        <v>72.81902978</v>
      </c>
      <c r="O865" s="10" t="s">
        <v>6635</v>
      </c>
      <c r="P865" s="9">
        <v>9082026.0</v>
      </c>
      <c r="Q865" s="7" t="str">
        <f>IF(OR(ISBLANK(M865), ISBLANK(N865)), "", IF(N865 &lt; Sheet3!$B$6, "Insufficient Reviews", IF(M865 &gt;= Sheet3!$B$2, "Highly Reliable", IF(M865 &gt;= Sheet3!$B$3, "Reliable", IF(M865 &gt;= Sheet3!$B$4, "Mixed Reviews", "Low Reliability")))))</f>
        <v>Reliable</v>
      </c>
    </row>
    <row r="866">
      <c r="A866" s="3">
        <f t="shared" si="1"/>
        <v>865</v>
      </c>
      <c r="B866" s="9" t="s">
        <v>6636</v>
      </c>
      <c r="C866" s="10">
        <v>39.4108647</v>
      </c>
      <c r="D866" s="10">
        <v>-76.3584484</v>
      </c>
      <c r="E866" s="9" t="s">
        <v>6637</v>
      </c>
      <c r="F866" s="9" t="s">
        <v>6638</v>
      </c>
      <c r="G866" s="9" t="s">
        <v>6639</v>
      </c>
      <c r="H866" s="9" t="s">
        <v>2077</v>
      </c>
      <c r="I866" s="9" t="s">
        <v>44</v>
      </c>
      <c r="J866" s="9" t="s">
        <v>6640</v>
      </c>
      <c r="K866" s="12" t="s">
        <v>6641</v>
      </c>
      <c r="L866" s="9" t="s">
        <v>6642</v>
      </c>
      <c r="M866" s="9">
        <v>69.23702416</v>
      </c>
      <c r="N866" s="10">
        <v>55.45942048</v>
      </c>
      <c r="O866" s="10" t="s">
        <v>6643</v>
      </c>
      <c r="P866" s="9">
        <v>9082026.0</v>
      </c>
      <c r="Q866" s="7" t="str">
        <f>IF(OR(ISBLANK(M866), ISBLANK(N866)), "", IF(N866 &lt; Sheet3!$B$6, "Insufficient Reviews", IF(M866 &gt;= Sheet3!$B$2, "Highly Reliable", IF(M866 &gt;= Sheet3!$B$3, "Reliable", IF(M866 &gt;= Sheet3!$B$4, "Mixed Reviews", "Low Reliability")))))</f>
        <v>Mixed Reviews</v>
      </c>
    </row>
    <row r="867">
      <c r="A867" s="3">
        <f t="shared" si="1"/>
        <v>866</v>
      </c>
      <c r="B867" s="9" t="s">
        <v>6644</v>
      </c>
      <c r="C867" s="10">
        <v>39.088672</v>
      </c>
      <c r="D867" s="10">
        <v>-76.855509</v>
      </c>
      <c r="E867" s="9" t="s">
        <v>6645</v>
      </c>
      <c r="F867" s="9" t="s">
        <v>6646</v>
      </c>
      <c r="G867" s="9" t="s">
        <v>6647</v>
      </c>
      <c r="H867" s="9" t="s">
        <v>90</v>
      </c>
      <c r="I867" s="9" t="s">
        <v>44</v>
      </c>
      <c r="J867" s="9" t="s">
        <v>6648</v>
      </c>
      <c r="K867" s="12" t="s">
        <v>6649</v>
      </c>
      <c r="L867" s="9" t="s">
        <v>6650</v>
      </c>
      <c r="M867" s="9">
        <v>76.14792932</v>
      </c>
      <c r="N867" s="10">
        <v>67.30169769</v>
      </c>
      <c r="O867" s="10" t="s">
        <v>6651</v>
      </c>
      <c r="P867" s="9">
        <v>9082026.0</v>
      </c>
      <c r="Q867" s="7" t="str">
        <f>IF(OR(ISBLANK(M867), ISBLANK(N867)), "", IF(N867 &lt; Sheet3!$B$6, "Insufficient Reviews", IF(M867 &gt;= Sheet3!$B$2, "Highly Reliable", IF(M867 &gt;= Sheet3!$B$3, "Reliable", IF(M867 &gt;= Sheet3!$B$4, "Mixed Reviews", "Low Reliability")))))</f>
        <v>Reliable</v>
      </c>
    </row>
    <row r="868">
      <c r="A868" s="3">
        <f t="shared" si="1"/>
        <v>867</v>
      </c>
      <c r="B868" s="9" t="s">
        <v>6652</v>
      </c>
      <c r="C868" s="10">
        <v>39.0855005</v>
      </c>
      <c r="D868" s="10">
        <v>-76.8784467</v>
      </c>
      <c r="E868" s="9" t="s">
        <v>6653</v>
      </c>
      <c r="F868" s="9" t="s">
        <v>6654</v>
      </c>
      <c r="G868" s="9" t="s">
        <v>6655</v>
      </c>
      <c r="H868" s="9" t="s">
        <v>126</v>
      </c>
      <c r="I868" s="9" t="s">
        <v>44</v>
      </c>
      <c r="J868" s="9" t="s">
        <v>6656</v>
      </c>
      <c r="K868" s="12" t="s">
        <v>6657</v>
      </c>
      <c r="L868" s="9" t="s">
        <v>6658</v>
      </c>
      <c r="M868" s="9">
        <v>71.29671016</v>
      </c>
      <c r="N868" s="10">
        <v>48.23358026</v>
      </c>
      <c r="O868" s="10" t="s">
        <v>6659</v>
      </c>
      <c r="P868" s="9">
        <v>9082026.0</v>
      </c>
      <c r="Q868" s="7" t="str">
        <f>IF(OR(ISBLANK(M868), ISBLANK(N868)), "", IF(N868 &lt; Sheet3!$B$6, "Insufficient Reviews", IF(M868 &gt;= Sheet3!$B$2, "Highly Reliable", IF(M868 &gt;= Sheet3!$B$3, "Reliable", IF(M868 &gt;= Sheet3!$B$4, "Mixed Reviews", "Low Reliability")))))</f>
        <v>Reliable</v>
      </c>
    </row>
    <row r="869">
      <c r="A869" s="3">
        <f t="shared" si="1"/>
        <v>868</v>
      </c>
      <c r="B869" s="9" t="s">
        <v>6660</v>
      </c>
      <c r="C869" s="10">
        <v>39.525937</v>
      </c>
      <c r="D869" s="10">
        <v>-76.3397979</v>
      </c>
      <c r="E869" s="9" t="s">
        <v>6661</v>
      </c>
      <c r="F869" s="9" t="s">
        <v>6662</v>
      </c>
      <c r="G869" s="9" t="s">
        <v>6663</v>
      </c>
      <c r="H869" s="9" t="s">
        <v>126</v>
      </c>
      <c r="I869" s="9" t="s">
        <v>44</v>
      </c>
      <c r="J869" s="9" t="s">
        <v>6664</v>
      </c>
      <c r="K869" s="12" t="s">
        <v>6665</v>
      </c>
      <c r="L869" s="9" t="s">
        <v>6666</v>
      </c>
      <c r="M869" s="9">
        <v>74.34227029</v>
      </c>
      <c r="N869" s="10">
        <v>59.40497371</v>
      </c>
      <c r="O869" s="10" t="s">
        <v>6667</v>
      </c>
      <c r="P869" s="9">
        <v>9082026.0</v>
      </c>
      <c r="Q869" s="7" t="str">
        <f>IF(OR(ISBLANK(M869), ISBLANK(N869)), "", IF(N869 &lt; Sheet3!$B$6, "Insufficient Reviews", IF(M869 &gt;= Sheet3!$B$2, "Highly Reliable", IF(M869 &gt;= Sheet3!$B$3, "Reliable", IF(M869 &gt;= Sheet3!$B$4, "Mixed Reviews", "Low Reliability")))))</f>
        <v>Reliable</v>
      </c>
    </row>
    <row r="870">
      <c r="A870" s="3">
        <f t="shared" si="1"/>
        <v>869</v>
      </c>
      <c r="B870" s="9" t="s">
        <v>6668</v>
      </c>
      <c r="C870" s="10">
        <v>39.1349952</v>
      </c>
      <c r="D870" s="10">
        <v>-76.5861545</v>
      </c>
      <c r="E870" s="9" t="s">
        <v>6669</v>
      </c>
      <c r="F870" s="9" t="s">
        <v>6670</v>
      </c>
      <c r="G870" s="9" t="s">
        <v>6671</v>
      </c>
      <c r="H870" s="9" t="s">
        <v>6672</v>
      </c>
      <c r="I870" s="9" t="s">
        <v>35</v>
      </c>
      <c r="J870" s="9" t="s">
        <v>6673</v>
      </c>
      <c r="K870" s="12" t="s">
        <v>6674</v>
      </c>
      <c r="L870" s="9" t="s">
        <v>6675</v>
      </c>
      <c r="M870" s="9">
        <v>79.82235955</v>
      </c>
      <c r="N870" s="10">
        <v>70.13140951</v>
      </c>
      <c r="O870" s="10" t="s">
        <v>6676</v>
      </c>
      <c r="P870" s="9">
        <v>9082026.0</v>
      </c>
      <c r="Q870" s="7" t="str">
        <f>IF(OR(ISBLANK(M870), ISBLANK(N870)), "", IF(N870 &lt; Sheet3!$B$6, "Insufficient Reviews", IF(M870 &gt;= Sheet3!$B$2, "Highly Reliable", IF(M870 &gt;= Sheet3!$B$3, "Reliable", IF(M870 &gt;= Sheet3!$B$4, "Mixed Reviews", "Low Reliability")))))</f>
        <v>Reliable</v>
      </c>
    </row>
    <row r="871">
      <c r="A871" s="3">
        <f t="shared" si="1"/>
        <v>870</v>
      </c>
      <c r="B871" s="9" t="s">
        <v>6677</v>
      </c>
      <c r="C871" s="10">
        <v>39.1122006</v>
      </c>
      <c r="D871" s="10">
        <v>-76.6318024</v>
      </c>
      <c r="E871" s="9" t="s">
        <v>6678</v>
      </c>
      <c r="F871" s="9" t="s">
        <v>6679</v>
      </c>
      <c r="G871" s="9" t="s">
        <v>6680</v>
      </c>
      <c r="H871" s="9" t="s">
        <v>6339</v>
      </c>
      <c r="I871" s="9" t="s">
        <v>44</v>
      </c>
      <c r="J871" s="9" t="s">
        <v>6681</v>
      </c>
      <c r="K871" s="12" t="s">
        <v>6682</v>
      </c>
      <c r="L871" s="9" t="s">
        <v>6683</v>
      </c>
      <c r="M871" s="9">
        <v>79.5945452</v>
      </c>
      <c r="N871" s="10">
        <v>73.25585564</v>
      </c>
      <c r="O871" s="10" t="s">
        <v>6684</v>
      </c>
      <c r="P871" s="9">
        <v>9082026.0</v>
      </c>
      <c r="Q871" s="7" t="str">
        <f>IF(OR(ISBLANK(M871), ISBLANK(N871)), "", IF(N871 &lt; Sheet3!$B$6, "Insufficient Reviews", IF(M871 &gt;= Sheet3!$B$2, "Highly Reliable", IF(M871 &gt;= Sheet3!$B$3, "Reliable", IF(M871 &gt;= Sheet3!$B$4, "Mixed Reviews", "Low Reliability")))))</f>
        <v>Reliable</v>
      </c>
    </row>
    <row r="872">
      <c r="A872" s="3">
        <f t="shared" si="1"/>
        <v>871</v>
      </c>
      <c r="B872" s="9" t="s">
        <v>6685</v>
      </c>
      <c r="C872" s="10">
        <v>39.1278337</v>
      </c>
      <c r="D872" s="10">
        <v>-76.593292</v>
      </c>
      <c r="E872" s="9" t="s">
        <v>6686</v>
      </c>
      <c r="F872" s="9" t="s">
        <v>6687</v>
      </c>
      <c r="G872" s="9" t="s">
        <v>6688</v>
      </c>
      <c r="H872" s="9" t="s">
        <v>6689</v>
      </c>
      <c r="I872" s="9" t="s">
        <v>44</v>
      </c>
      <c r="J872" s="9" t="s">
        <v>6690</v>
      </c>
      <c r="K872" s="12" t="s">
        <v>6691</v>
      </c>
      <c r="L872" s="9" t="s">
        <v>6692</v>
      </c>
      <c r="M872" s="9">
        <v>77.6826421</v>
      </c>
      <c r="N872" s="10">
        <v>52.9134201</v>
      </c>
      <c r="O872" s="10" t="s">
        <v>6693</v>
      </c>
      <c r="P872" s="9">
        <v>9082026.0</v>
      </c>
      <c r="Q872" s="7" t="str">
        <f>IF(OR(ISBLANK(M872), ISBLANK(N872)), "", IF(N872 &lt; Sheet3!$B$6, "Insufficient Reviews", IF(M872 &gt;= Sheet3!$B$2, "Highly Reliable", IF(M872 &gt;= Sheet3!$B$3, "Reliable", IF(M872 &gt;= Sheet3!$B$4, "Mixed Reviews", "Low Reliability")))))</f>
        <v>Reliable</v>
      </c>
    </row>
    <row r="873">
      <c r="A873" s="3">
        <f t="shared" si="1"/>
        <v>872</v>
      </c>
      <c r="B873" s="9" t="s">
        <v>6694</v>
      </c>
      <c r="C873" s="10">
        <v>39.4350472</v>
      </c>
      <c r="D873" s="10">
        <v>-76.3278221</v>
      </c>
      <c r="E873" s="9" t="s">
        <v>6695</v>
      </c>
      <c r="F873" s="9" t="s">
        <v>6325</v>
      </c>
      <c r="G873" s="11"/>
      <c r="H873" s="9" t="s">
        <v>3846</v>
      </c>
      <c r="I873" s="9" t="s">
        <v>44</v>
      </c>
      <c r="J873" s="9" t="s">
        <v>6696</v>
      </c>
      <c r="K873" s="12" t="s">
        <v>6697</v>
      </c>
      <c r="L873" s="9" t="s">
        <v>6698</v>
      </c>
      <c r="M873" s="9">
        <v>46.3172926</v>
      </c>
      <c r="N873" s="10">
        <v>65.73865444</v>
      </c>
      <c r="O873" s="10" t="s">
        <v>6699</v>
      </c>
      <c r="P873" s="9">
        <v>9082026.0</v>
      </c>
      <c r="Q873" s="7" t="str">
        <f>IF(OR(ISBLANK(M873), ISBLANK(N873)), "", IF(N873 &lt; Sheet3!$B$6, "Insufficient Reviews", IF(M873 &gt;= Sheet3!$B$2, "Highly Reliable", IF(M873 &gt;= Sheet3!$B$3, "Reliable", IF(M873 &gt;= Sheet3!$B$4, "Mixed Reviews", "Low Reliability")))))</f>
        <v>Low Reliability</v>
      </c>
    </row>
    <row r="874">
      <c r="A874" s="3">
        <f t="shared" si="1"/>
        <v>873</v>
      </c>
      <c r="B874" s="9" t="s">
        <v>6700</v>
      </c>
      <c r="C874" s="10">
        <v>39.4340474</v>
      </c>
      <c r="D874" s="10">
        <v>-76.3169508</v>
      </c>
      <c r="E874" s="9" t="s">
        <v>6701</v>
      </c>
      <c r="F874" s="9" t="s">
        <v>6670</v>
      </c>
      <c r="G874" s="9" t="s">
        <v>6702</v>
      </c>
      <c r="H874" s="9" t="s">
        <v>6672</v>
      </c>
      <c r="I874" s="9" t="s">
        <v>44</v>
      </c>
      <c r="J874" s="9" t="s">
        <v>6703</v>
      </c>
      <c r="K874" s="12" t="s">
        <v>6674</v>
      </c>
      <c r="L874" s="9" t="s">
        <v>6704</v>
      </c>
      <c r="M874" s="9">
        <v>80.04691956</v>
      </c>
      <c r="N874" s="10">
        <v>73.1827193</v>
      </c>
      <c r="O874" s="10" t="s">
        <v>6705</v>
      </c>
      <c r="P874" s="9">
        <v>9082026.0</v>
      </c>
      <c r="Q874" s="7" t="str">
        <f>IF(OR(ISBLANK(M874), ISBLANK(N874)), "", IF(N874 &lt; Sheet3!$B$6, "Insufficient Reviews", IF(M874 &gt;= Sheet3!$B$2, "Highly Reliable", IF(M874 &gt;= Sheet3!$B$3, "Reliable", IF(M874 &gt;= Sheet3!$B$4, "Mixed Reviews", "Low Reliability")))))</f>
        <v>Reliable</v>
      </c>
    </row>
    <row r="875">
      <c r="A875" s="3">
        <f t="shared" si="1"/>
        <v>874</v>
      </c>
      <c r="B875" s="9" t="s">
        <v>6706</v>
      </c>
      <c r="C875" s="10">
        <v>39.440692</v>
      </c>
      <c r="D875" s="10">
        <v>-77.3984659</v>
      </c>
      <c r="E875" s="9" t="s">
        <v>6707</v>
      </c>
      <c r="F875" s="9" t="s">
        <v>6708</v>
      </c>
      <c r="G875" s="9"/>
      <c r="H875" s="9" t="s">
        <v>6709</v>
      </c>
      <c r="I875" s="9" t="s">
        <v>44</v>
      </c>
      <c r="J875" s="9" t="s">
        <v>6710</v>
      </c>
      <c r="K875" s="12" t="s">
        <v>6711</v>
      </c>
      <c r="L875" s="9" t="s">
        <v>6712</v>
      </c>
      <c r="M875" s="9">
        <v>81.33716059</v>
      </c>
      <c r="N875" s="10">
        <v>71.24522291</v>
      </c>
      <c r="O875" s="10" t="s">
        <v>6713</v>
      </c>
      <c r="P875" s="9">
        <v>9082026.0</v>
      </c>
      <c r="Q875" s="7" t="str">
        <f>IF(OR(ISBLANK(M875), ISBLANK(N875)), "", IF(N875 &lt; Sheet3!$B$6, "Insufficient Reviews", IF(M875 &gt;= Sheet3!$B$2, "Highly Reliable", IF(M875 &gt;= Sheet3!$B$3, "Reliable", IF(M875 &gt;= Sheet3!$B$4, "Mixed Reviews", "Low Reliability")))))</f>
        <v>Reliable</v>
      </c>
    </row>
    <row r="876">
      <c r="A876" s="3">
        <f t="shared" si="1"/>
        <v>875</v>
      </c>
      <c r="B876" s="9" t="s">
        <v>6714</v>
      </c>
      <c r="C876" s="10">
        <v>39.4796495</v>
      </c>
      <c r="D876" s="10">
        <v>-76.3090732</v>
      </c>
      <c r="E876" s="9" t="s">
        <v>6715</v>
      </c>
      <c r="F876" s="9" t="s">
        <v>6538</v>
      </c>
      <c r="G876" s="9" t="s">
        <v>4186</v>
      </c>
      <c r="H876" s="9" t="s">
        <v>126</v>
      </c>
      <c r="I876" s="9" t="s">
        <v>44</v>
      </c>
      <c r="J876" s="9" t="s">
        <v>6716</v>
      </c>
      <c r="K876" s="12" t="s">
        <v>6717</v>
      </c>
      <c r="L876" s="9" t="s">
        <v>6718</v>
      </c>
      <c r="M876" s="9">
        <v>64.43917272</v>
      </c>
      <c r="N876" s="10">
        <v>51.42111158</v>
      </c>
      <c r="O876" s="10" t="s">
        <v>6719</v>
      </c>
      <c r="P876" s="9">
        <v>9082026.0</v>
      </c>
      <c r="Q876" s="7" t="str">
        <f>IF(OR(ISBLANK(M876), ISBLANK(N876)), "", IF(N876 &lt; Sheet3!$B$6, "Insufficient Reviews", IF(M876 &gt;= Sheet3!$B$2, "Highly Reliable", IF(M876 &gt;= Sheet3!$B$3, "Reliable", IF(M876 &gt;= Sheet3!$B$4, "Mixed Reviews", "Low Reliability")))))</f>
        <v>Mixed Reviews</v>
      </c>
    </row>
    <row r="877">
      <c r="A877" s="3">
        <f t="shared" si="1"/>
        <v>876</v>
      </c>
      <c r="B877" s="9" t="s">
        <v>6720</v>
      </c>
      <c r="C877" s="10">
        <v>39.476075</v>
      </c>
      <c r="D877" s="10">
        <v>-76.30859</v>
      </c>
      <c r="E877" s="9" t="s">
        <v>6721</v>
      </c>
      <c r="F877" s="9" t="s">
        <v>6722</v>
      </c>
      <c r="G877" s="9" t="s">
        <v>6723</v>
      </c>
      <c r="H877" s="9" t="s">
        <v>144</v>
      </c>
      <c r="I877" s="9" t="s">
        <v>44</v>
      </c>
      <c r="J877" s="9" t="s">
        <v>6724</v>
      </c>
      <c r="K877" s="12" t="s">
        <v>6725</v>
      </c>
      <c r="L877" s="9" t="s">
        <v>6726</v>
      </c>
      <c r="M877" s="9">
        <v>76.5</v>
      </c>
      <c r="N877" s="10">
        <v>35.6627623</v>
      </c>
      <c r="O877" s="10" t="s">
        <v>4216</v>
      </c>
      <c r="P877" s="9">
        <v>9082026.0</v>
      </c>
      <c r="Q877" s="7" t="str">
        <f>IF(OR(ISBLANK(M877), ISBLANK(N877)), "", IF(N877 &lt; Sheet3!$B$6, "Insufficient Reviews", IF(M877 &gt;= Sheet3!$B$2, "Highly Reliable", IF(M877 &gt;= Sheet3!$B$3, "Reliable", IF(M877 &gt;= Sheet3!$B$4, "Mixed Reviews", "Low Reliability")))))</f>
        <v>Insufficient Reviews</v>
      </c>
    </row>
    <row r="878">
      <c r="A878" s="3">
        <f t="shared" si="1"/>
        <v>877</v>
      </c>
      <c r="B878" s="9" t="s">
        <v>6727</v>
      </c>
      <c r="C878" s="10">
        <v>39.1407983</v>
      </c>
      <c r="D878" s="10">
        <v>-77.1807788</v>
      </c>
      <c r="E878" s="9" t="s">
        <v>6728</v>
      </c>
      <c r="F878" s="9" t="s">
        <v>6729</v>
      </c>
      <c r="G878" s="9"/>
      <c r="H878" s="9" t="s">
        <v>135</v>
      </c>
      <c r="I878" s="9" t="s">
        <v>203</v>
      </c>
      <c r="J878" s="9" t="s">
        <v>6730</v>
      </c>
      <c r="K878" s="12" t="s">
        <v>6731</v>
      </c>
      <c r="L878" s="9" t="s">
        <v>6732</v>
      </c>
      <c r="M878" s="9">
        <v>16.5</v>
      </c>
      <c r="N878" s="10">
        <v>31.83333333</v>
      </c>
      <c r="O878" s="10" t="s">
        <v>290</v>
      </c>
      <c r="P878" s="9">
        <v>9082026.0</v>
      </c>
      <c r="Q878" s="7" t="str">
        <f>IF(OR(ISBLANK(M878), ISBLANK(N878)), "", IF(N878 &lt; Sheet3!$B$6, "Insufficient Reviews", IF(M878 &gt;= Sheet3!$B$2, "Highly Reliable", IF(M878 &gt;= Sheet3!$B$3, "Reliable", IF(M878 &gt;= Sheet3!$B$4, "Mixed Reviews", "Low Reliability")))))</f>
        <v>Insufficient Reviews</v>
      </c>
    </row>
    <row r="879">
      <c r="A879" s="3">
        <f t="shared" si="1"/>
        <v>878</v>
      </c>
      <c r="B879" s="9" t="s">
        <v>6733</v>
      </c>
      <c r="C879" s="10">
        <v>39.1285555</v>
      </c>
      <c r="D879" s="10">
        <v>-76.5447972</v>
      </c>
      <c r="E879" s="9" t="s">
        <v>6734</v>
      </c>
      <c r="F879" s="9" t="s">
        <v>6735</v>
      </c>
      <c r="G879" s="9" t="s">
        <v>6736</v>
      </c>
      <c r="H879" s="9" t="s">
        <v>126</v>
      </c>
      <c r="I879" s="9" t="s">
        <v>44</v>
      </c>
      <c r="J879" s="9" t="s">
        <v>6737</v>
      </c>
      <c r="K879" s="12" t="s">
        <v>6738</v>
      </c>
      <c r="L879" s="9" t="s">
        <v>6739</v>
      </c>
      <c r="M879" s="9">
        <v>87.71182917</v>
      </c>
      <c r="N879" s="10">
        <v>76.78788611</v>
      </c>
      <c r="O879" s="10" t="s">
        <v>6740</v>
      </c>
      <c r="P879" s="9">
        <v>9082026.0</v>
      </c>
      <c r="Q879" s="7" t="str">
        <f>IF(OR(ISBLANK(M879), ISBLANK(N879)), "", IF(N879 &lt; Sheet3!$B$6, "Insufficient Reviews", IF(M879 &gt;= Sheet3!$B$2, "Highly Reliable", IF(M879 &gt;= Sheet3!$B$3, "Reliable", IF(M879 &gt;= Sheet3!$B$4, "Mixed Reviews", "Low Reliability")))))</f>
        <v>Highly Reliable</v>
      </c>
    </row>
    <row r="880">
      <c r="A880" s="3">
        <f t="shared" si="1"/>
        <v>879</v>
      </c>
      <c r="B880" s="9" t="s">
        <v>6741</v>
      </c>
      <c r="C880" s="10">
        <v>38.9058783</v>
      </c>
      <c r="D880" s="10">
        <v>-77.0394827</v>
      </c>
      <c r="E880" s="9" t="s">
        <v>6742</v>
      </c>
      <c r="F880" s="9" t="s">
        <v>6743</v>
      </c>
      <c r="G880" s="9"/>
      <c r="H880" s="9" t="s">
        <v>126</v>
      </c>
      <c r="I880" s="9" t="s">
        <v>35</v>
      </c>
      <c r="J880" s="9" t="s">
        <v>6744</v>
      </c>
      <c r="K880" s="12" t="s">
        <v>6745</v>
      </c>
      <c r="L880" s="9" t="s">
        <v>6746</v>
      </c>
      <c r="M880" s="10">
        <v>63.33223651</v>
      </c>
      <c r="N880" s="10">
        <v>56.52328054</v>
      </c>
      <c r="O880" s="9" t="s">
        <v>6747</v>
      </c>
      <c r="P880" s="9">
        <v>9082026.0</v>
      </c>
      <c r="Q880" s="7" t="str">
        <f>IF(OR(ISBLANK(M880), ISBLANK(N880)), "", IF(N880 &lt; Sheet3!$B$6, "Insufficient Reviews", IF(M880 &gt;= Sheet3!$B$2, "Highly Reliable", IF(M880 &gt;= Sheet3!$B$3, "Reliable", IF(M880 &gt;= Sheet3!$B$4, "Mixed Reviews", "Low Reliability")))))</f>
        <v>Mixed Reviews</v>
      </c>
    </row>
    <row r="881">
      <c r="A881" s="3">
        <f t="shared" si="1"/>
        <v>880</v>
      </c>
      <c r="B881" s="9" t="s">
        <v>6748</v>
      </c>
      <c r="C881" s="10">
        <v>39.4113749</v>
      </c>
      <c r="D881" s="10">
        <v>-77.4114689</v>
      </c>
      <c r="E881" s="9" t="s">
        <v>6749</v>
      </c>
      <c r="F881" s="9" t="s">
        <v>6750</v>
      </c>
      <c r="G881" s="9"/>
      <c r="H881" s="9" t="s">
        <v>6751</v>
      </c>
      <c r="I881" s="9" t="s">
        <v>35</v>
      </c>
      <c r="J881" s="9" t="s">
        <v>6752</v>
      </c>
      <c r="K881" s="12" t="s">
        <v>6753</v>
      </c>
      <c r="L881" s="9" t="s">
        <v>6754</v>
      </c>
      <c r="M881" s="9">
        <v>69.90379607</v>
      </c>
      <c r="N881" s="10">
        <v>61.03833378</v>
      </c>
      <c r="O881" s="10" t="s">
        <v>6755</v>
      </c>
      <c r="P881" s="9">
        <v>9082026.0</v>
      </c>
      <c r="Q881" s="7" t="str">
        <f>IF(OR(ISBLANK(M881), ISBLANK(N881)), "", IF(N881 &lt; Sheet3!$B$6, "Insufficient Reviews", IF(M881 &gt;= Sheet3!$B$2, "Highly Reliable", IF(M881 &gt;= Sheet3!$B$3, "Reliable", IF(M881 &gt;= Sheet3!$B$4, "Mixed Reviews", "Low Reliability")))))</f>
        <v>Mixed Reviews</v>
      </c>
    </row>
    <row r="882">
      <c r="A882" s="3">
        <f t="shared" si="1"/>
        <v>881</v>
      </c>
      <c r="B882" s="9" t="s">
        <v>6756</v>
      </c>
      <c r="C882" s="10">
        <v>39.4105306</v>
      </c>
      <c r="D882" s="10">
        <v>-77.4130992</v>
      </c>
      <c r="E882" s="9" t="s">
        <v>6757</v>
      </c>
      <c r="F882" s="9" t="s">
        <v>6325</v>
      </c>
      <c r="G882" s="9" t="s">
        <v>4186</v>
      </c>
      <c r="H882" s="9" t="s">
        <v>3846</v>
      </c>
      <c r="I882" s="9" t="s">
        <v>44</v>
      </c>
      <c r="J882" s="9" t="s">
        <v>6758</v>
      </c>
      <c r="K882" s="12" t="s">
        <v>6328</v>
      </c>
      <c r="L882" s="9" t="s">
        <v>6759</v>
      </c>
      <c r="M882" s="9">
        <v>16.5</v>
      </c>
      <c r="N882" s="10">
        <v>31.83333333</v>
      </c>
      <c r="O882" s="10" t="s">
        <v>5852</v>
      </c>
      <c r="P882" s="9">
        <v>9082026.0</v>
      </c>
      <c r="Q882" s="7" t="str">
        <f>IF(OR(ISBLANK(M882), ISBLANK(N882)), "", IF(N882 &lt; Sheet3!$B$6, "Insufficient Reviews", IF(M882 &gt;= Sheet3!$B$2, "Highly Reliable", IF(M882 &gt;= Sheet3!$B$3, "Reliable", IF(M882 &gt;= Sheet3!$B$4, "Mixed Reviews", "Low Reliability")))))</f>
        <v>Insufficient Reviews</v>
      </c>
    </row>
    <row r="883">
      <c r="A883" s="3">
        <f t="shared" si="1"/>
        <v>882</v>
      </c>
      <c r="B883" s="9" t="s">
        <v>6760</v>
      </c>
      <c r="C883" s="10">
        <v>39.4142808</v>
      </c>
      <c r="D883" s="10">
        <v>-77.4176556</v>
      </c>
      <c r="E883" s="9" t="s">
        <v>6761</v>
      </c>
      <c r="F883" s="9" t="s">
        <v>6762</v>
      </c>
      <c r="G883" s="9" t="s">
        <v>3669</v>
      </c>
      <c r="H883" s="9" t="s">
        <v>6763</v>
      </c>
      <c r="I883" s="9" t="s">
        <v>44</v>
      </c>
      <c r="J883" s="9" t="s">
        <v>6764</v>
      </c>
      <c r="K883" s="12" t="s">
        <v>6765</v>
      </c>
      <c r="L883" s="9" t="s">
        <v>6766</v>
      </c>
      <c r="M883" s="9">
        <v>74.57976331</v>
      </c>
      <c r="N883" s="10">
        <v>71.13021087</v>
      </c>
      <c r="O883" s="10" t="s">
        <v>6767</v>
      </c>
      <c r="P883" s="9">
        <v>9082026.0</v>
      </c>
      <c r="Q883" s="7" t="str">
        <f>IF(OR(ISBLANK(M883), ISBLANK(N883)), "", IF(N883 &lt; Sheet3!$B$6, "Insufficient Reviews", IF(M883 &gt;= Sheet3!$B$2, "Highly Reliable", IF(M883 &gt;= Sheet3!$B$3, "Reliable", IF(M883 &gt;= Sheet3!$B$4, "Mixed Reviews", "Low Reliability")))))</f>
        <v>Reliable</v>
      </c>
    </row>
    <row r="884">
      <c r="A884" s="3">
        <f t="shared" si="1"/>
        <v>883</v>
      </c>
      <c r="B884" s="9" t="s">
        <v>6768</v>
      </c>
      <c r="C884" s="10">
        <v>39.4132905</v>
      </c>
      <c r="D884" s="10">
        <v>-77.4207553</v>
      </c>
      <c r="E884" s="9" t="s">
        <v>6769</v>
      </c>
      <c r="F884" s="9" t="s">
        <v>6770</v>
      </c>
      <c r="G884" s="9" t="s">
        <v>6771</v>
      </c>
      <c r="H884" s="9" t="s">
        <v>126</v>
      </c>
      <c r="I884" s="9" t="s">
        <v>44</v>
      </c>
      <c r="J884" s="9" t="s">
        <v>6772</v>
      </c>
      <c r="K884" s="12" t="s">
        <v>6773</v>
      </c>
      <c r="L884" s="9" t="s">
        <v>6774</v>
      </c>
      <c r="M884" s="9">
        <v>16.5</v>
      </c>
      <c r="N884" s="10">
        <v>31.83333333</v>
      </c>
      <c r="O884" s="10" t="s">
        <v>5852</v>
      </c>
      <c r="P884" s="9">
        <v>9082026.0</v>
      </c>
      <c r="Q884" s="7" t="str">
        <f>IF(OR(ISBLANK(M884), ISBLANK(N884)), "", IF(N884 &lt; Sheet3!$B$6, "Insufficient Reviews", IF(M884 &gt;= Sheet3!$B$2, "Highly Reliable", IF(M884 &gt;= Sheet3!$B$3, "Reliable", IF(M884 &gt;= Sheet3!$B$4, "Mixed Reviews", "Low Reliability")))))</f>
        <v>Insufficient Reviews</v>
      </c>
    </row>
    <row r="885">
      <c r="A885" s="3">
        <f t="shared" si="1"/>
        <v>884</v>
      </c>
      <c r="B885" s="9" t="s">
        <v>6775</v>
      </c>
      <c r="C885" s="10">
        <v>39.3851577</v>
      </c>
      <c r="D885" s="10">
        <v>-77.4148733</v>
      </c>
      <c r="E885" s="9" t="s">
        <v>6776</v>
      </c>
      <c r="F885" s="9" t="s">
        <v>6777</v>
      </c>
      <c r="G885" s="9" t="s">
        <v>6778</v>
      </c>
      <c r="H885" s="9" t="s">
        <v>126</v>
      </c>
      <c r="I885" s="9" t="s">
        <v>44</v>
      </c>
      <c r="J885" s="9" t="s">
        <v>6779</v>
      </c>
      <c r="K885" s="12" t="s">
        <v>6780</v>
      </c>
      <c r="L885" s="9" t="s">
        <v>6781</v>
      </c>
      <c r="M885" s="9">
        <v>13.5</v>
      </c>
      <c r="N885" s="10">
        <v>31.83333333</v>
      </c>
      <c r="O885" s="10" t="s">
        <v>5852</v>
      </c>
      <c r="P885" s="9">
        <v>9082026.0</v>
      </c>
      <c r="Q885" s="7" t="str">
        <f>IF(OR(ISBLANK(M885), ISBLANK(N885)), "", IF(N885 &lt; Sheet3!$B$6, "Insufficient Reviews", IF(M885 &gt;= Sheet3!$B$2, "Highly Reliable", IF(M885 &gt;= Sheet3!$B$3, "Reliable", IF(M885 &gt;= Sheet3!$B$4, "Mixed Reviews", "Low Reliability")))))</f>
        <v>Insufficient Reviews</v>
      </c>
    </row>
    <row r="886">
      <c r="A886" s="3">
        <f t="shared" si="1"/>
        <v>885</v>
      </c>
      <c r="B886" s="9" t="s">
        <v>6782</v>
      </c>
      <c r="C886" s="10">
        <v>39.0841896</v>
      </c>
      <c r="D886" s="10">
        <v>-77.1520608</v>
      </c>
      <c r="E886" s="9" t="s">
        <v>6783</v>
      </c>
      <c r="F886" s="9" t="s">
        <v>6784</v>
      </c>
      <c r="G886" s="9"/>
      <c r="H886" s="9" t="s">
        <v>126</v>
      </c>
      <c r="I886" s="9" t="s">
        <v>44</v>
      </c>
      <c r="J886" s="9" t="s">
        <v>6785</v>
      </c>
      <c r="K886" s="12" t="s">
        <v>6786</v>
      </c>
      <c r="L886" s="9" t="s">
        <v>6787</v>
      </c>
      <c r="M886" s="9">
        <v>16.5</v>
      </c>
      <c r="N886" s="10">
        <v>31.83333333</v>
      </c>
      <c r="O886" s="10" t="s">
        <v>290</v>
      </c>
      <c r="P886" s="9">
        <v>9082026.0</v>
      </c>
      <c r="Q886" s="7" t="str">
        <f>IF(OR(ISBLANK(M886), ISBLANK(N886)), "", IF(N886 &lt; Sheet3!$B$6, "Insufficient Reviews", IF(M886 &gt;= Sheet3!$B$2, "Highly Reliable", IF(M886 &gt;= Sheet3!$B$3, "Reliable", IF(M886 &gt;= Sheet3!$B$4, "Mixed Reviews", "Low Reliability")))))</f>
        <v>Insufficient Reviews</v>
      </c>
    </row>
    <row r="887">
      <c r="A887" s="3">
        <f t="shared" si="1"/>
        <v>886</v>
      </c>
      <c r="B887" s="9" t="s">
        <v>6788</v>
      </c>
      <c r="C887" s="10">
        <v>39.0808675</v>
      </c>
      <c r="D887" s="10">
        <v>-77.1476175</v>
      </c>
      <c r="E887" s="9" t="s">
        <v>6789</v>
      </c>
      <c r="F887" s="9" t="s">
        <v>6790</v>
      </c>
      <c r="G887" s="9" t="s">
        <v>6791</v>
      </c>
      <c r="H887" s="9" t="s">
        <v>126</v>
      </c>
      <c r="I887" s="9" t="s">
        <v>44</v>
      </c>
      <c r="J887" s="9" t="s">
        <v>6792</v>
      </c>
      <c r="K887" s="12" t="s">
        <v>6793</v>
      </c>
      <c r="L887" s="9" t="s">
        <v>6794</v>
      </c>
      <c r="M887" s="9">
        <v>82.01485582</v>
      </c>
      <c r="N887" s="10">
        <v>71.89846586</v>
      </c>
      <c r="O887" s="10" t="s">
        <v>6795</v>
      </c>
      <c r="P887" s="9">
        <v>9082026.0</v>
      </c>
      <c r="Q887" s="7" t="str">
        <f>IF(OR(ISBLANK(M887), ISBLANK(N887)), "", IF(N887 &lt; Sheet3!$B$6, "Insufficient Reviews", IF(M887 &gt;= Sheet3!$B$2, "Highly Reliable", IF(M887 &gt;= Sheet3!$B$3, "Reliable", IF(M887 &gt;= Sheet3!$B$4, "Mixed Reviews", "Low Reliability")))))</f>
        <v>Highly Reliable</v>
      </c>
    </row>
    <row r="888">
      <c r="A888" s="3">
        <f t="shared" si="1"/>
        <v>887</v>
      </c>
      <c r="B888" s="9" t="s">
        <v>6796</v>
      </c>
      <c r="C888" s="10">
        <v>39.0329508</v>
      </c>
      <c r="D888" s="10">
        <v>-77.0039961</v>
      </c>
      <c r="E888" s="9" t="s">
        <v>6797</v>
      </c>
      <c r="F888" s="9" t="s">
        <v>6798</v>
      </c>
      <c r="G888" s="9" t="s">
        <v>6799</v>
      </c>
      <c r="H888" s="9" t="s">
        <v>6800</v>
      </c>
      <c r="I888" s="9" t="s">
        <v>44</v>
      </c>
      <c r="J888" s="9" t="s">
        <v>6801</v>
      </c>
      <c r="K888" s="12" t="s">
        <v>6802</v>
      </c>
      <c r="L888" s="9" t="s">
        <v>6803</v>
      </c>
      <c r="M888" s="9">
        <v>78.46124337</v>
      </c>
      <c r="N888" s="10">
        <v>68.86918815</v>
      </c>
      <c r="O888" s="10" t="s">
        <v>6804</v>
      </c>
      <c r="P888" s="9">
        <v>9082026.0</v>
      </c>
      <c r="Q888" s="7" t="str">
        <f>IF(OR(ISBLANK(M888), ISBLANK(N888)), "", IF(N888 &lt; Sheet3!$B$6, "Insufficient Reviews", IF(M888 &gt;= Sheet3!$B$2, "Highly Reliable", IF(M888 &gt;= Sheet3!$B$3, "Reliable", IF(M888 &gt;= Sheet3!$B$4, "Mixed Reviews", "Low Reliability")))))</f>
        <v>Reliable</v>
      </c>
    </row>
    <row r="889">
      <c r="A889" s="3">
        <f t="shared" si="1"/>
        <v>888</v>
      </c>
      <c r="B889" s="9" t="s">
        <v>6805</v>
      </c>
      <c r="C889" s="10">
        <v>39.3585182</v>
      </c>
      <c r="D889" s="10">
        <v>-77.4295426</v>
      </c>
      <c r="E889" s="9" t="s">
        <v>6806</v>
      </c>
      <c r="F889" s="9" t="s">
        <v>6807</v>
      </c>
      <c r="G889" s="9" t="s">
        <v>6808</v>
      </c>
      <c r="H889" s="9" t="s">
        <v>6809</v>
      </c>
      <c r="I889" s="9" t="s">
        <v>81</v>
      </c>
      <c r="J889" s="9" t="s">
        <v>6810</v>
      </c>
      <c r="K889" s="12" t="s">
        <v>6811</v>
      </c>
      <c r="L889" s="9" t="s">
        <v>6812</v>
      </c>
      <c r="M889" s="9">
        <v>45.44747649</v>
      </c>
      <c r="N889" s="10">
        <v>69.8498704</v>
      </c>
      <c r="O889" s="10" t="s">
        <v>6813</v>
      </c>
      <c r="P889" s="9">
        <v>9082026.0</v>
      </c>
      <c r="Q889" s="7" t="str">
        <f>IF(OR(ISBLANK(M889), ISBLANK(N889)), "", IF(N889 &lt; Sheet3!$B$6, "Insufficient Reviews", IF(M889 &gt;= Sheet3!$B$2, "Highly Reliable", IF(M889 &gt;= Sheet3!$B$3, "Reliable", IF(M889 &gt;= Sheet3!$B$4, "Mixed Reviews", "Low Reliability")))))</f>
        <v>Low Reliability</v>
      </c>
    </row>
    <row r="890">
      <c r="A890" s="3">
        <f t="shared" si="1"/>
        <v>889</v>
      </c>
      <c r="B890" s="9" t="s">
        <v>6814</v>
      </c>
      <c r="C890" s="10">
        <v>39.2913946</v>
      </c>
      <c r="D890" s="10">
        <v>-76.6114197</v>
      </c>
      <c r="E890" s="9" t="s">
        <v>6815</v>
      </c>
      <c r="F890" s="9" t="s">
        <v>6816</v>
      </c>
      <c r="G890" s="9" t="s">
        <v>6817</v>
      </c>
      <c r="H890" s="9" t="s">
        <v>126</v>
      </c>
      <c r="I890" s="9" t="s">
        <v>44</v>
      </c>
      <c r="J890" s="9" t="s">
        <v>6818</v>
      </c>
      <c r="K890" s="12" t="s">
        <v>6819</v>
      </c>
      <c r="L890" s="9" t="s">
        <v>6820</v>
      </c>
      <c r="M890" s="9">
        <v>83.36090055</v>
      </c>
      <c r="N890" s="10">
        <v>51.49183044</v>
      </c>
      <c r="O890" s="10" t="s">
        <v>6821</v>
      </c>
      <c r="P890" s="9">
        <v>9082026.0</v>
      </c>
      <c r="Q890" s="7" t="str">
        <f>IF(OR(ISBLANK(M890), ISBLANK(N890)), "", IF(N890 &lt; Sheet3!$B$6, "Insufficient Reviews", IF(M890 &gt;= Sheet3!$B$2, "Highly Reliable", IF(M890 &gt;= Sheet3!$B$3, "Reliable", IF(M890 &gt;= Sheet3!$B$4, "Mixed Reviews", "Low Reliability")))))</f>
        <v>Highly Reliable</v>
      </c>
    </row>
    <row r="891">
      <c r="A891" s="3">
        <f t="shared" si="1"/>
        <v>890</v>
      </c>
      <c r="B891" s="9" t="s">
        <v>6822</v>
      </c>
      <c r="C891" s="10">
        <v>38.965185</v>
      </c>
      <c r="D891" s="10">
        <v>-76.848701</v>
      </c>
      <c r="E891" s="9" t="s">
        <v>6823</v>
      </c>
      <c r="F891" s="9" t="s">
        <v>6824</v>
      </c>
      <c r="G891" s="9" t="s">
        <v>6825</v>
      </c>
      <c r="H891" s="9" t="s">
        <v>6826</v>
      </c>
      <c r="I891" s="9" t="s">
        <v>44</v>
      </c>
      <c r="J891" s="9" t="s">
        <v>6827</v>
      </c>
      <c r="K891" s="12" t="s">
        <v>6828</v>
      </c>
      <c r="L891" s="9" t="s">
        <v>6829</v>
      </c>
      <c r="M891" s="9">
        <v>85.03933199</v>
      </c>
      <c r="N891" s="10">
        <v>65.42572559</v>
      </c>
      <c r="O891" s="10" t="s">
        <v>6830</v>
      </c>
      <c r="P891" s="9">
        <v>9082026.0</v>
      </c>
      <c r="Q891" s="7" t="str">
        <f>IF(OR(ISBLANK(M891), ISBLANK(N891)), "", IF(N891 &lt; Sheet3!$B$6, "Insufficient Reviews", IF(M891 &gt;= Sheet3!$B$2, "Highly Reliable", IF(M891 &gt;= Sheet3!$B$3, "Reliable", IF(M891 &gt;= Sheet3!$B$4, "Mixed Reviews", "Low Reliability")))))</f>
        <v>Highly Reliable</v>
      </c>
    </row>
    <row r="892">
      <c r="A892" s="3">
        <f t="shared" si="1"/>
        <v>891</v>
      </c>
      <c r="B892" s="9" t="s">
        <v>6831</v>
      </c>
      <c r="C892" s="10">
        <v>39.001152</v>
      </c>
      <c r="D892" s="10">
        <v>-76.876418</v>
      </c>
      <c r="E892" s="9" t="s">
        <v>6832</v>
      </c>
      <c r="F892" s="9" t="s">
        <v>6833</v>
      </c>
      <c r="G892" s="9" t="s">
        <v>6834</v>
      </c>
      <c r="H892" s="9" t="s">
        <v>6835</v>
      </c>
      <c r="I892" s="9" t="s">
        <v>44</v>
      </c>
      <c r="J892" s="9" t="s">
        <v>6836</v>
      </c>
      <c r="K892" s="12" t="s">
        <v>6837</v>
      </c>
      <c r="L892" s="9" t="s">
        <v>6838</v>
      </c>
      <c r="M892" s="9">
        <v>52.24307302</v>
      </c>
      <c r="N892" s="10">
        <v>55.69994627</v>
      </c>
      <c r="O892" s="10" t="s">
        <v>6839</v>
      </c>
      <c r="P892" s="9">
        <v>9082026.0</v>
      </c>
      <c r="Q892" s="7" t="str">
        <f>IF(OR(ISBLANK(M892), ISBLANK(N892)), "", IF(N892 &lt; Sheet3!$B$6, "Insufficient Reviews", IF(M892 &gt;= Sheet3!$B$2, "Highly Reliable", IF(M892 &gt;= Sheet3!$B$3, "Reliable", IF(M892 &gt;= Sheet3!$B$4, "Mixed Reviews", "Low Reliability")))))</f>
        <v>Low Reliability</v>
      </c>
    </row>
    <row r="893">
      <c r="A893" s="3">
        <f t="shared" si="1"/>
        <v>892</v>
      </c>
      <c r="B893" s="9" t="s">
        <v>6840</v>
      </c>
      <c r="C893" s="10">
        <v>38.9782633</v>
      </c>
      <c r="D893" s="10">
        <v>-76.5493212</v>
      </c>
      <c r="E893" s="9" t="s">
        <v>6841</v>
      </c>
      <c r="F893" s="9" t="s">
        <v>6842</v>
      </c>
      <c r="G893" s="9"/>
      <c r="H893" s="9" t="s">
        <v>6843</v>
      </c>
      <c r="I893" s="9" t="s">
        <v>44</v>
      </c>
      <c r="J893" s="9" t="s">
        <v>6844</v>
      </c>
      <c r="K893" s="12" t="s">
        <v>6845</v>
      </c>
      <c r="L893" s="9" t="s">
        <v>6846</v>
      </c>
      <c r="M893" s="9">
        <v>78.46055739</v>
      </c>
      <c r="N893" s="10">
        <v>45.16980055</v>
      </c>
      <c r="O893" s="10" t="s">
        <v>807</v>
      </c>
      <c r="P893" s="9">
        <v>9082026.0</v>
      </c>
      <c r="Q893" s="7" t="str">
        <f>IF(OR(ISBLANK(M893), ISBLANK(N893)), "", IF(N893 &lt; Sheet3!$B$6, "Insufficient Reviews", IF(M893 &gt;= Sheet3!$B$2, "Highly Reliable", IF(M893 &gt;= Sheet3!$B$3, "Reliable", IF(M893 &gt;= Sheet3!$B$4, "Mixed Reviews", "Low Reliability")))))</f>
        <v>Reliable</v>
      </c>
    </row>
    <row r="894">
      <c r="A894" s="3">
        <f t="shared" si="1"/>
        <v>893</v>
      </c>
      <c r="B894" s="9" t="s">
        <v>6847</v>
      </c>
      <c r="C894" s="10">
        <v>38.9925159</v>
      </c>
      <c r="D894" s="10">
        <v>-76.8258751</v>
      </c>
      <c r="E894" s="9" t="s">
        <v>6848</v>
      </c>
      <c r="F894" s="9" t="s">
        <v>6849</v>
      </c>
      <c r="G894" s="9" t="s">
        <v>6850</v>
      </c>
      <c r="H894" s="9" t="s">
        <v>126</v>
      </c>
      <c r="I894" s="9" t="s">
        <v>44</v>
      </c>
      <c r="J894" s="9" t="s">
        <v>6851</v>
      </c>
      <c r="K894" s="9"/>
      <c r="L894" s="9" t="s">
        <v>6852</v>
      </c>
      <c r="M894" s="9">
        <v>74.28222646</v>
      </c>
      <c r="N894" s="10">
        <v>32.90765228</v>
      </c>
      <c r="O894" s="10" t="s">
        <v>6853</v>
      </c>
      <c r="P894" s="9">
        <v>9082026.0</v>
      </c>
      <c r="Q894" s="7" t="str">
        <f>IF(OR(ISBLANK(M894), ISBLANK(N894)), "", IF(N894 &lt; Sheet3!$B$6, "Insufficient Reviews", IF(M894 &gt;= Sheet3!$B$2, "Highly Reliable", IF(M894 &gt;= Sheet3!$B$3, "Reliable", IF(M894 &gt;= Sheet3!$B$4, "Mixed Reviews", "Low Reliability")))))</f>
        <v>Insufficient Reviews</v>
      </c>
    </row>
    <row r="895">
      <c r="A895" s="3">
        <f t="shared" si="1"/>
        <v>894</v>
      </c>
      <c r="B895" s="9" t="s">
        <v>6854</v>
      </c>
      <c r="C895" s="10">
        <v>39.0062305</v>
      </c>
      <c r="D895" s="10">
        <v>-76.6977874</v>
      </c>
      <c r="E895" s="9" t="s">
        <v>6855</v>
      </c>
      <c r="F895" s="9" t="s">
        <v>6856</v>
      </c>
      <c r="G895" s="9" t="s">
        <v>6562</v>
      </c>
      <c r="H895" s="9" t="s">
        <v>6857</v>
      </c>
      <c r="I895" s="9" t="s">
        <v>91</v>
      </c>
      <c r="J895" s="9" t="s">
        <v>6858</v>
      </c>
      <c r="K895" s="12" t="s">
        <v>6859</v>
      </c>
      <c r="L895" s="9" t="s">
        <v>6860</v>
      </c>
      <c r="M895" s="9">
        <v>81.32469669</v>
      </c>
      <c r="N895" s="10">
        <v>75.8786364</v>
      </c>
      <c r="O895" s="10" t="s">
        <v>6861</v>
      </c>
      <c r="P895" s="9">
        <v>9082026.0</v>
      </c>
      <c r="Q895" s="7" t="str">
        <f>IF(OR(ISBLANK(M895), ISBLANK(N895)), "", IF(N895 &lt; Sheet3!$B$6, "Insufficient Reviews", IF(M895 &gt;= Sheet3!$B$2, "Highly Reliable", IF(M895 &gt;= Sheet3!$B$3, "Reliable", IF(M895 &gt;= Sheet3!$B$4, "Mixed Reviews", "Low Reliability")))))</f>
        <v>Reliable</v>
      </c>
    </row>
    <row r="896">
      <c r="A896" s="3">
        <f t="shared" si="1"/>
        <v>895</v>
      </c>
      <c r="B896" s="9" t="s">
        <v>6862</v>
      </c>
      <c r="C896" s="10">
        <v>38.991158</v>
      </c>
      <c r="D896" s="10">
        <v>-76.8778108</v>
      </c>
      <c r="E896" s="9" t="s">
        <v>6863</v>
      </c>
      <c r="F896" s="9" t="s">
        <v>6864</v>
      </c>
      <c r="G896" s="9" t="s">
        <v>6865</v>
      </c>
      <c r="H896" s="9"/>
      <c r="I896" s="9" t="s">
        <v>44</v>
      </c>
      <c r="J896" s="9" t="s">
        <v>6866</v>
      </c>
      <c r="K896" s="12" t="s">
        <v>6867</v>
      </c>
      <c r="L896" s="9" t="s">
        <v>6868</v>
      </c>
      <c r="M896" s="10">
        <v>62.44227271</v>
      </c>
      <c r="N896" s="10">
        <v>53.13643657</v>
      </c>
      <c r="O896" s="9" t="s">
        <v>6869</v>
      </c>
      <c r="P896" s="9">
        <v>9082026.0</v>
      </c>
      <c r="Q896" s="7" t="str">
        <f>IF(OR(ISBLANK(M896), ISBLANK(N896)), "", IF(N896 &lt; Sheet3!$B$6, "Insufficient Reviews", IF(M896 &gt;= Sheet3!$B$2, "Highly Reliable", IF(M896 &gt;= Sheet3!$B$3, "Reliable", IF(M896 &gt;= Sheet3!$B$4, "Mixed Reviews", "Low Reliability")))))</f>
        <v>Mixed Reviews</v>
      </c>
    </row>
    <row r="897">
      <c r="A897" s="3">
        <f t="shared" si="1"/>
        <v>896</v>
      </c>
      <c r="B897" s="9" t="s">
        <v>6870</v>
      </c>
      <c r="C897" s="10">
        <v>38.9857676</v>
      </c>
      <c r="D897" s="10">
        <v>-76.7569622</v>
      </c>
      <c r="E897" s="9" t="s">
        <v>6871</v>
      </c>
      <c r="F897" s="9" t="s">
        <v>6872</v>
      </c>
      <c r="G897" s="9" t="s">
        <v>6873</v>
      </c>
      <c r="H897" s="9"/>
      <c r="I897" s="9" t="s">
        <v>44</v>
      </c>
      <c r="J897" s="9" t="s">
        <v>6874</v>
      </c>
      <c r="K897" s="12" t="s">
        <v>6875</v>
      </c>
      <c r="L897" s="9" t="s">
        <v>6876</v>
      </c>
      <c r="M897" s="9">
        <v>79.6963432</v>
      </c>
      <c r="N897" s="10">
        <v>46.99365777</v>
      </c>
      <c r="O897" s="10" t="s">
        <v>6877</v>
      </c>
      <c r="P897" s="9">
        <v>9082026.0</v>
      </c>
      <c r="Q897" s="7" t="str">
        <f>IF(OR(ISBLANK(M897), ISBLANK(N897)), "", IF(N897 &lt; Sheet3!$B$6, "Insufficient Reviews", IF(M897 &gt;= Sheet3!$B$2, "Highly Reliable", IF(M897 &gt;= Sheet3!$B$3, "Reliable", IF(M897 &gt;= Sheet3!$B$4, "Mixed Reviews", "Low Reliability")))))</f>
        <v>Reliable</v>
      </c>
    </row>
    <row r="898">
      <c r="A898" s="3">
        <f t="shared" si="1"/>
        <v>897</v>
      </c>
      <c r="B898" s="9" t="s">
        <v>6878</v>
      </c>
      <c r="C898" s="10">
        <v>38.9979128</v>
      </c>
      <c r="D898" s="10">
        <v>-77.0296843</v>
      </c>
      <c r="E898" s="9" t="s">
        <v>6879</v>
      </c>
      <c r="F898" s="9" t="s">
        <v>6880</v>
      </c>
      <c r="G898" s="9" t="s">
        <v>6881</v>
      </c>
      <c r="H898" s="9" t="s">
        <v>2775</v>
      </c>
      <c r="I898" s="9" t="s">
        <v>44</v>
      </c>
      <c r="J898" s="9" t="s">
        <v>6882</v>
      </c>
      <c r="K898" s="12" t="s">
        <v>6883</v>
      </c>
      <c r="L898" s="9" t="s">
        <v>6884</v>
      </c>
      <c r="M898" s="9">
        <v>60.02608114</v>
      </c>
      <c r="N898" s="10">
        <v>60.56588206</v>
      </c>
      <c r="O898" s="10" t="s">
        <v>6885</v>
      </c>
      <c r="P898" s="9">
        <v>9082026.0</v>
      </c>
      <c r="Q898" s="7" t="str">
        <f>IF(OR(ISBLANK(M898), ISBLANK(N898)), "", IF(N898 &lt; Sheet3!$B$6, "Insufficient Reviews", IF(M898 &gt;= Sheet3!$B$2, "Highly Reliable", IF(M898 &gt;= Sheet3!$B$3, "Reliable", IF(M898 &gt;= Sheet3!$B$4, "Mixed Reviews", "Low Reliability")))))</f>
        <v>Mixed Reviews</v>
      </c>
    </row>
    <row r="899">
      <c r="A899" s="3">
        <f t="shared" si="1"/>
        <v>898</v>
      </c>
      <c r="B899" s="9" t="s">
        <v>6886</v>
      </c>
      <c r="C899" s="10">
        <v>38.9982652</v>
      </c>
      <c r="D899" s="10">
        <v>-77.033369</v>
      </c>
      <c r="E899" s="9" t="s">
        <v>6887</v>
      </c>
      <c r="F899" s="9" t="s">
        <v>6888</v>
      </c>
      <c r="G899" s="9" t="s">
        <v>6889</v>
      </c>
      <c r="H899" s="9" t="s">
        <v>6890</v>
      </c>
      <c r="I899" s="9" t="s">
        <v>44</v>
      </c>
      <c r="J899" s="9" t="s">
        <v>6891</v>
      </c>
      <c r="K899" s="12" t="s">
        <v>6892</v>
      </c>
      <c r="L899" s="9" t="s">
        <v>6893</v>
      </c>
      <c r="M899" s="9">
        <v>80.03853124</v>
      </c>
      <c r="N899" s="10">
        <v>69.47038729</v>
      </c>
      <c r="O899" s="10" t="s">
        <v>6894</v>
      </c>
      <c r="P899" s="9">
        <v>9082026.0</v>
      </c>
      <c r="Q899" s="7" t="str">
        <f>IF(OR(ISBLANK(M899), ISBLANK(N899)), "", IF(N899 &lt; Sheet3!$B$6, "Insufficient Reviews", IF(M899 &gt;= Sheet3!$B$2, "Highly Reliable", IF(M899 &gt;= Sheet3!$B$3, "Reliable", IF(M899 &gt;= Sheet3!$B$4, "Mixed Reviews", "Low Reliability")))))</f>
        <v>Reliable</v>
      </c>
    </row>
    <row r="900">
      <c r="A900" s="3">
        <f t="shared" si="1"/>
        <v>899</v>
      </c>
      <c r="B900" s="9" t="s">
        <v>6895</v>
      </c>
      <c r="C900" s="10">
        <v>38.9976587</v>
      </c>
      <c r="D900" s="10">
        <v>-77.033962</v>
      </c>
      <c r="E900" s="9" t="s">
        <v>6896</v>
      </c>
      <c r="F900" s="9" t="s">
        <v>6897</v>
      </c>
      <c r="G900" s="9"/>
      <c r="H900" s="9" t="s">
        <v>6898</v>
      </c>
      <c r="I900" s="9" t="s">
        <v>203</v>
      </c>
      <c r="J900" s="9" t="s">
        <v>6899</v>
      </c>
      <c r="K900" s="12" t="s">
        <v>6900</v>
      </c>
      <c r="L900" s="9" t="s">
        <v>6901</v>
      </c>
      <c r="M900" s="9">
        <v>70.47931507</v>
      </c>
      <c r="N900" s="10">
        <v>57.82673065</v>
      </c>
      <c r="O900" s="10" t="s">
        <v>6902</v>
      </c>
      <c r="P900" s="9">
        <v>9082026.0</v>
      </c>
      <c r="Q900" s="7" t="str">
        <f>IF(OR(ISBLANK(M900), ISBLANK(N900)), "", IF(N900 &lt; Sheet3!$B$6, "Insufficient Reviews", IF(M900 &gt;= Sheet3!$B$2, "Highly Reliable", IF(M900 &gt;= Sheet3!$B$3, "Reliable", IF(M900 &gt;= Sheet3!$B$4, "Mixed Reviews", "Low Reliability")))))</f>
        <v>Reliable</v>
      </c>
    </row>
    <row r="901">
      <c r="A901" s="3">
        <f t="shared" si="1"/>
        <v>900</v>
      </c>
      <c r="B901" s="9" t="s">
        <v>6903</v>
      </c>
      <c r="C901" s="10">
        <v>38.9833408</v>
      </c>
      <c r="D901" s="10">
        <v>-76.9801026</v>
      </c>
      <c r="E901" s="9" t="s">
        <v>6904</v>
      </c>
      <c r="F901" s="9" t="s">
        <v>6905</v>
      </c>
      <c r="G901" s="9" t="s">
        <v>6906</v>
      </c>
      <c r="H901" s="9" t="s">
        <v>6907</v>
      </c>
      <c r="I901" s="9" t="s">
        <v>44</v>
      </c>
      <c r="J901" s="9" t="s">
        <v>6908</v>
      </c>
      <c r="K901" s="12" t="s">
        <v>6909</v>
      </c>
      <c r="L901" s="9" t="s">
        <v>6910</v>
      </c>
      <c r="M901" s="9">
        <v>81.03494146</v>
      </c>
      <c r="N901" s="10">
        <v>60.048756</v>
      </c>
      <c r="O901" s="10" t="s">
        <v>6911</v>
      </c>
      <c r="P901" s="9">
        <v>9082026.0</v>
      </c>
      <c r="Q901" s="7" t="str">
        <f>IF(OR(ISBLANK(M901), ISBLANK(N901)), "", IF(N901 &lt; Sheet3!$B$6, "Insufficient Reviews", IF(M901 &gt;= Sheet3!$B$2, "Highly Reliable", IF(M901 &gt;= Sheet3!$B$3, "Reliable", IF(M901 &gt;= Sheet3!$B$4, "Mixed Reviews", "Low Reliability")))))</f>
        <v>Reliable</v>
      </c>
    </row>
    <row r="902">
      <c r="A902" s="3">
        <f t="shared" si="1"/>
        <v>901</v>
      </c>
      <c r="B902" s="9" t="s">
        <v>6912</v>
      </c>
      <c r="C902" s="10">
        <v>38.975369</v>
      </c>
      <c r="D902" s="10">
        <v>-77.0209687</v>
      </c>
      <c r="E902" s="9" t="s">
        <v>6913</v>
      </c>
      <c r="F902" s="9" t="s">
        <v>6914</v>
      </c>
      <c r="G902" s="9" t="s">
        <v>6915</v>
      </c>
      <c r="H902" s="9" t="s">
        <v>6916</v>
      </c>
      <c r="I902" s="9" t="s">
        <v>44</v>
      </c>
      <c r="J902" s="9" t="s">
        <v>6917</v>
      </c>
      <c r="K902" s="12" t="s">
        <v>6918</v>
      </c>
      <c r="L902" s="9" t="s">
        <v>6919</v>
      </c>
      <c r="M902" s="9">
        <v>73.5</v>
      </c>
      <c r="N902" s="10">
        <v>35.6627623</v>
      </c>
      <c r="O902" s="10" t="s">
        <v>4216</v>
      </c>
      <c r="P902" s="9">
        <v>9082026.0</v>
      </c>
      <c r="Q902" s="7" t="str">
        <f>IF(OR(ISBLANK(M902), ISBLANK(N902)), "", IF(N902 &lt; Sheet3!$B$6, "Insufficient Reviews", IF(M902 &gt;= Sheet3!$B$2, "Highly Reliable", IF(M902 &gt;= Sheet3!$B$3, "Reliable", IF(M902 &gt;= Sheet3!$B$4, "Mixed Reviews", "Low Reliability")))))</f>
        <v>Insufficient Reviews</v>
      </c>
    </row>
    <row r="903">
      <c r="A903" s="3">
        <f t="shared" si="1"/>
        <v>902</v>
      </c>
      <c r="B903" s="9" t="s">
        <v>6920</v>
      </c>
      <c r="C903" s="10">
        <v>38.9505006</v>
      </c>
      <c r="D903" s="10">
        <v>-76.8659572</v>
      </c>
      <c r="E903" s="9" t="s">
        <v>6921</v>
      </c>
      <c r="F903" s="9" t="s">
        <v>6922</v>
      </c>
      <c r="G903" s="9"/>
      <c r="H903" s="9" t="s">
        <v>6923</v>
      </c>
      <c r="I903" s="9" t="s">
        <v>44</v>
      </c>
      <c r="J903" s="9" t="s">
        <v>6924</v>
      </c>
      <c r="K903" s="9"/>
      <c r="L903" s="9" t="s">
        <v>6925</v>
      </c>
      <c r="M903" s="9">
        <v>58.2890986</v>
      </c>
      <c r="N903" s="10">
        <v>40.87499601</v>
      </c>
      <c r="O903" s="10" t="s">
        <v>6926</v>
      </c>
      <c r="P903" s="9">
        <v>9082026.0</v>
      </c>
      <c r="Q903" s="7" t="str">
        <f>IF(OR(ISBLANK(M903), ISBLANK(N903)), "", IF(N903 &lt; Sheet3!$B$6, "Insufficient Reviews", IF(M903 &gt;= Sheet3!$B$2, "Highly Reliable", IF(M903 &gt;= Sheet3!$B$3, "Reliable", IF(M903 &gt;= Sheet3!$B$4, "Mixed Reviews", "Low Reliability")))))</f>
        <v>Low Reliability</v>
      </c>
    </row>
    <row r="904">
      <c r="A904" s="3">
        <f t="shared" si="1"/>
        <v>903</v>
      </c>
      <c r="B904" s="9" t="s">
        <v>6927</v>
      </c>
      <c r="C904" s="10">
        <v>38.9490346</v>
      </c>
      <c r="D904" s="10">
        <v>-76.8654298</v>
      </c>
      <c r="E904" s="9" t="s">
        <v>6928</v>
      </c>
      <c r="F904" s="9" t="s">
        <v>6929</v>
      </c>
      <c r="G904" s="11"/>
      <c r="H904" s="9" t="s">
        <v>6930</v>
      </c>
      <c r="I904" s="9" t="s">
        <v>44</v>
      </c>
      <c r="J904" s="9" t="s">
        <v>6931</v>
      </c>
      <c r="K904" s="12" t="s">
        <v>6932</v>
      </c>
      <c r="L904" s="9" t="s">
        <v>6933</v>
      </c>
      <c r="M904" s="9">
        <v>64.52127555</v>
      </c>
      <c r="N904" s="10">
        <v>69.91531321</v>
      </c>
      <c r="O904" s="10" t="s">
        <v>6934</v>
      </c>
      <c r="P904" s="9">
        <v>9082026.0</v>
      </c>
      <c r="Q904" s="7" t="str">
        <f>IF(OR(ISBLANK(M904), ISBLANK(N904)), "", IF(N904 &lt; Sheet3!$B$6, "Insufficient Reviews", IF(M904 &gt;= Sheet3!$B$2, "Highly Reliable", IF(M904 &gt;= Sheet3!$B$3, "Reliable", IF(M904 &gt;= Sheet3!$B$4, "Mixed Reviews", "Low Reliability")))))</f>
        <v>Mixed Reviews</v>
      </c>
    </row>
    <row r="905">
      <c r="A905" s="3">
        <f t="shared" si="1"/>
        <v>904</v>
      </c>
      <c r="B905" s="9" t="s">
        <v>6935</v>
      </c>
      <c r="C905" s="10">
        <v>38.9487864</v>
      </c>
      <c r="D905" s="10">
        <v>-76.8671269</v>
      </c>
      <c r="E905" s="9" t="s">
        <v>6936</v>
      </c>
      <c r="F905" s="9" t="s">
        <v>6937</v>
      </c>
      <c r="G905" s="9" t="s">
        <v>6938</v>
      </c>
      <c r="H905" s="9" t="s">
        <v>6460</v>
      </c>
      <c r="I905" s="9" t="s">
        <v>44</v>
      </c>
      <c r="J905" s="9" t="s">
        <v>6939</v>
      </c>
      <c r="K905" s="12" t="s">
        <v>6940</v>
      </c>
      <c r="L905" s="9" t="s">
        <v>6941</v>
      </c>
      <c r="M905" s="9">
        <v>16.5</v>
      </c>
      <c r="N905" s="10">
        <v>31.83333333</v>
      </c>
      <c r="O905" s="10" t="s">
        <v>290</v>
      </c>
      <c r="P905" s="9">
        <v>9082026.0</v>
      </c>
      <c r="Q905" s="7" t="str">
        <f>IF(OR(ISBLANK(M905), ISBLANK(N905)), "", IF(N905 &lt; Sheet3!$B$6, "Insufficient Reviews", IF(M905 &gt;= Sheet3!$B$2, "Highly Reliable", IF(M905 &gt;= Sheet3!$B$3, "Reliable", IF(M905 &gt;= Sheet3!$B$4, "Mixed Reviews", "Low Reliability")))))</f>
        <v>Insufficient Reviews</v>
      </c>
    </row>
    <row r="906">
      <c r="A906" s="3">
        <f t="shared" si="1"/>
        <v>905</v>
      </c>
      <c r="B906" s="9" t="s">
        <v>6942</v>
      </c>
      <c r="C906" s="10">
        <v>38.9654241</v>
      </c>
      <c r="D906" s="10">
        <v>-77.0762892</v>
      </c>
      <c r="E906" s="9" t="s">
        <v>6943</v>
      </c>
      <c r="F906" s="9" t="s">
        <v>6944</v>
      </c>
      <c r="G906" s="9"/>
      <c r="H906" s="9" t="s">
        <v>3846</v>
      </c>
      <c r="I906" s="9" t="s">
        <v>91</v>
      </c>
      <c r="J906" s="9" t="s">
        <v>6945</v>
      </c>
      <c r="K906" s="12" t="s">
        <v>6946</v>
      </c>
      <c r="L906" s="9" t="s">
        <v>6947</v>
      </c>
      <c r="M906" s="9">
        <v>40.63001668</v>
      </c>
      <c r="N906" s="10">
        <v>47.04762851</v>
      </c>
      <c r="O906" s="10" t="s">
        <v>6948</v>
      </c>
      <c r="P906" s="9">
        <v>9082026.0</v>
      </c>
      <c r="Q906" s="7" t="str">
        <f>IF(OR(ISBLANK(M906), ISBLANK(N906)), "", IF(N906 &lt; Sheet3!$B$6, "Insufficient Reviews", IF(M906 &gt;= Sheet3!$B$2, "Highly Reliable", IF(M906 &gt;= Sheet3!$B$3, "Reliable", IF(M906 &gt;= Sheet3!$B$4, "Mixed Reviews", "Low Reliability")))))</f>
        <v>Low Reliability</v>
      </c>
    </row>
    <row r="907">
      <c r="A907" s="3">
        <f t="shared" si="1"/>
        <v>906</v>
      </c>
      <c r="B907" s="9" t="s">
        <v>6949</v>
      </c>
      <c r="C907" s="10">
        <v>38.995261</v>
      </c>
      <c r="D907" s="10">
        <v>-76.537243</v>
      </c>
      <c r="E907" s="9" t="s">
        <v>6950</v>
      </c>
      <c r="F907" s="9" t="s">
        <v>6951</v>
      </c>
      <c r="G907" s="9" t="s">
        <v>6952</v>
      </c>
      <c r="H907" s="9" t="s">
        <v>6339</v>
      </c>
      <c r="I907" s="9" t="s">
        <v>91</v>
      </c>
      <c r="J907" s="9" t="s">
        <v>6953</v>
      </c>
      <c r="K907" s="12" t="s">
        <v>6954</v>
      </c>
      <c r="L907" s="9" t="s">
        <v>6955</v>
      </c>
      <c r="M907" s="9">
        <v>83.93540889</v>
      </c>
      <c r="N907" s="10">
        <v>73.2076068</v>
      </c>
      <c r="O907" s="10" t="s">
        <v>6956</v>
      </c>
      <c r="P907" s="9">
        <v>9082026.0</v>
      </c>
      <c r="Q907" s="7" t="str">
        <f>IF(OR(ISBLANK(M907), ISBLANK(N907)), "", IF(N907 &lt; Sheet3!$B$6, "Insufficient Reviews", IF(M907 &gt;= Sheet3!$B$2, "Highly Reliable", IF(M907 &gt;= Sheet3!$B$3, "Reliable", IF(M907 &gt;= Sheet3!$B$4, "Mixed Reviews", "Low Reliability")))))</f>
        <v>Highly Reliable</v>
      </c>
    </row>
    <row r="908">
      <c r="A908" s="3">
        <f t="shared" si="1"/>
        <v>907</v>
      </c>
      <c r="B908" s="9" t="s">
        <v>6957</v>
      </c>
      <c r="C908" s="10">
        <v>38.963951</v>
      </c>
      <c r="D908" s="10">
        <v>-77.0905343</v>
      </c>
      <c r="E908" s="9" t="s">
        <v>6958</v>
      </c>
      <c r="F908" s="9" t="s">
        <v>6959</v>
      </c>
      <c r="G908" s="9" t="s">
        <v>6960</v>
      </c>
      <c r="H908" s="9" t="s">
        <v>6339</v>
      </c>
      <c r="I908" s="9" t="s">
        <v>44</v>
      </c>
      <c r="J908" s="9" t="s">
        <v>6961</v>
      </c>
      <c r="K908" s="12" t="s">
        <v>6962</v>
      </c>
      <c r="L908" s="9" t="s">
        <v>6963</v>
      </c>
      <c r="M908" s="9">
        <v>81.13478977</v>
      </c>
      <c r="N908" s="10">
        <v>72.2097385</v>
      </c>
      <c r="O908" s="10" t="s">
        <v>6964</v>
      </c>
      <c r="P908" s="9">
        <v>9082026.0</v>
      </c>
      <c r="Q908" s="7" t="str">
        <f>IF(OR(ISBLANK(M908), ISBLANK(N908)), "", IF(N908 &lt; Sheet3!$B$6, "Insufficient Reviews", IF(M908 &gt;= Sheet3!$B$2, "Highly Reliable", IF(M908 &gt;= Sheet3!$B$3, "Reliable", IF(M908 &gt;= Sheet3!$B$4, "Mixed Reviews", "Low Reliability")))))</f>
        <v>Reliable</v>
      </c>
    </row>
    <row r="909">
      <c r="A909" s="3">
        <f t="shared" si="1"/>
        <v>908</v>
      </c>
      <c r="B909" s="9" t="s">
        <v>6965</v>
      </c>
      <c r="C909" s="10">
        <v>38.9330739</v>
      </c>
      <c r="D909" s="10">
        <v>-76.9039008</v>
      </c>
      <c r="E909" s="9" t="s">
        <v>6966</v>
      </c>
      <c r="F909" s="9" t="s">
        <v>6967</v>
      </c>
      <c r="G909" s="9" t="s">
        <v>4186</v>
      </c>
      <c r="H909" s="9" t="s">
        <v>6968</v>
      </c>
      <c r="I909" s="9" t="s">
        <v>44</v>
      </c>
      <c r="J909" s="9" t="s">
        <v>6969</v>
      </c>
      <c r="K909" s="12" t="s">
        <v>6970</v>
      </c>
      <c r="L909" s="9" t="s">
        <v>6971</v>
      </c>
      <c r="M909" s="9">
        <v>15.0</v>
      </c>
      <c r="N909" s="10">
        <v>31.83333333</v>
      </c>
      <c r="O909" s="10" t="s">
        <v>634</v>
      </c>
      <c r="P909" s="9">
        <v>9082026.0</v>
      </c>
      <c r="Q909" s="7" t="str">
        <f>IF(OR(ISBLANK(M909), ISBLANK(N909)), "", IF(N909 &lt; Sheet3!$B$6, "Insufficient Reviews", IF(M909 &gt;= Sheet3!$B$2, "Highly Reliable", IF(M909 &gt;= Sheet3!$B$3, "Reliable", IF(M909 &gt;= Sheet3!$B$4, "Mixed Reviews", "Low Reliability")))))</f>
        <v>Insufficient Reviews</v>
      </c>
    </row>
    <row r="910">
      <c r="A910" s="3">
        <f t="shared" si="1"/>
        <v>909</v>
      </c>
      <c r="B910" s="9" t="s">
        <v>6972</v>
      </c>
      <c r="C910" s="10">
        <v>38.9317073</v>
      </c>
      <c r="D910" s="10">
        <v>-76.7342383</v>
      </c>
      <c r="E910" s="9" t="s">
        <v>6973</v>
      </c>
      <c r="F910" s="9" t="s">
        <v>6974</v>
      </c>
      <c r="G910" s="9"/>
      <c r="H910" s="9" t="s">
        <v>1476</v>
      </c>
      <c r="I910" s="9" t="s">
        <v>44</v>
      </c>
      <c r="J910" s="9" t="s">
        <v>6975</v>
      </c>
      <c r="K910" s="12" t="s">
        <v>6976</v>
      </c>
      <c r="L910" s="9" t="s">
        <v>6977</v>
      </c>
      <c r="M910" s="9">
        <v>16.5</v>
      </c>
      <c r="N910" s="10">
        <v>31.83333333</v>
      </c>
      <c r="O910" s="10" t="s">
        <v>290</v>
      </c>
      <c r="P910" s="9">
        <v>9082026.0</v>
      </c>
      <c r="Q910" s="7" t="str">
        <f>IF(OR(ISBLANK(M910), ISBLANK(N910)), "", IF(N910 &lt; Sheet3!$B$6, "Insufficient Reviews", IF(M910 &gt;= Sheet3!$B$2, "Highly Reliable", IF(M910 &gt;= Sheet3!$B$3, "Reliable", IF(M910 &gt;= Sheet3!$B$4, "Mixed Reviews", "Low Reliability")))))</f>
        <v>Insufficient Reviews</v>
      </c>
    </row>
    <row r="911">
      <c r="A911" s="3">
        <f t="shared" si="1"/>
        <v>910</v>
      </c>
      <c r="B911" s="9" t="s">
        <v>6978</v>
      </c>
      <c r="C911" s="10">
        <v>38.9774391</v>
      </c>
      <c r="D911" s="10">
        <v>-76.5389334</v>
      </c>
      <c r="E911" s="9" t="s">
        <v>6979</v>
      </c>
      <c r="F911" s="9" t="s">
        <v>6325</v>
      </c>
      <c r="G911" s="9" t="s">
        <v>6980</v>
      </c>
      <c r="H911" s="9" t="s">
        <v>3846</v>
      </c>
      <c r="I911" s="9" t="s">
        <v>44</v>
      </c>
      <c r="J911" s="9" t="s">
        <v>6981</v>
      </c>
      <c r="K911" s="12" t="s">
        <v>6982</v>
      </c>
      <c r="L911" s="9" t="s">
        <v>6983</v>
      </c>
      <c r="M911" s="9">
        <v>44.64262768</v>
      </c>
      <c r="N911" s="10">
        <v>69.44324903</v>
      </c>
      <c r="O911" s="10" t="s">
        <v>6984</v>
      </c>
      <c r="P911" s="9">
        <v>9082026.0</v>
      </c>
      <c r="Q911" s="7" t="str">
        <f>IF(OR(ISBLANK(M911), ISBLANK(N911)), "", IF(N911 &lt; Sheet3!$B$6, "Insufficient Reviews", IF(M911 &gt;= Sheet3!$B$2, "Highly Reliable", IF(M911 &gt;= Sheet3!$B$3, "Reliable", IF(M911 &gt;= Sheet3!$B$4, "Mixed Reviews", "Low Reliability")))))</f>
        <v>Low Reliability</v>
      </c>
    </row>
    <row r="912">
      <c r="A912" s="3">
        <f t="shared" si="1"/>
        <v>911</v>
      </c>
      <c r="B912" s="9" t="s">
        <v>6985</v>
      </c>
      <c r="C912" s="10">
        <v>38.9292248</v>
      </c>
      <c r="D912" s="10">
        <v>-77.0144978</v>
      </c>
      <c r="E912" s="9" t="s">
        <v>6986</v>
      </c>
      <c r="F912" s="9" t="s">
        <v>6987</v>
      </c>
      <c r="G912" s="9"/>
      <c r="H912" s="9" t="s">
        <v>135</v>
      </c>
      <c r="I912" s="9" t="s">
        <v>91</v>
      </c>
      <c r="J912" s="9" t="s">
        <v>6988</v>
      </c>
      <c r="K912" s="12" t="s">
        <v>6989</v>
      </c>
      <c r="L912" s="9" t="s">
        <v>6990</v>
      </c>
      <c r="M912" s="9">
        <v>76.81385356</v>
      </c>
      <c r="N912" s="10">
        <v>71.75845402</v>
      </c>
      <c r="O912" s="10" t="s">
        <v>1335</v>
      </c>
      <c r="P912" s="9">
        <v>9082026.0</v>
      </c>
      <c r="Q912" s="7" t="str">
        <f>IF(OR(ISBLANK(M912), ISBLANK(N912)), "", IF(N912 &lt; Sheet3!$B$6, "Insufficient Reviews", IF(M912 &gt;= Sheet3!$B$2, "Highly Reliable", IF(M912 &gt;= Sheet3!$B$3, "Reliable", IF(M912 &gt;= Sheet3!$B$4, "Mixed Reviews", "Low Reliability")))))</f>
        <v>Reliable</v>
      </c>
    </row>
    <row r="913">
      <c r="A913" s="3">
        <f t="shared" si="1"/>
        <v>912</v>
      </c>
      <c r="B913" s="9" t="s">
        <v>6991</v>
      </c>
      <c r="C913" s="10">
        <v>39.3135472</v>
      </c>
      <c r="D913" s="10">
        <v>-76.7291033</v>
      </c>
      <c r="E913" s="9" t="s">
        <v>6992</v>
      </c>
      <c r="F913" s="9" t="s">
        <v>6993</v>
      </c>
      <c r="G913" s="9"/>
      <c r="H913" s="9" t="s">
        <v>3216</v>
      </c>
      <c r="I913" s="9" t="s">
        <v>44</v>
      </c>
      <c r="J913" s="9" t="s">
        <v>6994</v>
      </c>
      <c r="K913" s="12" t="s">
        <v>6995</v>
      </c>
      <c r="L913" s="9" t="s">
        <v>6996</v>
      </c>
      <c r="M913" s="10">
        <v>66.33898881</v>
      </c>
      <c r="N913" s="10">
        <v>61.59857545</v>
      </c>
      <c r="O913" s="9" t="s">
        <v>6997</v>
      </c>
      <c r="P913" s="9">
        <v>9082026.0</v>
      </c>
      <c r="Q913" s="7" t="str">
        <f>IF(OR(ISBLANK(M913), ISBLANK(N913)), "", IF(N913 &lt; Sheet3!$B$6, "Insufficient Reviews", IF(M913 &gt;= Sheet3!$B$2, "Highly Reliable", IF(M913 &gt;= Sheet3!$B$3, "Reliable", IF(M913 &gt;= Sheet3!$B$4, "Mixed Reviews", "Low Reliability")))))</f>
        <v>Mixed Reviews</v>
      </c>
    </row>
    <row r="914">
      <c r="A914" s="3">
        <f t="shared" si="1"/>
        <v>913</v>
      </c>
      <c r="B914" s="9" t="s">
        <v>6998</v>
      </c>
      <c r="C914" s="10">
        <v>38.9091081</v>
      </c>
      <c r="D914" s="10">
        <v>-76.8366843</v>
      </c>
      <c r="E914" s="9" t="s">
        <v>6999</v>
      </c>
      <c r="F914" s="9" t="s">
        <v>7000</v>
      </c>
      <c r="G914" s="9"/>
      <c r="H914" s="9" t="s">
        <v>7001</v>
      </c>
      <c r="I914" s="9" t="s">
        <v>44</v>
      </c>
      <c r="J914" s="9" t="s">
        <v>7002</v>
      </c>
      <c r="K914" s="12" t="s">
        <v>7003</v>
      </c>
      <c r="L914" s="9" t="s">
        <v>7004</v>
      </c>
      <c r="M914" s="9">
        <v>76.5</v>
      </c>
      <c r="N914" s="10">
        <v>35.6627623</v>
      </c>
      <c r="O914" s="10" t="s">
        <v>4216</v>
      </c>
      <c r="P914" s="9">
        <v>9082026.0</v>
      </c>
      <c r="Q914" s="7" t="str">
        <f>IF(OR(ISBLANK(M914), ISBLANK(N914)), "", IF(N914 &lt; Sheet3!$B$6, "Insufficient Reviews", IF(M914 &gt;= Sheet3!$B$2, "Highly Reliable", IF(M914 &gt;= Sheet3!$B$3, "Reliable", IF(M914 &gt;= Sheet3!$B$4, "Mixed Reviews", "Low Reliability")))))</f>
        <v>Insufficient Reviews</v>
      </c>
    </row>
    <row r="915">
      <c r="A915" s="3">
        <f t="shared" si="1"/>
        <v>914</v>
      </c>
      <c r="B915" s="9" t="s">
        <v>7005</v>
      </c>
      <c r="C915" s="10">
        <v>38.9081764</v>
      </c>
      <c r="D915" s="10">
        <v>-76.8388363</v>
      </c>
      <c r="E915" s="9" t="s">
        <v>7006</v>
      </c>
      <c r="F915" s="9" t="s">
        <v>7007</v>
      </c>
      <c r="G915" s="9" t="s">
        <v>4186</v>
      </c>
      <c r="H915" s="9" t="s">
        <v>126</v>
      </c>
      <c r="I915" s="9" t="s">
        <v>44</v>
      </c>
      <c r="J915" s="9" t="s">
        <v>7008</v>
      </c>
      <c r="K915" s="12" t="s">
        <v>7009</v>
      </c>
      <c r="L915" s="9" t="s">
        <v>7010</v>
      </c>
      <c r="M915" s="9">
        <v>48.25414153</v>
      </c>
      <c r="N915" s="10">
        <v>55.0457004</v>
      </c>
      <c r="O915" s="10" t="s">
        <v>7011</v>
      </c>
      <c r="P915" s="9">
        <v>9082026.0</v>
      </c>
      <c r="Q915" s="7" t="str">
        <f>IF(OR(ISBLANK(M915), ISBLANK(N915)), "", IF(N915 &lt; Sheet3!$B$6, "Insufficient Reviews", IF(M915 &gt;= Sheet3!$B$2, "Highly Reliable", IF(M915 &gt;= Sheet3!$B$3, "Reliable", IF(M915 &gt;= Sheet3!$B$4, "Mixed Reviews", "Low Reliability")))))</f>
        <v>Low Reliability</v>
      </c>
    </row>
    <row r="916">
      <c r="A916" s="3">
        <f t="shared" si="1"/>
        <v>915</v>
      </c>
      <c r="B916" s="9" t="s">
        <v>7012</v>
      </c>
      <c r="C916" s="10">
        <v>38.907185</v>
      </c>
      <c r="D916" s="10">
        <v>-76.845831</v>
      </c>
      <c r="E916" s="9" t="s">
        <v>7013</v>
      </c>
      <c r="F916" s="9" t="s">
        <v>7014</v>
      </c>
      <c r="G916" s="9" t="s">
        <v>7015</v>
      </c>
      <c r="H916" s="9" t="s">
        <v>126</v>
      </c>
      <c r="I916" s="9" t="s">
        <v>44</v>
      </c>
      <c r="J916" s="9" t="s">
        <v>7016</v>
      </c>
      <c r="K916" s="12" t="s">
        <v>7017</v>
      </c>
      <c r="L916" s="9" t="s">
        <v>7018</v>
      </c>
      <c r="M916" s="9">
        <v>82.83514817</v>
      </c>
      <c r="N916" s="10">
        <v>60.1320178</v>
      </c>
      <c r="O916" s="10" t="s">
        <v>7019</v>
      </c>
      <c r="P916" s="9">
        <v>9082026.0</v>
      </c>
      <c r="Q916" s="7" t="str">
        <f>IF(OR(ISBLANK(M916), ISBLANK(N916)), "", IF(N916 &lt; Sheet3!$B$6, "Insufficient Reviews", IF(M916 &gt;= Sheet3!$B$2, "Highly Reliable", IF(M916 &gt;= Sheet3!$B$3, "Reliable", IF(M916 &gt;= Sheet3!$B$4, "Mixed Reviews", "Low Reliability")))))</f>
        <v>Highly Reliable</v>
      </c>
    </row>
    <row r="917">
      <c r="A917" s="3">
        <f t="shared" si="1"/>
        <v>916</v>
      </c>
      <c r="B917" s="9" t="s">
        <v>7020</v>
      </c>
      <c r="C917" s="10">
        <v>38.9060245</v>
      </c>
      <c r="D917" s="10">
        <v>-76.8392355</v>
      </c>
      <c r="E917" s="9" t="s">
        <v>7021</v>
      </c>
      <c r="F917" s="9" t="s">
        <v>7022</v>
      </c>
      <c r="G917" s="9" t="s">
        <v>4186</v>
      </c>
      <c r="H917" s="9" t="s">
        <v>419</v>
      </c>
      <c r="I917" s="9" t="s">
        <v>44</v>
      </c>
      <c r="J917" s="9" t="s">
        <v>7023</v>
      </c>
      <c r="K917" s="12" t="s">
        <v>7024</v>
      </c>
      <c r="L917" s="9" t="s">
        <v>7025</v>
      </c>
      <c r="M917" s="9">
        <v>13.5</v>
      </c>
      <c r="N917" s="10">
        <v>30.18333333</v>
      </c>
      <c r="O917" s="10" t="s">
        <v>7026</v>
      </c>
      <c r="P917" s="9">
        <v>9082026.0</v>
      </c>
      <c r="Q917" s="7" t="str">
        <f>IF(OR(ISBLANK(M917), ISBLANK(N917)), "", IF(N917 &lt; Sheet3!$B$6, "Insufficient Reviews", IF(M917 &gt;= Sheet3!$B$2, "Highly Reliable", IF(M917 &gt;= Sheet3!$B$3, "Reliable", IF(M917 &gt;= Sheet3!$B$4, "Mixed Reviews", "Low Reliability")))))</f>
        <v>Insufficient Reviews</v>
      </c>
    </row>
    <row r="918">
      <c r="A918" s="3">
        <f t="shared" si="1"/>
        <v>917</v>
      </c>
      <c r="B918" s="9" t="s">
        <v>7027</v>
      </c>
      <c r="C918" s="10">
        <v>38.9044994</v>
      </c>
      <c r="D918" s="10">
        <v>-76.8384907</v>
      </c>
      <c r="E918" s="9" t="s">
        <v>7028</v>
      </c>
      <c r="F918" s="9" t="s">
        <v>7029</v>
      </c>
      <c r="G918" s="11"/>
      <c r="H918" s="11"/>
      <c r="I918" s="9" t="s">
        <v>35</v>
      </c>
      <c r="J918" s="9" t="s">
        <v>7030</v>
      </c>
      <c r="K918" s="12" t="s">
        <v>7031</v>
      </c>
      <c r="L918" s="9" t="s">
        <v>7032</v>
      </c>
      <c r="M918" s="9">
        <v>50.06120507</v>
      </c>
      <c r="N918" s="10">
        <v>68.78480956</v>
      </c>
      <c r="O918" s="10" t="s">
        <v>7033</v>
      </c>
      <c r="P918" s="9">
        <v>9082026.0</v>
      </c>
      <c r="Q918" s="7" t="str">
        <f>IF(OR(ISBLANK(M918), ISBLANK(N918)), "", IF(N918 &lt; Sheet3!$B$6, "Insufficient Reviews", IF(M918 &gt;= Sheet3!$B$2, "Highly Reliable", IF(M918 &gt;= Sheet3!$B$3, "Reliable", IF(M918 &gt;= Sheet3!$B$4, "Mixed Reviews", "Low Reliability")))))</f>
        <v>Low Reliability</v>
      </c>
    </row>
    <row r="919">
      <c r="A919" s="3">
        <f t="shared" si="1"/>
        <v>918</v>
      </c>
      <c r="B919" s="9" t="s">
        <v>7034</v>
      </c>
      <c r="C919" s="10">
        <v>38.9042303</v>
      </c>
      <c r="D919" s="10">
        <v>-76.8407379</v>
      </c>
      <c r="E919" s="9" t="s">
        <v>7035</v>
      </c>
      <c r="F919" s="9" t="s">
        <v>7036</v>
      </c>
      <c r="G919" s="9"/>
      <c r="H919" s="9" t="s">
        <v>126</v>
      </c>
      <c r="I919" s="9" t="s">
        <v>91</v>
      </c>
      <c r="J919" s="9" t="s">
        <v>7037</v>
      </c>
      <c r="K919" s="12" t="s">
        <v>7038</v>
      </c>
      <c r="L919" s="9" t="s">
        <v>7039</v>
      </c>
      <c r="M919" s="9">
        <v>70.5</v>
      </c>
      <c r="N919" s="10">
        <v>37.90283464</v>
      </c>
      <c r="O919" s="10" t="s">
        <v>1351</v>
      </c>
      <c r="P919" s="9">
        <v>9082026.0</v>
      </c>
      <c r="Q919" s="7" t="str">
        <f>IF(OR(ISBLANK(M919), ISBLANK(N919)), "", IF(N919 &lt; Sheet3!$B$6, "Insufficient Reviews", IF(M919 &gt;= Sheet3!$B$2, "Highly Reliable", IF(M919 &gt;= Sheet3!$B$3, "Reliable", IF(M919 &gt;= Sheet3!$B$4, "Mixed Reviews", "Low Reliability")))))</f>
        <v>Insufficient Reviews</v>
      </c>
    </row>
    <row r="920">
      <c r="A920" s="3">
        <f t="shared" si="1"/>
        <v>919</v>
      </c>
      <c r="B920" s="9" t="s">
        <v>7040</v>
      </c>
      <c r="C920" s="10">
        <v>38.9877605</v>
      </c>
      <c r="D920" s="10">
        <v>-76.4665572</v>
      </c>
      <c r="E920" s="9" t="s">
        <v>7041</v>
      </c>
      <c r="F920" s="9" t="s">
        <v>7042</v>
      </c>
      <c r="G920" s="9"/>
      <c r="H920" s="9" t="s">
        <v>7043</v>
      </c>
      <c r="I920" s="9" t="s">
        <v>27</v>
      </c>
      <c r="J920" s="9" t="s">
        <v>7044</v>
      </c>
      <c r="K920" s="9"/>
      <c r="L920" s="9" t="s">
        <v>7045</v>
      </c>
      <c r="M920" s="9">
        <v>80.67011892</v>
      </c>
      <c r="N920" s="10">
        <v>46.12360865</v>
      </c>
      <c r="O920" s="10" t="s">
        <v>7046</v>
      </c>
      <c r="P920" s="9">
        <v>9082026.0</v>
      </c>
      <c r="Q920" s="7" t="str">
        <f>IF(OR(ISBLANK(M920), ISBLANK(N920)), "", IF(N920 &lt; Sheet3!$B$6, "Insufficient Reviews", IF(M920 &gt;= Sheet3!$B$2, "Highly Reliable", IF(M920 &gt;= Sheet3!$B$3, "Reliable", IF(M920 &gt;= Sheet3!$B$4, "Mixed Reviews", "Low Reliability")))))</f>
        <v>Reliable</v>
      </c>
    </row>
    <row r="921">
      <c r="A921" s="3">
        <f t="shared" si="1"/>
        <v>920</v>
      </c>
      <c r="B921" s="9" t="s">
        <v>7047</v>
      </c>
      <c r="C921" s="10">
        <v>38.9013585</v>
      </c>
      <c r="D921" s="10">
        <v>-76.8527718</v>
      </c>
      <c r="E921" s="9" t="s">
        <v>7048</v>
      </c>
      <c r="F921" s="9" t="s">
        <v>7049</v>
      </c>
      <c r="G921" s="11"/>
      <c r="H921" s="9" t="s">
        <v>2973</v>
      </c>
      <c r="I921" s="9" t="s">
        <v>44</v>
      </c>
      <c r="J921" s="9" t="s">
        <v>7050</v>
      </c>
      <c r="K921" s="12" t="s">
        <v>7051</v>
      </c>
      <c r="L921" s="9" t="s">
        <v>7052</v>
      </c>
      <c r="M921" s="9">
        <v>16.5</v>
      </c>
      <c r="N921" s="10">
        <v>30.15333333</v>
      </c>
      <c r="O921" s="10" t="s">
        <v>7053</v>
      </c>
      <c r="P921" s="9">
        <v>9082026.0</v>
      </c>
      <c r="Q921" s="7" t="str">
        <f>IF(OR(ISBLANK(M921), ISBLANK(N921)), "", IF(N921 &lt; Sheet3!$B$6, "Insufficient Reviews", IF(M921 &gt;= Sheet3!$B$2, "Highly Reliable", IF(M921 &gt;= Sheet3!$B$3, "Reliable", IF(M921 &gt;= Sheet3!$B$4, "Mixed Reviews", "Low Reliability")))))</f>
        <v>Insufficient Reviews</v>
      </c>
    </row>
    <row r="922">
      <c r="A922" s="3">
        <f t="shared" si="1"/>
        <v>921</v>
      </c>
      <c r="B922" s="9" t="s">
        <v>7054</v>
      </c>
      <c r="C922" s="10">
        <v>38.911464</v>
      </c>
      <c r="D922" s="10">
        <v>-77.0751693</v>
      </c>
      <c r="E922" s="9" t="s">
        <v>7055</v>
      </c>
      <c r="F922" s="9" t="s">
        <v>7056</v>
      </c>
      <c r="G922" s="9"/>
      <c r="H922" s="9" t="s">
        <v>135</v>
      </c>
      <c r="I922" s="9" t="s">
        <v>91</v>
      </c>
      <c r="J922" s="9" t="s">
        <v>7057</v>
      </c>
      <c r="K922" s="12" t="s">
        <v>7058</v>
      </c>
      <c r="L922" s="9" t="s">
        <v>7059</v>
      </c>
      <c r="M922" s="9">
        <v>79.91272761</v>
      </c>
      <c r="N922" s="10">
        <v>72.58987405</v>
      </c>
      <c r="O922" s="10" t="s">
        <v>7060</v>
      </c>
      <c r="P922" s="9">
        <v>9082026.0</v>
      </c>
      <c r="Q922" s="7" t="str">
        <f>IF(OR(ISBLANK(M922), ISBLANK(N922)), "", IF(N922 &lt; Sheet3!$B$6, "Insufficient Reviews", IF(M922 &gt;= Sheet3!$B$2, "Highly Reliable", IF(M922 &gt;= Sheet3!$B$3, "Reliable", IF(M922 &gt;= Sheet3!$B$4, "Mixed Reviews", "Low Reliability")))))</f>
        <v>Reliable</v>
      </c>
    </row>
    <row r="923">
      <c r="A923" s="3">
        <f t="shared" si="1"/>
        <v>922</v>
      </c>
      <c r="B923" s="9" t="s">
        <v>7061</v>
      </c>
      <c r="C923" s="10">
        <v>38.8774051</v>
      </c>
      <c r="D923" s="10">
        <v>-76.7254452</v>
      </c>
      <c r="E923" s="9" t="s">
        <v>7062</v>
      </c>
      <c r="F923" s="9" t="s">
        <v>7063</v>
      </c>
      <c r="G923" s="9" t="s">
        <v>7064</v>
      </c>
      <c r="H923" s="9" t="s">
        <v>62</v>
      </c>
      <c r="I923" s="9" t="s">
        <v>180</v>
      </c>
      <c r="J923" s="9" t="s">
        <v>7065</v>
      </c>
      <c r="K923" s="12" t="s">
        <v>7066</v>
      </c>
      <c r="L923" s="9" t="s">
        <v>7067</v>
      </c>
      <c r="M923" s="9">
        <v>75.59839063</v>
      </c>
      <c r="N923" s="10">
        <v>90.4359529</v>
      </c>
      <c r="O923" s="10" t="s">
        <v>7068</v>
      </c>
      <c r="P923" s="9">
        <v>9082026.0</v>
      </c>
      <c r="Q923" s="7" t="str">
        <f>IF(OR(ISBLANK(M923), ISBLANK(N923)), "", IF(N923 &lt; Sheet3!$B$6, "Insufficient Reviews", IF(M923 &gt;= Sheet3!$B$2, "Highly Reliable", IF(M923 &gt;= Sheet3!$B$3, "Reliable", IF(M923 &gt;= Sheet3!$B$4, "Mixed Reviews", "Low Reliability")))))</f>
        <v>Reliable</v>
      </c>
    </row>
    <row r="924">
      <c r="A924" s="3">
        <f t="shared" si="1"/>
        <v>923</v>
      </c>
      <c r="B924" s="9" t="s">
        <v>7069</v>
      </c>
      <c r="C924" s="10">
        <v>39.5492821</v>
      </c>
      <c r="D924" s="10">
        <v>-77.6471398</v>
      </c>
      <c r="E924" s="9" t="s">
        <v>7070</v>
      </c>
      <c r="F924" s="9" t="s">
        <v>7071</v>
      </c>
      <c r="G924" s="9"/>
      <c r="H924" s="9" t="s">
        <v>126</v>
      </c>
      <c r="I924" s="9" t="s">
        <v>35</v>
      </c>
      <c r="J924" s="9" t="s">
        <v>7072</v>
      </c>
      <c r="K924" s="12" t="s">
        <v>7073</v>
      </c>
      <c r="L924" s="9" t="s">
        <v>7074</v>
      </c>
      <c r="M924" s="9">
        <v>58.88657784</v>
      </c>
      <c r="N924" s="10">
        <v>45.87058993</v>
      </c>
      <c r="O924" s="10" t="s">
        <v>7075</v>
      </c>
      <c r="P924" s="9">
        <v>9082026.0</v>
      </c>
      <c r="Q924" s="7" t="str">
        <f>IF(OR(ISBLANK(M924), ISBLANK(N924)), "", IF(N924 &lt; Sheet3!$B$6, "Insufficient Reviews", IF(M924 &gt;= Sheet3!$B$2, "Highly Reliable", IF(M924 &gt;= Sheet3!$B$3, "Reliable", IF(M924 &gt;= Sheet3!$B$4, "Mixed Reviews", "Low Reliability")))))</f>
        <v>Low Reliability</v>
      </c>
    </row>
    <row r="925">
      <c r="A925" s="3">
        <f t="shared" si="1"/>
        <v>924</v>
      </c>
      <c r="B925" s="9" t="s">
        <v>7076</v>
      </c>
      <c r="C925" s="10">
        <v>38.8418335</v>
      </c>
      <c r="D925" s="10">
        <v>-76.874643</v>
      </c>
      <c r="E925" s="9" t="s">
        <v>7077</v>
      </c>
      <c r="F925" s="9" t="s">
        <v>7078</v>
      </c>
      <c r="G925" s="9" t="s">
        <v>7079</v>
      </c>
      <c r="H925" s="9" t="s">
        <v>7080</v>
      </c>
      <c r="I925" s="9" t="s">
        <v>44</v>
      </c>
      <c r="J925" s="9" t="s">
        <v>7081</v>
      </c>
      <c r="K925" s="12" t="s">
        <v>7082</v>
      </c>
      <c r="L925" s="9" t="s">
        <v>7083</v>
      </c>
      <c r="M925" s="9">
        <v>53.85285297</v>
      </c>
      <c r="N925" s="10">
        <v>52.99423934</v>
      </c>
      <c r="O925" s="10" t="s">
        <v>7084</v>
      </c>
      <c r="P925" s="9">
        <v>9082026.0</v>
      </c>
      <c r="Q925" s="7" t="str">
        <f>IF(OR(ISBLANK(M925), ISBLANK(N925)), "", IF(N925 &lt; Sheet3!$B$6, "Insufficient Reviews", IF(M925 &gt;= Sheet3!$B$2, "Highly Reliable", IF(M925 &gt;= Sheet3!$B$3, "Reliable", IF(M925 &gt;= Sheet3!$B$4, "Mixed Reviews", "Low Reliability")))))</f>
        <v>Low Reliability</v>
      </c>
    </row>
    <row r="926">
      <c r="A926" s="3">
        <f t="shared" si="1"/>
        <v>925</v>
      </c>
      <c r="B926" s="9" t="s">
        <v>7085</v>
      </c>
      <c r="C926" s="10">
        <v>39.2113086</v>
      </c>
      <c r="D926" s="10">
        <v>-76.0746344</v>
      </c>
      <c r="E926" s="9" t="s">
        <v>7086</v>
      </c>
      <c r="F926" s="9" t="s">
        <v>7087</v>
      </c>
      <c r="G926" s="9" t="s">
        <v>7088</v>
      </c>
      <c r="H926" s="9" t="s">
        <v>7089</v>
      </c>
      <c r="I926" s="9" t="s">
        <v>44</v>
      </c>
      <c r="J926" s="9" t="s">
        <v>7090</v>
      </c>
      <c r="K926" s="12" t="s">
        <v>7091</v>
      </c>
      <c r="L926" s="9" t="s">
        <v>7092</v>
      </c>
      <c r="M926" s="9">
        <v>78.36382431</v>
      </c>
      <c r="N926" s="10">
        <v>50.34538418</v>
      </c>
      <c r="O926" s="10" t="s">
        <v>7093</v>
      </c>
      <c r="P926" s="9">
        <v>9082026.0</v>
      </c>
      <c r="Q926" s="7" t="str">
        <f>IF(OR(ISBLANK(M926), ISBLANK(N926)), "", IF(N926 &lt; Sheet3!$B$6, "Insufficient Reviews", IF(M926 &gt;= Sheet3!$B$2, "Highly Reliable", IF(M926 &gt;= Sheet3!$B$3, "Reliable", IF(M926 &gt;= Sheet3!$B$4, "Mixed Reviews", "Low Reliability")))))</f>
        <v>Reliable</v>
      </c>
    </row>
    <row r="927">
      <c r="A927" s="3">
        <f t="shared" si="1"/>
        <v>926</v>
      </c>
      <c r="B927" s="9" t="s">
        <v>7094</v>
      </c>
      <c r="C927" s="10">
        <v>38.823088</v>
      </c>
      <c r="D927" s="10">
        <v>-76.948948</v>
      </c>
      <c r="E927" s="9" t="s">
        <v>7095</v>
      </c>
      <c r="F927" s="9" t="s">
        <v>7096</v>
      </c>
      <c r="G927" s="9"/>
      <c r="H927" s="9" t="s">
        <v>126</v>
      </c>
      <c r="I927" s="9" t="s">
        <v>44</v>
      </c>
      <c r="J927" s="9" t="s">
        <v>7097</v>
      </c>
      <c r="K927" s="12" t="s">
        <v>7098</v>
      </c>
      <c r="L927" s="9" t="s">
        <v>7099</v>
      </c>
      <c r="M927" s="9">
        <v>51.22207912</v>
      </c>
      <c r="N927" s="10">
        <v>48.11560615</v>
      </c>
      <c r="O927" s="10" t="s">
        <v>7100</v>
      </c>
      <c r="P927" s="9">
        <v>9082026.0</v>
      </c>
      <c r="Q927" s="7" t="str">
        <f>IF(OR(ISBLANK(M927), ISBLANK(N927)), "", IF(N927 &lt; Sheet3!$B$6, "Insufficient Reviews", IF(M927 &gt;= Sheet3!$B$2, "Highly Reliable", IF(M927 &gt;= Sheet3!$B$3, "Reliable", IF(M927 &gt;= Sheet3!$B$4, "Mixed Reviews", "Low Reliability")))))</f>
        <v>Low Reliability</v>
      </c>
    </row>
    <row r="928">
      <c r="A928" s="3">
        <f t="shared" si="1"/>
        <v>927</v>
      </c>
      <c r="B928" s="9" t="s">
        <v>7101</v>
      </c>
      <c r="C928" s="10">
        <v>38.812</v>
      </c>
      <c r="D928" s="10">
        <v>-76.84885</v>
      </c>
      <c r="E928" s="9" t="s">
        <v>7102</v>
      </c>
      <c r="F928" s="9" t="s">
        <v>7103</v>
      </c>
      <c r="G928" s="11"/>
      <c r="H928" s="9" t="s">
        <v>62</v>
      </c>
      <c r="I928" s="9" t="s">
        <v>35</v>
      </c>
      <c r="J928" s="9" t="s">
        <v>7104</v>
      </c>
      <c r="K928" s="12" t="s">
        <v>7105</v>
      </c>
      <c r="L928" s="9" t="s">
        <v>7106</v>
      </c>
      <c r="M928" s="9">
        <v>68.74014776</v>
      </c>
      <c r="N928" s="10">
        <v>91.08728854</v>
      </c>
      <c r="O928" s="10" t="s">
        <v>7107</v>
      </c>
      <c r="P928" s="9">
        <v>9082026.0</v>
      </c>
      <c r="Q928" s="7" t="str">
        <f>IF(OR(ISBLANK(M928), ISBLANK(N928)), "", IF(N928 &lt; Sheet3!$B$6, "Insufficient Reviews", IF(M928 &gt;= Sheet3!$B$2, "Highly Reliable", IF(M928 &gt;= Sheet3!$B$3, "Reliable", IF(M928 &gt;= Sheet3!$B$4, "Mixed Reviews", "Low Reliability")))))</f>
        <v>Mixed Reviews</v>
      </c>
    </row>
    <row r="929">
      <c r="A929" s="3">
        <f t="shared" si="1"/>
        <v>928</v>
      </c>
      <c r="B929" s="9" t="s">
        <v>7108</v>
      </c>
      <c r="C929" s="10">
        <v>39.6359871</v>
      </c>
      <c r="D929" s="10">
        <v>-77.6946788</v>
      </c>
      <c r="E929" s="9" t="s">
        <v>7109</v>
      </c>
      <c r="F929" s="9" t="s">
        <v>7110</v>
      </c>
      <c r="G929" s="9"/>
      <c r="H929" s="9" t="s">
        <v>62</v>
      </c>
      <c r="I929" s="9" t="s">
        <v>91</v>
      </c>
      <c r="J929" s="9" t="s">
        <v>7111</v>
      </c>
      <c r="K929" s="12" t="s">
        <v>7112</v>
      </c>
      <c r="L929" s="9" t="s">
        <v>7113</v>
      </c>
      <c r="M929" s="9">
        <v>29.44614908</v>
      </c>
      <c r="N929" s="10">
        <v>45.69352835</v>
      </c>
      <c r="O929" s="10" t="s">
        <v>7114</v>
      </c>
      <c r="P929" s="9">
        <v>9082026.0</v>
      </c>
      <c r="Q929" s="7" t="str">
        <f>IF(OR(ISBLANK(M929), ISBLANK(N929)), "", IF(N929 &lt; Sheet3!$B$6, "Insufficient Reviews", IF(M929 &gt;= Sheet3!$B$2, "Highly Reliable", IF(M929 &gt;= Sheet3!$B$3, "Reliable", IF(M929 &gt;= Sheet3!$B$4, "Mixed Reviews", "Low Reliability")))))</f>
        <v>Low Reliability</v>
      </c>
    </row>
    <row r="930">
      <c r="A930" s="3">
        <f t="shared" si="1"/>
        <v>929</v>
      </c>
      <c r="B930" s="9" t="s">
        <v>7115</v>
      </c>
      <c r="C930" s="10">
        <v>38.8083889</v>
      </c>
      <c r="D930" s="10">
        <v>-76.8991288</v>
      </c>
      <c r="E930" s="9" t="s">
        <v>7116</v>
      </c>
      <c r="F930" s="9" t="s">
        <v>7117</v>
      </c>
      <c r="G930" s="11"/>
      <c r="H930" s="9" t="s">
        <v>126</v>
      </c>
      <c r="I930" s="9" t="s">
        <v>44</v>
      </c>
      <c r="J930" s="9" t="s">
        <v>7118</v>
      </c>
      <c r="K930" s="12" t="s">
        <v>7119</v>
      </c>
      <c r="L930" s="9" t="s">
        <v>7120</v>
      </c>
      <c r="M930" s="9">
        <v>58.91300431</v>
      </c>
      <c r="N930" s="10">
        <v>64.01963068</v>
      </c>
      <c r="O930" s="10" t="s">
        <v>7121</v>
      </c>
      <c r="P930" s="9">
        <v>9082026.0</v>
      </c>
      <c r="Q930" s="7" t="str">
        <f>IF(OR(ISBLANK(M930), ISBLANK(N930)), "", IF(N930 &lt; Sheet3!$B$6, "Insufficient Reviews", IF(M930 &gt;= Sheet3!$B$2, "Highly Reliable", IF(M930 &gt;= Sheet3!$B$3, "Reliable", IF(M930 &gt;= Sheet3!$B$4, "Mixed Reviews", "Low Reliability")))))</f>
        <v>Low Reliability</v>
      </c>
    </row>
    <row r="931">
      <c r="A931" s="3">
        <f t="shared" si="1"/>
        <v>930</v>
      </c>
      <c r="B931" s="9" t="s">
        <v>7122</v>
      </c>
      <c r="C931" s="10">
        <v>38.8015888</v>
      </c>
      <c r="D931" s="10">
        <v>-76.9073584</v>
      </c>
      <c r="E931" s="9" t="s">
        <v>7123</v>
      </c>
      <c r="F931" s="9" t="s">
        <v>6670</v>
      </c>
      <c r="G931" s="9" t="s">
        <v>7124</v>
      </c>
      <c r="H931" s="9" t="s">
        <v>6672</v>
      </c>
      <c r="I931" s="9" t="s">
        <v>44</v>
      </c>
      <c r="J931" s="9" t="s">
        <v>7125</v>
      </c>
      <c r="K931" s="12" t="s">
        <v>6674</v>
      </c>
      <c r="L931" s="9" t="s">
        <v>7126</v>
      </c>
      <c r="M931" s="9">
        <v>16.5</v>
      </c>
      <c r="N931" s="10">
        <v>30.33333333</v>
      </c>
      <c r="O931" s="10" t="s">
        <v>7127</v>
      </c>
      <c r="P931" s="9">
        <v>9082026.0</v>
      </c>
      <c r="Q931" s="7" t="str">
        <f>IF(OR(ISBLANK(M931), ISBLANK(N931)), "", IF(N931 &lt; Sheet3!$B$6, "Insufficient Reviews", IF(M931 &gt;= Sheet3!$B$2, "Highly Reliable", IF(M931 &gt;= Sheet3!$B$3, "Reliable", IF(M931 &gt;= Sheet3!$B$4, "Mixed Reviews", "Low Reliability")))))</f>
        <v>Insufficient Reviews</v>
      </c>
    </row>
    <row r="932">
      <c r="A932" s="3">
        <f t="shared" si="1"/>
        <v>931</v>
      </c>
      <c r="B932" s="9" t="s">
        <v>7128</v>
      </c>
      <c r="C932" s="10">
        <v>38.8035125</v>
      </c>
      <c r="D932" s="10">
        <v>-76.9814147</v>
      </c>
      <c r="E932" s="9" t="s">
        <v>7129</v>
      </c>
      <c r="F932" s="9" t="s">
        <v>7130</v>
      </c>
      <c r="G932" s="9" t="s">
        <v>7131</v>
      </c>
      <c r="H932" s="9" t="s">
        <v>7132</v>
      </c>
      <c r="I932" s="9" t="s">
        <v>44</v>
      </c>
      <c r="J932" s="9" t="s">
        <v>7133</v>
      </c>
      <c r="K932" s="12" t="s">
        <v>7134</v>
      </c>
      <c r="L932" s="9" t="s">
        <v>7135</v>
      </c>
      <c r="M932" s="9">
        <v>80.96602055</v>
      </c>
      <c r="N932" s="10">
        <v>74.9317144</v>
      </c>
      <c r="O932" s="10" t="s">
        <v>7136</v>
      </c>
      <c r="P932" s="9">
        <v>9082026.0</v>
      </c>
      <c r="Q932" s="7" t="str">
        <f>IF(OR(ISBLANK(M932), ISBLANK(N932)), "", IF(N932 &lt; Sheet3!$B$6, "Insufficient Reviews", IF(M932 &gt;= Sheet3!$B$2, "Highly Reliable", IF(M932 &gt;= Sheet3!$B$3, "Reliable", IF(M932 &gt;= Sheet3!$B$4, "Mixed Reviews", "Low Reliability")))))</f>
        <v>Reliable</v>
      </c>
    </row>
    <row r="933">
      <c r="A933" s="3">
        <f t="shared" si="1"/>
        <v>932</v>
      </c>
      <c r="B933" s="9" t="s">
        <v>7137</v>
      </c>
      <c r="C933" s="10">
        <v>39.6465307</v>
      </c>
      <c r="D933" s="10">
        <v>-77.7165293</v>
      </c>
      <c r="E933" s="9" t="s">
        <v>7138</v>
      </c>
      <c r="F933" s="9" t="s">
        <v>7139</v>
      </c>
      <c r="G933" s="9"/>
      <c r="H933" s="9" t="s">
        <v>135</v>
      </c>
      <c r="I933" s="9" t="s">
        <v>44</v>
      </c>
      <c r="J933" s="9" t="s">
        <v>7140</v>
      </c>
      <c r="K933" s="12" t="s">
        <v>7141</v>
      </c>
      <c r="L933" s="9" t="s">
        <v>7142</v>
      </c>
      <c r="M933" s="9">
        <v>70.50565944</v>
      </c>
      <c r="N933" s="10">
        <v>62.55017172</v>
      </c>
      <c r="O933" s="10" t="s">
        <v>7143</v>
      </c>
      <c r="P933" s="9">
        <v>9082026.0</v>
      </c>
      <c r="Q933" s="7" t="str">
        <f>IF(OR(ISBLANK(M933), ISBLANK(N933)), "", IF(N933 &lt; Sheet3!$B$6, "Insufficient Reviews", IF(M933 &gt;= Sheet3!$B$2, "Highly Reliable", IF(M933 &gt;= Sheet3!$B$3, "Reliable", IF(M933 &gt;= Sheet3!$B$4, "Mixed Reviews", "Low Reliability")))))</f>
        <v>Reliable</v>
      </c>
    </row>
    <row r="934">
      <c r="A934" s="3">
        <f t="shared" si="1"/>
        <v>933</v>
      </c>
      <c r="B934" s="9" t="s">
        <v>7144</v>
      </c>
      <c r="C934" s="10">
        <v>39.386114</v>
      </c>
      <c r="D934" s="10">
        <v>-76.5325938</v>
      </c>
      <c r="E934" s="9" t="s">
        <v>7145</v>
      </c>
      <c r="F934" s="9" t="s">
        <v>7146</v>
      </c>
      <c r="G934" s="9"/>
      <c r="H934" s="9" t="s">
        <v>3216</v>
      </c>
      <c r="I934" s="9" t="s">
        <v>44</v>
      </c>
      <c r="J934" s="9" t="s">
        <v>7147</v>
      </c>
      <c r="K934" s="12" t="s">
        <v>7148</v>
      </c>
      <c r="L934" s="9" t="s">
        <v>7149</v>
      </c>
      <c r="M934" s="9">
        <v>65.45807266</v>
      </c>
      <c r="N934" s="10">
        <v>65.20838142</v>
      </c>
      <c r="O934" s="10" t="s">
        <v>7150</v>
      </c>
      <c r="P934" s="9">
        <v>9082026.0</v>
      </c>
      <c r="Q934" s="7" t="str">
        <f>IF(OR(ISBLANK(M934), ISBLANK(N934)), "", IF(N934 &lt; Sheet3!$B$6, "Insufficient Reviews", IF(M934 &gt;= Sheet3!$B$2, "Highly Reliable", IF(M934 &gt;= Sheet3!$B$3, "Reliable", IF(M934 &gt;= Sheet3!$B$4, "Mixed Reviews", "Low Reliability")))))</f>
        <v>Mixed Reviews</v>
      </c>
    </row>
    <row r="935">
      <c r="A935" s="3">
        <f t="shared" si="1"/>
        <v>934</v>
      </c>
      <c r="B935" s="9" t="s">
        <v>7151</v>
      </c>
      <c r="C935" s="10">
        <v>38.7809575</v>
      </c>
      <c r="D935" s="10">
        <v>-76.8898861</v>
      </c>
      <c r="E935" s="9" t="s">
        <v>7152</v>
      </c>
      <c r="F935" s="9" t="s">
        <v>7153</v>
      </c>
      <c r="G935" s="9" t="s">
        <v>7154</v>
      </c>
      <c r="H935" s="9" t="s">
        <v>303</v>
      </c>
      <c r="I935" s="9" t="s">
        <v>482</v>
      </c>
      <c r="J935" s="9" t="s">
        <v>7155</v>
      </c>
      <c r="K935" s="12" t="s">
        <v>7156</v>
      </c>
      <c r="L935" s="9" t="s">
        <v>7157</v>
      </c>
      <c r="M935" s="10">
        <v>54.99948605</v>
      </c>
      <c r="N935" s="10">
        <v>50.41033022</v>
      </c>
      <c r="O935" s="9" t="s">
        <v>7158</v>
      </c>
      <c r="P935" s="9">
        <v>9082026.0</v>
      </c>
      <c r="Q935" s="7" t="str">
        <f>IF(OR(ISBLANK(M935), ISBLANK(N935)), "", IF(N935 &lt; Sheet3!$B$6, "Insufficient Reviews", IF(M935 &gt;= Sheet3!$B$2, "Highly Reliable", IF(M935 &gt;= Sheet3!$B$3, "Reliable", IF(M935 &gt;= Sheet3!$B$4, "Mixed Reviews", "Low Reliability")))))</f>
        <v>Low Reliability</v>
      </c>
    </row>
    <row r="936">
      <c r="A936" s="3">
        <f t="shared" si="1"/>
        <v>935</v>
      </c>
      <c r="B936" s="9" t="s">
        <v>7159</v>
      </c>
      <c r="C936" s="10">
        <v>38.7483097</v>
      </c>
      <c r="D936" s="10">
        <v>-76.8760405</v>
      </c>
      <c r="E936" s="9" t="s">
        <v>7160</v>
      </c>
      <c r="F936" s="9" t="s">
        <v>7161</v>
      </c>
      <c r="G936" s="9" t="s">
        <v>7162</v>
      </c>
      <c r="H936" s="9" t="s">
        <v>135</v>
      </c>
      <c r="I936" s="9" t="s">
        <v>91</v>
      </c>
      <c r="J936" s="9" t="s">
        <v>7163</v>
      </c>
      <c r="K936" s="12" t="s">
        <v>7164</v>
      </c>
      <c r="L936" s="9" t="s">
        <v>7165</v>
      </c>
      <c r="M936" s="9">
        <v>71.58467093</v>
      </c>
      <c r="N936" s="10">
        <v>70.95000094</v>
      </c>
      <c r="O936" s="10" t="s">
        <v>7166</v>
      </c>
      <c r="P936" s="9">
        <v>9082026.0</v>
      </c>
      <c r="Q936" s="7" t="str">
        <f>IF(OR(ISBLANK(M936), ISBLANK(N936)), "", IF(N936 &lt; Sheet3!$B$6, "Insufficient Reviews", IF(M936 &gt;= Sheet3!$B$2, "Highly Reliable", IF(M936 &gt;= Sheet3!$B$3, "Reliable", IF(M936 &gt;= Sheet3!$B$4, "Mixed Reviews", "Low Reliability")))))</f>
        <v>Reliable</v>
      </c>
    </row>
    <row r="937">
      <c r="A937" s="3">
        <f t="shared" si="1"/>
        <v>936</v>
      </c>
      <c r="B937" s="9" t="s">
        <v>7167</v>
      </c>
      <c r="C937" s="10">
        <v>39.032252</v>
      </c>
      <c r="D937" s="10">
        <v>-76.073865</v>
      </c>
      <c r="E937" s="9" t="s">
        <v>7168</v>
      </c>
      <c r="F937" s="9" t="s">
        <v>6325</v>
      </c>
      <c r="G937" s="11"/>
      <c r="H937" s="9" t="s">
        <v>3846</v>
      </c>
      <c r="I937" s="9" t="s">
        <v>44</v>
      </c>
      <c r="J937" s="9" t="s">
        <v>7169</v>
      </c>
      <c r="K937" s="12" t="s">
        <v>6982</v>
      </c>
      <c r="L937" s="9" t="s">
        <v>7170</v>
      </c>
      <c r="M937" s="9">
        <v>48.55471591</v>
      </c>
      <c r="N937" s="10">
        <v>54.34339689</v>
      </c>
      <c r="O937" s="10" t="s">
        <v>5788</v>
      </c>
      <c r="P937" s="9">
        <v>9082026.0</v>
      </c>
      <c r="Q937" s="7" t="str">
        <f>IF(OR(ISBLANK(M937), ISBLANK(N937)), "", IF(N937 &lt; Sheet3!$B$6, "Insufficient Reviews", IF(M937 &gt;= Sheet3!$B$2, "Highly Reliable", IF(M937 &gt;= Sheet3!$B$3, "Reliable", IF(M937 &gt;= Sheet3!$B$4, "Mixed Reviews", "Low Reliability")))))</f>
        <v>Low Reliability</v>
      </c>
    </row>
    <row r="938">
      <c r="A938" s="3">
        <f t="shared" si="1"/>
        <v>937</v>
      </c>
      <c r="B938" s="9" t="s">
        <v>7171</v>
      </c>
      <c r="C938" s="10">
        <v>39.6081257</v>
      </c>
      <c r="D938" s="10">
        <v>-75.8294085</v>
      </c>
      <c r="E938" s="9" t="s">
        <v>7172</v>
      </c>
      <c r="F938" s="9" t="s">
        <v>6325</v>
      </c>
      <c r="G938" s="11"/>
      <c r="H938" s="9" t="s">
        <v>3846</v>
      </c>
      <c r="I938" s="9" t="s">
        <v>44</v>
      </c>
      <c r="J938" s="9" t="s">
        <v>7173</v>
      </c>
      <c r="K938" s="12" t="s">
        <v>6982</v>
      </c>
      <c r="L938" s="9" t="s">
        <v>7174</v>
      </c>
      <c r="M938" s="9">
        <v>43.3979631</v>
      </c>
      <c r="N938" s="10">
        <v>63.55281128</v>
      </c>
      <c r="O938" s="10" t="s">
        <v>7175</v>
      </c>
      <c r="P938" s="9">
        <v>9082026.0</v>
      </c>
      <c r="Q938" s="7" t="str">
        <f>IF(OR(ISBLANK(M938), ISBLANK(N938)), "", IF(N938 &lt; Sheet3!$B$6, "Insufficient Reviews", IF(M938 &gt;= Sheet3!$B$2, "Highly Reliable", IF(M938 &gt;= Sheet3!$B$3, "Reliable", IF(M938 &gt;= Sheet3!$B$4, "Mixed Reviews", "Low Reliability")))))</f>
        <v>Low Reliability</v>
      </c>
    </row>
    <row r="939">
      <c r="A939" s="3">
        <f t="shared" si="1"/>
        <v>938</v>
      </c>
      <c r="B939" s="9" t="s">
        <v>7176</v>
      </c>
      <c r="C939" s="10">
        <v>38.6273199</v>
      </c>
      <c r="D939" s="10">
        <v>-76.9132119</v>
      </c>
      <c r="E939" s="9" t="s">
        <v>7177</v>
      </c>
      <c r="F939" s="9" t="s">
        <v>7178</v>
      </c>
      <c r="G939" s="9" t="s">
        <v>7179</v>
      </c>
      <c r="H939" s="9" t="s">
        <v>7180</v>
      </c>
      <c r="I939" s="9" t="s">
        <v>44</v>
      </c>
      <c r="J939" s="9" t="s">
        <v>7181</v>
      </c>
      <c r="K939" s="12" t="s">
        <v>7182</v>
      </c>
      <c r="L939" s="9" t="s">
        <v>7183</v>
      </c>
      <c r="M939" s="9">
        <v>51.6460469</v>
      </c>
      <c r="N939" s="10">
        <v>48.09890555</v>
      </c>
      <c r="O939" s="10" t="s">
        <v>7184</v>
      </c>
      <c r="P939" s="9">
        <v>9082026.0</v>
      </c>
      <c r="Q939" s="7" t="str">
        <f>IF(OR(ISBLANK(M939), ISBLANK(N939)), "", IF(N939 &lt; Sheet3!$B$6, "Insufficient Reviews", IF(M939 &gt;= Sheet3!$B$2, "Highly Reliable", IF(M939 &gt;= Sheet3!$B$3, "Reliable", IF(M939 &gt;= Sheet3!$B$4, "Mixed Reviews", "Low Reliability")))))</f>
        <v>Low Reliability</v>
      </c>
    </row>
    <row r="940">
      <c r="A940" s="3">
        <f t="shared" si="1"/>
        <v>939</v>
      </c>
      <c r="B940" s="9" t="s">
        <v>7185</v>
      </c>
      <c r="C940" s="10">
        <v>39.3685082</v>
      </c>
      <c r="D940" s="10">
        <v>-76.7144793</v>
      </c>
      <c r="E940" s="9" t="s">
        <v>7186</v>
      </c>
      <c r="F940" s="9" t="s">
        <v>7187</v>
      </c>
      <c r="G940" s="9" t="s">
        <v>7188</v>
      </c>
      <c r="H940" s="9" t="s">
        <v>7189</v>
      </c>
      <c r="I940" s="9" t="s">
        <v>44</v>
      </c>
      <c r="J940" s="9" t="s">
        <v>7190</v>
      </c>
      <c r="K940" s="12" t="s">
        <v>7191</v>
      </c>
      <c r="L940" s="9" t="s">
        <v>7192</v>
      </c>
      <c r="M940" s="9">
        <v>70.8785587</v>
      </c>
      <c r="N940" s="10">
        <v>68.64270979</v>
      </c>
      <c r="O940" s="10" t="s">
        <v>7193</v>
      </c>
      <c r="P940" s="9">
        <v>9082026.0</v>
      </c>
      <c r="Q940" s="7" t="str">
        <f>IF(OR(ISBLANK(M940), ISBLANK(N940)), "", IF(N940 &lt; Sheet3!$B$6, "Insufficient Reviews", IF(M940 &gt;= Sheet3!$B$2, "Highly Reliable", IF(M940 &gt;= Sheet3!$B$3, "Reliable", IF(M940 &gt;= Sheet3!$B$4, "Mixed Reviews", "Low Reliability")))))</f>
        <v>Reliable</v>
      </c>
    </row>
    <row r="941">
      <c r="A941" s="3">
        <f t="shared" si="1"/>
        <v>940</v>
      </c>
      <c r="B941" s="9" t="s">
        <v>7194</v>
      </c>
      <c r="C941" s="10">
        <v>39.3474906</v>
      </c>
      <c r="D941" s="10">
        <v>-76.7417909</v>
      </c>
      <c r="E941" s="9" t="s">
        <v>7195</v>
      </c>
      <c r="F941" s="9" t="s">
        <v>7196</v>
      </c>
      <c r="G941" s="9"/>
      <c r="H941" s="9" t="s">
        <v>3216</v>
      </c>
      <c r="I941" s="9" t="s">
        <v>44</v>
      </c>
      <c r="J941" s="9" t="s">
        <v>7197</v>
      </c>
      <c r="K941" s="12" t="s">
        <v>7198</v>
      </c>
      <c r="L941" s="9" t="s">
        <v>7199</v>
      </c>
      <c r="M941" s="9">
        <v>56.97144076</v>
      </c>
      <c r="N941" s="10">
        <v>47.01226427</v>
      </c>
      <c r="O941" s="10" t="s">
        <v>7200</v>
      </c>
      <c r="P941" s="9">
        <v>9082026.0</v>
      </c>
      <c r="Q941" s="7" t="str">
        <f>IF(OR(ISBLANK(M941), ISBLANK(N941)), "", IF(N941 &lt; Sheet3!$B$6, "Insufficient Reviews", IF(M941 &gt;= Sheet3!$B$2, "Highly Reliable", IF(M941 &gt;= Sheet3!$B$3, "Reliable", IF(M941 &gt;= Sheet3!$B$4, "Mixed Reviews", "Low Reliability")))))</f>
        <v>Low Reliability</v>
      </c>
    </row>
    <row r="942">
      <c r="A942" s="3">
        <f t="shared" si="1"/>
        <v>941</v>
      </c>
      <c r="B942" s="9" t="s">
        <v>7201</v>
      </c>
      <c r="C942" s="10">
        <v>39.3845448</v>
      </c>
      <c r="D942" s="10">
        <v>-76.690516</v>
      </c>
      <c r="E942" s="9" t="s">
        <v>7202</v>
      </c>
      <c r="F942" s="9" t="s">
        <v>7203</v>
      </c>
      <c r="G942" s="9" t="s">
        <v>7204</v>
      </c>
      <c r="H942" s="9" t="s">
        <v>6339</v>
      </c>
      <c r="I942" s="9" t="s">
        <v>44</v>
      </c>
      <c r="J942" s="9" t="s">
        <v>7205</v>
      </c>
      <c r="K942" s="12" t="s">
        <v>7206</v>
      </c>
      <c r="L942" s="9" t="s">
        <v>7207</v>
      </c>
      <c r="M942" s="9">
        <v>83.10492909</v>
      </c>
      <c r="N942" s="10">
        <v>72.17822968</v>
      </c>
      <c r="O942" s="10" t="s">
        <v>7208</v>
      </c>
      <c r="P942" s="9">
        <v>9082026.0</v>
      </c>
      <c r="Q942" s="7" t="str">
        <f>IF(OR(ISBLANK(M942), ISBLANK(N942)), "", IF(N942 &lt; Sheet3!$B$6, "Insufficient Reviews", IF(M942 &gt;= Sheet3!$B$2, "Highly Reliable", IF(M942 &gt;= Sheet3!$B$3, "Reliable", IF(M942 &gt;= Sheet3!$B$4, "Mixed Reviews", "Low Reliability")))))</f>
        <v>Highly Reliable</v>
      </c>
    </row>
    <row r="943">
      <c r="A943" s="3">
        <f t="shared" si="1"/>
        <v>942</v>
      </c>
      <c r="B943" s="9" t="s">
        <v>7209</v>
      </c>
      <c r="C943" s="10">
        <v>32.117912</v>
      </c>
      <c r="D943" s="10">
        <v>-81.3095305</v>
      </c>
      <c r="E943" s="9" t="s">
        <v>7210</v>
      </c>
      <c r="F943" s="9" t="s">
        <v>7211</v>
      </c>
      <c r="G943" s="9"/>
      <c r="H943" s="9" t="s">
        <v>7212</v>
      </c>
      <c r="I943" s="9" t="s">
        <v>44</v>
      </c>
      <c r="J943" s="9" t="s">
        <v>7213</v>
      </c>
      <c r="K943" s="12" t="s">
        <v>7214</v>
      </c>
      <c r="L943" s="9" t="s">
        <v>7215</v>
      </c>
      <c r="M943" s="9">
        <v>12.0</v>
      </c>
      <c r="N943" s="10">
        <v>31.83333333</v>
      </c>
      <c r="O943" s="10" t="s">
        <v>290</v>
      </c>
      <c r="P943" s="9">
        <v>9082026.0</v>
      </c>
      <c r="Q943" s="7" t="str">
        <f>IF(OR(ISBLANK(M943), ISBLANK(N943)), "", IF(N943 &lt; Sheet3!$B$6, "Insufficient Reviews", IF(M943 &gt;= Sheet3!$B$2, "Highly Reliable", IF(M943 &gt;= Sheet3!$B$3, "Reliable", IF(M943 &gt;= Sheet3!$B$4, "Mixed Reviews", "Low Reliability")))))</f>
        <v>Insufficient Reviews</v>
      </c>
    </row>
    <row r="944">
      <c r="A944" s="3">
        <f t="shared" si="1"/>
        <v>943</v>
      </c>
      <c r="B944" s="9" t="s">
        <v>7216</v>
      </c>
      <c r="C944" s="10">
        <v>39.4152847</v>
      </c>
      <c r="D944" s="10">
        <v>-76.8009104</v>
      </c>
      <c r="E944" s="9" t="s">
        <v>7217</v>
      </c>
      <c r="F944" s="9" t="s">
        <v>7218</v>
      </c>
      <c r="G944" s="11"/>
      <c r="H944" s="9" t="s">
        <v>7219</v>
      </c>
      <c r="I944" s="9" t="s">
        <v>44</v>
      </c>
      <c r="J944" s="9" t="s">
        <v>7220</v>
      </c>
      <c r="K944" s="12" t="s">
        <v>7221</v>
      </c>
      <c r="L944" s="9" t="s">
        <v>7222</v>
      </c>
      <c r="M944" s="9">
        <v>65.86090707</v>
      </c>
      <c r="N944" s="10">
        <v>58.34161646</v>
      </c>
      <c r="O944" s="10" t="s">
        <v>7223</v>
      </c>
      <c r="P944" s="9">
        <v>9082026.0</v>
      </c>
      <c r="Q944" s="7" t="str">
        <f>IF(OR(ISBLANK(M944), ISBLANK(N944)), "", IF(N944 &lt; Sheet3!$B$6, "Insufficient Reviews", IF(M944 &gt;= Sheet3!$B$2, "Highly Reliable", IF(M944 &gt;= Sheet3!$B$3, "Reliable", IF(M944 &gt;= Sheet3!$B$4, "Mixed Reviews", "Low Reliability")))))</f>
        <v>Mixed Reviews</v>
      </c>
    </row>
    <row r="945">
      <c r="A945" s="3">
        <f t="shared" si="1"/>
        <v>944</v>
      </c>
      <c r="B945" s="9" t="s">
        <v>7224</v>
      </c>
      <c r="C945" s="10">
        <v>39.337554</v>
      </c>
      <c r="D945" s="10">
        <v>-76.752213</v>
      </c>
      <c r="E945" s="9" t="s">
        <v>7225</v>
      </c>
      <c r="F945" s="9" t="s">
        <v>7226</v>
      </c>
      <c r="G945" s="9" t="s">
        <v>7227</v>
      </c>
      <c r="H945" s="9" t="s">
        <v>7212</v>
      </c>
      <c r="I945" s="9" t="s">
        <v>91</v>
      </c>
      <c r="J945" s="9" t="s">
        <v>7228</v>
      </c>
      <c r="K945" s="12" t="s">
        <v>7229</v>
      </c>
      <c r="L945" s="9" t="s">
        <v>7230</v>
      </c>
      <c r="M945" s="9">
        <v>51.82437794</v>
      </c>
      <c r="N945" s="10">
        <v>55.14528861</v>
      </c>
      <c r="O945" s="10" t="s">
        <v>7231</v>
      </c>
      <c r="P945" s="9">
        <v>9082026.0</v>
      </c>
      <c r="Q945" s="7" t="str">
        <f>IF(OR(ISBLANK(M945), ISBLANK(N945)), "", IF(N945 &lt; Sheet3!$B$6, "Insufficient Reviews", IF(M945 &gt;= Sheet3!$B$2, "Highly Reliable", IF(M945 &gt;= Sheet3!$B$3, "Reliable", IF(M945 &gt;= Sheet3!$B$4, "Mixed Reviews", "Low Reliability")))))</f>
        <v>Low Reliability</v>
      </c>
    </row>
    <row r="946">
      <c r="A946" s="3">
        <f t="shared" si="1"/>
        <v>945</v>
      </c>
      <c r="B946" s="9" t="s">
        <v>7232</v>
      </c>
      <c r="C946" s="10">
        <v>39.3357927</v>
      </c>
      <c r="D946" s="10">
        <v>-76.751599</v>
      </c>
      <c r="E946" s="9" t="s">
        <v>7233</v>
      </c>
      <c r="F946" s="9" t="s">
        <v>7234</v>
      </c>
      <c r="G946" s="11"/>
      <c r="H946" s="9" t="s">
        <v>126</v>
      </c>
      <c r="I946" s="9" t="s">
        <v>91</v>
      </c>
      <c r="J946" s="9" t="s">
        <v>7235</v>
      </c>
      <c r="K946" s="12" t="s">
        <v>7236</v>
      </c>
      <c r="L946" s="9" t="s">
        <v>7237</v>
      </c>
      <c r="M946" s="9">
        <v>70.08493339</v>
      </c>
      <c r="N946" s="10">
        <v>52.14791075</v>
      </c>
      <c r="O946" s="10" t="s">
        <v>7238</v>
      </c>
      <c r="P946" s="9">
        <v>9082026.0</v>
      </c>
      <c r="Q946" s="7" t="str">
        <f>IF(OR(ISBLANK(M946), ISBLANK(N946)), "", IF(N946 &lt; Sheet3!$B$6, "Insufficient Reviews", IF(M946 &gt;= Sheet3!$B$2, "Highly Reliable", IF(M946 &gt;= Sheet3!$B$3, "Reliable", IF(M946 &gt;= Sheet3!$B$4, "Mixed Reviews", "Low Reliability")))))</f>
        <v>Reliable</v>
      </c>
    </row>
    <row r="947">
      <c r="A947" s="3">
        <f t="shared" si="1"/>
        <v>946</v>
      </c>
      <c r="B947" s="9" t="s">
        <v>7239</v>
      </c>
      <c r="C947" s="10">
        <v>39.325808</v>
      </c>
      <c r="D947" s="10">
        <v>-76.759539</v>
      </c>
      <c r="E947" s="9" t="s">
        <v>7240</v>
      </c>
      <c r="F947" s="9" t="s">
        <v>7241</v>
      </c>
      <c r="G947" s="9" t="s">
        <v>7242</v>
      </c>
      <c r="H947" s="9" t="s">
        <v>126</v>
      </c>
      <c r="I947" s="9" t="s">
        <v>91</v>
      </c>
      <c r="J947" s="9" t="s">
        <v>7243</v>
      </c>
      <c r="K947" s="12" t="s">
        <v>7244</v>
      </c>
      <c r="L947" s="9" t="s">
        <v>7245</v>
      </c>
      <c r="M947" s="9">
        <v>49.29411218</v>
      </c>
      <c r="N947" s="10">
        <v>49.94645475</v>
      </c>
      <c r="O947" s="10" t="s">
        <v>7246</v>
      </c>
      <c r="P947" s="9">
        <v>9082026.0</v>
      </c>
      <c r="Q947" s="7" t="str">
        <f>IF(OR(ISBLANK(M947), ISBLANK(N947)), "", IF(N947 &lt; Sheet3!$B$6, "Insufficient Reviews", IF(M947 &gt;= Sheet3!$B$2, "Highly Reliable", IF(M947 &gt;= Sheet3!$B$3, "Reliable", IF(M947 &gt;= Sheet3!$B$4, "Mixed Reviews", "Low Reliability")))))</f>
        <v>Low Reliability</v>
      </c>
    </row>
    <row r="948">
      <c r="A948" s="3">
        <f t="shared" si="1"/>
        <v>947</v>
      </c>
      <c r="B948" s="9" t="s">
        <v>7247</v>
      </c>
      <c r="C948" s="10">
        <v>39.3258146</v>
      </c>
      <c r="D948" s="10">
        <v>-76.7595815</v>
      </c>
      <c r="E948" s="9" t="s">
        <v>7248</v>
      </c>
      <c r="F948" s="9" t="s">
        <v>7249</v>
      </c>
      <c r="G948" s="9" t="s">
        <v>7250</v>
      </c>
      <c r="H948" s="9" t="s">
        <v>7251</v>
      </c>
      <c r="I948" s="9" t="s">
        <v>44</v>
      </c>
      <c r="J948" s="9" t="s">
        <v>7252</v>
      </c>
      <c r="K948" s="12" t="s">
        <v>7253</v>
      </c>
      <c r="L948" s="9" t="s">
        <v>7254</v>
      </c>
      <c r="M948" s="9">
        <v>13.5</v>
      </c>
      <c r="N948" s="10">
        <v>31.83333333</v>
      </c>
      <c r="O948" s="10" t="s">
        <v>5852</v>
      </c>
      <c r="P948" s="9">
        <v>9082026.0</v>
      </c>
      <c r="Q948" s="7" t="str">
        <f>IF(OR(ISBLANK(M948), ISBLANK(N948)), "", IF(N948 &lt; Sheet3!$B$6, "Insufficient Reviews", IF(M948 &gt;= Sheet3!$B$2, "Highly Reliable", IF(M948 &gt;= Sheet3!$B$3, "Reliable", IF(M948 &gt;= Sheet3!$B$4, "Mixed Reviews", "Low Reliability")))))</f>
        <v>Insufficient Reviews</v>
      </c>
    </row>
    <row r="949">
      <c r="A949" s="3">
        <f t="shared" si="1"/>
        <v>948</v>
      </c>
      <c r="B949" s="9" t="s">
        <v>7255</v>
      </c>
      <c r="C949" s="10">
        <v>39.3277357</v>
      </c>
      <c r="D949" s="10">
        <v>-76.7535832</v>
      </c>
      <c r="E949" s="9" t="s">
        <v>7256</v>
      </c>
      <c r="F949" s="9" t="s">
        <v>7257</v>
      </c>
      <c r="G949" s="9" t="s">
        <v>4186</v>
      </c>
      <c r="H949" s="11"/>
      <c r="I949" s="9" t="s">
        <v>44</v>
      </c>
      <c r="J949" s="9" t="s">
        <v>7258</v>
      </c>
      <c r="K949" s="9"/>
      <c r="L949" s="9" t="s">
        <v>7259</v>
      </c>
      <c r="M949" s="9">
        <v>54.9</v>
      </c>
      <c r="N949" s="10">
        <v>23.57552459</v>
      </c>
      <c r="O949" s="10" t="s">
        <v>7260</v>
      </c>
      <c r="P949" s="9">
        <v>9082026.0</v>
      </c>
      <c r="Q949" s="7" t="str">
        <f>IF(OR(ISBLANK(M949), ISBLANK(N949)), "", IF(N949 &lt; Sheet3!$B$6, "Insufficient Reviews", IF(M949 &gt;= Sheet3!$B$2, "Highly Reliable", IF(M949 &gt;= Sheet3!$B$3, "Reliable", IF(M949 &gt;= Sheet3!$B$4, "Mixed Reviews", "Low Reliability")))))</f>
        <v>Insufficient Reviews</v>
      </c>
    </row>
    <row r="950">
      <c r="A950" s="3">
        <f t="shared" si="1"/>
        <v>949</v>
      </c>
      <c r="B950" s="9" t="s">
        <v>7261</v>
      </c>
      <c r="C950" s="10">
        <v>39.3450012</v>
      </c>
      <c r="D950" s="10">
        <v>-76.7078899</v>
      </c>
      <c r="E950" s="9" t="s">
        <v>7262</v>
      </c>
      <c r="F950" s="9" t="s">
        <v>7263</v>
      </c>
      <c r="G950" s="9" t="s">
        <v>7264</v>
      </c>
      <c r="H950" s="9" t="s">
        <v>7265</v>
      </c>
      <c r="I950" s="9" t="s">
        <v>44</v>
      </c>
      <c r="J950" s="9" t="s">
        <v>7266</v>
      </c>
      <c r="K950" s="12" t="s">
        <v>7267</v>
      </c>
      <c r="L950" s="9" t="s">
        <v>7268</v>
      </c>
      <c r="M950" s="9">
        <v>38.16408895</v>
      </c>
      <c r="N950" s="10">
        <v>50.30548826</v>
      </c>
      <c r="O950" s="10" t="s">
        <v>7269</v>
      </c>
      <c r="P950" s="9">
        <v>9082026.0</v>
      </c>
      <c r="Q950" s="7" t="str">
        <f>IF(OR(ISBLANK(M950), ISBLANK(N950)), "", IF(N950 &lt; Sheet3!$B$6, "Insufficient Reviews", IF(M950 &gt;= Sheet3!$B$2, "Highly Reliable", IF(M950 &gt;= Sheet3!$B$3, "Reliable", IF(M950 &gt;= Sheet3!$B$4, "Mixed Reviews", "Low Reliability")))))</f>
        <v>Low Reliability</v>
      </c>
    </row>
    <row r="951">
      <c r="A951" s="3">
        <f t="shared" si="1"/>
        <v>950</v>
      </c>
      <c r="B951" s="9" t="s">
        <v>7270</v>
      </c>
      <c r="C951" s="10">
        <v>39.3425205</v>
      </c>
      <c r="D951" s="10">
        <v>-76.7079474</v>
      </c>
      <c r="E951" s="9" t="s">
        <v>7271</v>
      </c>
      <c r="F951" s="9" t="s">
        <v>7272</v>
      </c>
      <c r="G951" s="9"/>
      <c r="H951" s="9" t="s">
        <v>126</v>
      </c>
      <c r="I951" s="9" t="s">
        <v>44</v>
      </c>
      <c r="J951" s="9" t="s">
        <v>7273</v>
      </c>
      <c r="K951" s="12" t="s">
        <v>7274</v>
      </c>
      <c r="L951" s="9" t="s">
        <v>7275</v>
      </c>
      <c r="M951" s="9">
        <v>82.27610956</v>
      </c>
      <c r="N951" s="10">
        <v>71.10926049</v>
      </c>
      <c r="O951" s="10" t="s">
        <v>7276</v>
      </c>
      <c r="P951" s="9">
        <v>9082026.0</v>
      </c>
      <c r="Q951" s="7" t="str">
        <f>IF(OR(ISBLANK(M951), ISBLANK(N951)), "", IF(N951 &lt; Sheet3!$B$6, "Insufficient Reviews", IF(M951 &gt;= Sheet3!$B$2, "Highly Reliable", IF(M951 &gt;= Sheet3!$B$3, "Reliable", IF(M951 &gt;= Sheet3!$B$4, "Mixed Reviews", "Low Reliability")))))</f>
        <v>Highly Reliable</v>
      </c>
    </row>
    <row r="952">
      <c r="A952" s="3">
        <f t="shared" si="1"/>
        <v>951</v>
      </c>
      <c r="B952" s="9" t="s">
        <v>7277</v>
      </c>
      <c r="C952" s="10">
        <v>38.6236799</v>
      </c>
      <c r="D952" s="10">
        <v>-76.9122406</v>
      </c>
      <c r="E952" s="9" t="s">
        <v>7278</v>
      </c>
      <c r="F952" s="9" t="s">
        <v>7279</v>
      </c>
      <c r="G952" s="9"/>
      <c r="H952" s="9" t="s">
        <v>7280</v>
      </c>
      <c r="I952" s="9" t="s">
        <v>44</v>
      </c>
      <c r="J952" s="9" t="s">
        <v>7281</v>
      </c>
      <c r="K952" s="9"/>
      <c r="L952" s="9" t="s">
        <v>7282</v>
      </c>
      <c r="M952" s="9">
        <v>12.0</v>
      </c>
      <c r="N952" s="10">
        <v>14.95666667</v>
      </c>
      <c r="O952" s="10" t="s">
        <v>6195</v>
      </c>
      <c r="P952" s="9">
        <v>9082026.0</v>
      </c>
      <c r="Q952" s="7" t="str">
        <f>IF(OR(ISBLANK(M952), ISBLANK(N952)), "", IF(N952 &lt; Sheet3!$B$6, "Insufficient Reviews", IF(M952 &gt;= Sheet3!$B$2, "Highly Reliable", IF(M952 &gt;= Sheet3!$B$3, "Reliable", IF(M952 &gt;= Sheet3!$B$4, "Mixed Reviews", "Low Reliability")))))</f>
        <v>Insufficient Reviews</v>
      </c>
    </row>
    <row r="953">
      <c r="A953" s="3">
        <f t="shared" si="1"/>
        <v>952</v>
      </c>
      <c r="B953" s="9" t="s">
        <v>7283</v>
      </c>
      <c r="C953" s="10">
        <v>38.6219213</v>
      </c>
      <c r="D953" s="10">
        <v>-76.9114183</v>
      </c>
      <c r="E953" s="9" t="s">
        <v>7284</v>
      </c>
      <c r="F953" s="9" t="s">
        <v>7285</v>
      </c>
      <c r="G953" s="9"/>
      <c r="H953" s="9" t="s">
        <v>7286</v>
      </c>
      <c r="I953" s="9" t="s">
        <v>44</v>
      </c>
      <c r="J953" s="9" t="s">
        <v>7287</v>
      </c>
      <c r="K953" s="12" t="s">
        <v>7288</v>
      </c>
      <c r="L953" s="9" t="s">
        <v>7289</v>
      </c>
      <c r="M953" s="9">
        <v>74.98148612</v>
      </c>
      <c r="N953" s="10">
        <v>70.14429905</v>
      </c>
      <c r="O953" s="10" t="s">
        <v>7290</v>
      </c>
      <c r="P953" s="9">
        <v>9082026.0</v>
      </c>
      <c r="Q953" s="7" t="str">
        <f>IF(OR(ISBLANK(M953), ISBLANK(N953)), "", IF(N953 &lt; Sheet3!$B$6, "Insufficient Reviews", IF(M953 &gt;= Sheet3!$B$2, "Highly Reliable", IF(M953 &gt;= Sheet3!$B$3, "Reliable", IF(M953 &gt;= Sheet3!$B$4, "Mixed Reviews", "Low Reliability")))))</f>
        <v>Reliable</v>
      </c>
    </row>
    <row r="954">
      <c r="A954" s="3">
        <f t="shared" si="1"/>
        <v>953</v>
      </c>
      <c r="B954" s="9" t="s">
        <v>7291</v>
      </c>
      <c r="C954" s="10">
        <v>38.6225331</v>
      </c>
      <c r="D954" s="10">
        <v>-76.9115008</v>
      </c>
      <c r="E954" s="9" t="s">
        <v>7292</v>
      </c>
      <c r="F954" s="9" t="s">
        <v>7293</v>
      </c>
      <c r="G954" s="9" t="s">
        <v>4186</v>
      </c>
      <c r="H954" s="11"/>
      <c r="I954" s="9" t="s">
        <v>44</v>
      </c>
      <c r="J954" s="9" t="s">
        <v>7294</v>
      </c>
      <c r="K954" s="9"/>
      <c r="L954" s="9" t="s">
        <v>7295</v>
      </c>
      <c r="M954" s="9">
        <v>53.74983886</v>
      </c>
      <c r="N954" s="10">
        <v>39.8317259</v>
      </c>
      <c r="O954" s="10" t="s">
        <v>7296</v>
      </c>
      <c r="P954" s="9">
        <v>9082026.0</v>
      </c>
      <c r="Q954" s="7" t="str">
        <f>IF(OR(ISBLANK(M954), ISBLANK(N954)), "", IF(N954 &lt; Sheet3!$B$6, "Insufficient Reviews", IF(M954 &gt;= Sheet3!$B$2, "Highly Reliable", IF(M954 &gt;= Sheet3!$B$3, "Reliable", IF(M954 &gt;= Sheet3!$B$4, "Mixed Reviews", "Low Reliability")))))</f>
        <v>Insufficient Reviews</v>
      </c>
    </row>
    <row r="955">
      <c r="A955" s="3">
        <f t="shared" si="1"/>
        <v>954</v>
      </c>
      <c r="B955" s="9" t="s">
        <v>7297</v>
      </c>
      <c r="C955" s="10">
        <v>38.6157892</v>
      </c>
      <c r="D955" s="10">
        <v>-76.9081689</v>
      </c>
      <c r="E955" s="9" t="s">
        <v>7298</v>
      </c>
      <c r="F955" s="9" t="s">
        <v>6325</v>
      </c>
      <c r="G955" s="11"/>
      <c r="H955" s="9" t="s">
        <v>3846</v>
      </c>
      <c r="I955" s="9" t="s">
        <v>44</v>
      </c>
      <c r="J955" s="9" t="s">
        <v>7299</v>
      </c>
      <c r="K955" s="12" t="s">
        <v>6328</v>
      </c>
      <c r="L955" s="9" t="s">
        <v>7300</v>
      </c>
      <c r="M955" s="9">
        <v>75.73263084</v>
      </c>
      <c r="N955" s="10">
        <v>70.52065215</v>
      </c>
      <c r="O955" s="10" t="s">
        <v>7301</v>
      </c>
      <c r="P955" s="9">
        <v>9082026.0</v>
      </c>
      <c r="Q955" s="7" t="str">
        <f>IF(OR(ISBLANK(M955), ISBLANK(N955)), "", IF(N955 &lt; Sheet3!$B$6, "Insufficient Reviews", IF(M955 &gt;= Sheet3!$B$2, "Highly Reliable", IF(M955 &gt;= Sheet3!$B$3, "Reliable", IF(M955 &gt;= Sheet3!$B$4, "Mixed Reviews", "Low Reliability")))))</f>
        <v>Reliable</v>
      </c>
    </row>
    <row r="956">
      <c r="A956" s="3">
        <f t="shared" si="1"/>
        <v>955</v>
      </c>
      <c r="B956" s="9" t="s">
        <v>7302</v>
      </c>
      <c r="C956" s="10">
        <v>38.6497858</v>
      </c>
      <c r="D956" s="10">
        <v>-76.8864129</v>
      </c>
      <c r="E956" s="9" t="s">
        <v>7303</v>
      </c>
      <c r="F956" s="9" t="s">
        <v>7304</v>
      </c>
      <c r="G956" s="9" t="s">
        <v>7305</v>
      </c>
      <c r="H956" s="9" t="s">
        <v>7306</v>
      </c>
      <c r="I956" s="9" t="s">
        <v>44</v>
      </c>
      <c r="J956" s="9" t="s">
        <v>7307</v>
      </c>
      <c r="K956" s="12" t="s">
        <v>7308</v>
      </c>
      <c r="L956" s="9" t="s">
        <v>7309</v>
      </c>
      <c r="M956" s="9">
        <v>84.24846243</v>
      </c>
      <c r="N956" s="10">
        <v>63.9495412</v>
      </c>
      <c r="O956" s="10" t="s">
        <v>7310</v>
      </c>
      <c r="P956" s="9">
        <v>9082026.0</v>
      </c>
      <c r="Q956" s="7" t="str">
        <f>IF(OR(ISBLANK(M956), ISBLANK(N956)), "", IF(N956 &lt; Sheet3!$B$6, "Insufficient Reviews", IF(M956 &gt;= Sheet3!$B$2, "Highly Reliable", IF(M956 &gt;= Sheet3!$B$3, "Reliable", IF(M956 &gt;= Sheet3!$B$4, "Mixed Reviews", "Low Reliability")))))</f>
        <v>Highly Reliable</v>
      </c>
    </row>
    <row r="957">
      <c r="A957" s="3">
        <f t="shared" si="1"/>
        <v>956</v>
      </c>
      <c r="B957" s="9" t="s">
        <v>7311</v>
      </c>
      <c r="C957" s="10">
        <v>38.9066746</v>
      </c>
      <c r="D957" s="10">
        <v>-77.0816988</v>
      </c>
      <c r="E957" s="9" t="s">
        <v>7312</v>
      </c>
      <c r="F957" s="9" t="s">
        <v>7313</v>
      </c>
      <c r="G957" s="9"/>
      <c r="H957" s="9" t="s">
        <v>7314</v>
      </c>
      <c r="I957" s="9" t="s">
        <v>44</v>
      </c>
      <c r="J957" s="9" t="s">
        <v>7315</v>
      </c>
      <c r="K957" s="12" t="s">
        <v>7316</v>
      </c>
      <c r="L957" s="9" t="s">
        <v>7317</v>
      </c>
      <c r="M957" s="9">
        <v>80.64311517</v>
      </c>
      <c r="N957" s="10">
        <v>46.62483908</v>
      </c>
      <c r="O957" s="10" t="s">
        <v>1621</v>
      </c>
      <c r="P957" s="9">
        <v>9082026.0</v>
      </c>
      <c r="Q957" s="7" t="str">
        <f>IF(OR(ISBLANK(M957), ISBLANK(N957)), "", IF(N957 &lt; Sheet3!$B$6, "Insufficient Reviews", IF(M957 &gt;= Sheet3!$B$2, "Highly Reliable", IF(M957 &gt;= Sheet3!$B$3, "Reliable", IF(M957 &gt;= Sheet3!$B$4, "Mixed Reviews", "Low Reliability")))))</f>
        <v>Reliable</v>
      </c>
    </row>
    <row r="958">
      <c r="A958" s="3">
        <f t="shared" si="1"/>
        <v>957</v>
      </c>
      <c r="B958" s="9" t="s">
        <v>7318</v>
      </c>
      <c r="C958" s="10">
        <v>38.6151745</v>
      </c>
      <c r="D958" s="10">
        <v>-76.613641</v>
      </c>
      <c r="E958" s="9" t="s">
        <v>7319</v>
      </c>
      <c r="F958" s="9" t="s">
        <v>7320</v>
      </c>
      <c r="G958" s="11"/>
      <c r="H958" s="9" t="s">
        <v>1476</v>
      </c>
      <c r="I958" s="9" t="s">
        <v>27</v>
      </c>
      <c r="J958" s="9" t="s">
        <v>7321</v>
      </c>
      <c r="K958" s="12" t="s">
        <v>7322</v>
      </c>
      <c r="L958" s="9" t="s">
        <v>7323</v>
      </c>
      <c r="M958" s="9">
        <v>76.5</v>
      </c>
      <c r="N958" s="10">
        <v>37.90283464</v>
      </c>
      <c r="O958" s="10" t="s">
        <v>5611</v>
      </c>
      <c r="P958" s="9">
        <v>9082026.0</v>
      </c>
      <c r="Q958" s="7" t="str">
        <f>IF(OR(ISBLANK(M958), ISBLANK(N958)), "", IF(N958 &lt; Sheet3!$B$6, "Insufficient Reviews", IF(M958 &gt;= Sheet3!$B$2, "Highly Reliable", IF(M958 &gt;= Sheet3!$B$3, "Reliable", IF(M958 &gt;= Sheet3!$B$4, "Mixed Reviews", "Low Reliability")))))</f>
        <v>Insufficient Reviews</v>
      </c>
    </row>
    <row r="959">
      <c r="A959" s="3">
        <f t="shared" si="1"/>
        <v>958</v>
      </c>
      <c r="B959" s="9" t="s">
        <v>7324</v>
      </c>
      <c r="C959" s="10">
        <v>38.7923908</v>
      </c>
      <c r="D959" s="10">
        <v>-76.0707235</v>
      </c>
      <c r="E959" s="9" t="s">
        <v>7325</v>
      </c>
      <c r="F959" s="9" t="s">
        <v>7326</v>
      </c>
      <c r="G959" s="9" t="s">
        <v>7327</v>
      </c>
      <c r="H959" s="9" t="s">
        <v>303</v>
      </c>
      <c r="I959" s="9" t="s">
        <v>44</v>
      </c>
      <c r="J959" s="9" t="s">
        <v>7328</v>
      </c>
      <c r="K959" s="12" t="s">
        <v>7329</v>
      </c>
      <c r="L959" s="9" t="s">
        <v>7330</v>
      </c>
      <c r="M959" s="9">
        <v>74.2023156</v>
      </c>
      <c r="N959" s="10">
        <v>75.10858842</v>
      </c>
      <c r="O959" s="10" t="s">
        <v>7331</v>
      </c>
      <c r="P959" s="9">
        <v>9082026.0</v>
      </c>
      <c r="Q959" s="7" t="str">
        <f>IF(OR(ISBLANK(M959), ISBLANK(N959)), "", IF(N959 &lt; Sheet3!$B$6, "Insufficient Reviews", IF(M959 &gt;= Sheet3!$B$2, "Highly Reliable", IF(M959 &gt;= Sheet3!$B$3, "Reliable", IF(M959 &gt;= Sheet3!$B$4, "Mixed Reviews", "Low Reliability")))))</f>
        <v>Reliable</v>
      </c>
    </row>
    <row r="960">
      <c r="A960" s="3">
        <f t="shared" si="1"/>
        <v>959</v>
      </c>
      <c r="B960" s="9" t="s">
        <v>7332</v>
      </c>
      <c r="C960" s="10">
        <v>38.772181</v>
      </c>
      <c r="D960" s="10">
        <v>-76.0571744</v>
      </c>
      <c r="E960" s="9" t="s">
        <v>7333</v>
      </c>
      <c r="F960" s="9" t="s">
        <v>7334</v>
      </c>
      <c r="G960" s="9" t="s">
        <v>7335</v>
      </c>
      <c r="H960" s="9" t="s">
        <v>6339</v>
      </c>
      <c r="I960" s="9" t="s">
        <v>44</v>
      </c>
      <c r="J960" s="9" t="s">
        <v>7336</v>
      </c>
      <c r="K960" s="12" t="s">
        <v>7337</v>
      </c>
      <c r="L960" s="9" t="s">
        <v>7338</v>
      </c>
      <c r="M960" s="9">
        <v>77.93530927</v>
      </c>
      <c r="N960" s="10">
        <v>72.05417836</v>
      </c>
      <c r="O960" s="10" t="s">
        <v>7339</v>
      </c>
      <c r="P960" s="9">
        <v>9082026.0</v>
      </c>
      <c r="Q960" s="7" t="str">
        <f>IF(OR(ISBLANK(M960), ISBLANK(N960)), "", IF(N960 &lt; Sheet3!$B$6, "Insufficient Reviews", IF(M960 &gt;= Sheet3!$B$2, "Highly Reliable", IF(M960 &gt;= Sheet3!$B$3, "Reliable", IF(M960 &gt;= Sheet3!$B$4, "Mixed Reviews", "Low Reliability")))))</f>
        <v>Reliable</v>
      </c>
    </row>
    <row r="961">
      <c r="A961" s="3">
        <f t="shared" si="1"/>
        <v>960</v>
      </c>
      <c r="B961" s="9" t="s">
        <v>7340</v>
      </c>
      <c r="C961" s="10">
        <v>38.5290275</v>
      </c>
      <c r="D961" s="10">
        <v>-76.974715</v>
      </c>
      <c r="E961" s="9" t="s">
        <v>7341</v>
      </c>
      <c r="F961" s="9" t="s">
        <v>7342</v>
      </c>
      <c r="G961" s="9" t="s">
        <v>7343</v>
      </c>
      <c r="H961" s="9" t="s">
        <v>43</v>
      </c>
      <c r="I961" s="9" t="s">
        <v>44</v>
      </c>
      <c r="J961" s="9" t="s">
        <v>7344</v>
      </c>
      <c r="K961" s="12" t="s">
        <v>7345</v>
      </c>
      <c r="L961" s="9" t="s">
        <v>7346</v>
      </c>
      <c r="M961" s="9">
        <v>16.5</v>
      </c>
      <c r="N961" s="10">
        <v>31.83333333</v>
      </c>
      <c r="O961" s="10" t="s">
        <v>634</v>
      </c>
      <c r="P961" s="9">
        <v>9082026.0</v>
      </c>
      <c r="Q961" s="7" t="str">
        <f>IF(OR(ISBLANK(M961), ISBLANK(N961)), "", IF(N961 &lt; Sheet3!$B$6, "Insufficient Reviews", IF(M961 &gt;= Sheet3!$B$2, "Highly Reliable", IF(M961 &gt;= Sheet3!$B$3, "Reliable", IF(M961 &gt;= Sheet3!$B$4, "Mixed Reviews", "Low Reliability")))))</f>
        <v>Insufficient Reviews</v>
      </c>
    </row>
    <row r="962">
      <c r="A962" s="3">
        <f t="shared" si="1"/>
        <v>961</v>
      </c>
      <c r="B962" s="9" t="s">
        <v>7347</v>
      </c>
      <c r="C962" s="10">
        <v>38.5334052</v>
      </c>
      <c r="D962" s="10">
        <v>-76.5842756</v>
      </c>
      <c r="E962" s="9" t="s">
        <v>7348</v>
      </c>
      <c r="F962" s="9" t="s">
        <v>6325</v>
      </c>
      <c r="G962" s="11"/>
      <c r="H962" s="9" t="s">
        <v>3846</v>
      </c>
      <c r="I962" s="9" t="s">
        <v>44</v>
      </c>
      <c r="J962" s="9" t="s">
        <v>7349</v>
      </c>
      <c r="K962" s="12" t="s">
        <v>6982</v>
      </c>
      <c r="L962" s="9" t="s">
        <v>7350</v>
      </c>
      <c r="M962" s="9">
        <v>41.76044039</v>
      </c>
      <c r="N962" s="10">
        <v>52.66565583</v>
      </c>
      <c r="O962" s="10" t="s">
        <v>7351</v>
      </c>
      <c r="P962" s="9">
        <v>9082026.0</v>
      </c>
      <c r="Q962" s="7" t="str">
        <f>IF(OR(ISBLANK(M962), ISBLANK(N962)), "", IF(N962 &lt; Sheet3!$B$6, "Insufficient Reviews", IF(M962 &gt;= Sheet3!$B$2, "Highly Reliable", IF(M962 &gt;= Sheet3!$B$3, "Reliable", IF(M962 &gt;= Sheet3!$B$4, "Mixed Reviews", "Low Reliability")))))</f>
        <v>Low Reliability</v>
      </c>
    </row>
    <row r="963">
      <c r="A963" s="3">
        <f t="shared" si="1"/>
        <v>962</v>
      </c>
      <c r="B963" s="9" t="s">
        <v>7352</v>
      </c>
      <c r="C963" s="10">
        <v>39.1535891</v>
      </c>
      <c r="D963" s="10">
        <v>-75.4843465</v>
      </c>
      <c r="E963" s="9" t="s">
        <v>7353</v>
      </c>
      <c r="F963" s="9" t="s">
        <v>7354</v>
      </c>
      <c r="G963" s="9" t="s">
        <v>7355</v>
      </c>
      <c r="H963" s="9" t="s">
        <v>135</v>
      </c>
      <c r="I963" s="9" t="s">
        <v>44</v>
      </c>
      <c r="J963" s="9" t="s">
        <v>7356</v>
      </c>
      <c r="K963" s="12" t="s">
        <v>7357</v>
      </c>
      <c r="L963" s="9" t="s">
        <v>7358</v>
      </c>
      <c r="M963" s="9">
        <v>65.75298965</v>
      </c>
      <c r="N963" s="10">
        <v>69.83196281</v>
      </c>
      <c r="O963" s="10" t="s">
        <v>7359</v>
      </c>
      <c r="P963" s="9">
        <v>9082026.0</v>
      </c>
      <c r="Q963" s="7" t="str">
        <f>IF(OR(ISBLANK(M963), ISBLANK(N963)), "", IF(N963 &lt; Sheet3!$B$6, "Insufficient Reviews", IF(M963 &gt;= Sheet3!$B$2, "Highly Reliable", IF(M963 &gt;= Sheet3!$B$3, "Reliable", IF(M963 &gt;= Sheet3!$B$4, "Mixed Reviews", "Low Reliability")))))</f>
        <v>Mixed Reviews</v>
      </c>
    </row>
    <row r="964">
      <c r="A964" s="3">
        <f t="shared" si="1"/>
        <v>963</v>
      </c>
      <c r="B964" s="9" t="s">
        <v>7360</v>
      </c>
      <c r="C964" s="10">
        <v>38.3214186</v>
      </c>
      <c r="D964" s="10">
        <v>-76.6738891</v>
      </c>
      <c r="E964" s="9" t="s">
        <v>7361</v>
      </c>
      <c r="F964" s="9" t="s">
        <v>6325</v>
      </c>
      <c r="G964" s="9" t="s">
        <v>5848</v>
      </c>
      <c r="H964" s="9" t="s">
        <v>3846</v>
      </c>
      <c r="I964" s="9" t="s">
        <v>44</v>
      </c>
      <c r="J964" s="9" t="s">
        <v>7362</v>
      </c>
      <c r="K964" s="12" t="s">
        <v>6982</v>
      </c>
      <c r="L964" s="9" t="s">
        <v>7363</v>
      </c>
      <c r="M964" s="9">
        <v>73.91592337</v>
      </c>
      <c r="N964" s="10">
        <v>56.80795481</v>
      </c>
      <c r="O964" s="10" t="s">
        <v>7364</v>
      </c>
      <c r="P964" s="9">
        <v>9082026.0</v>
      </c>
      <c r="Q964" s="7" t="str">
        <f>IF(OR(ISBLANK(M964), ISBLANK(N964)), "", IF(N964 &lt; Sheet3!$B$6, "Insufficient Reviews", IF(M964 &gt;= Sheet3!$B$2, "Highly Reliable", IF(M964 &gt;= Sheet3!$B$3, "Reliable", IF(M964 &gt;= Sheet3!$B$4, "Mixed Reviews", "Low Reliability")))))</f>
        <v>Reliable</v>
      </c>
    </row>
    <row r="965">
      <c r="A965" s="3">
        <f t="shared" si="1"/>
        <v>964</v>
      </c>
      <c r="B965" s="9" t="s">
        <v>7365</v>
      </c>
      <c r="C965" s="10">
        <v>38.3020285</v>
      </c>
      <c r="D965" s="10">
        <v>-76.638073</v>
      </c>
      <c r="E965" s="9" t="s">
        <v>7366</v>
      </c>
      <c r="F965" s="9" t="s">
        <v>7367</v>
      </c>
      <c r="G965" s="9"/>
      <c r="H965" s="9" t="s">
        <v>135</v>
      </c>
      <c r="I965" s="9" t="s">
        <v>91</v>
      </c>
      <c r="J965" s="9" t="s">
        <v>7368</v>
      </c>
      <c r="K965" s="12" t="s">
        <v>7369</v>
      </c>
      <c r="L965" s="9" t="s">
        <v>7370</v>
      </c>
      <c r="M965" s="9">
        <v>82.97154723</v>
      </c>
      <c r="N965" s="10">
        <v>72.87353536</v>
      </c>
      <c r="O965" s="10" t="s">
        <v>307</v>
      </c>
      <c r="P965" s="9">
        <v>9082026.0</v>
      </c>
      <c r="Q965" s="7" t="str">
        <f>IF(OR(ISBLANK(M965), ISBLANK(N965)), "", IF(N965 &lt; Sheet3!$B$6, "Insufficient Reviews", IF(M965 &gt;= Sheet3!$B$2, "Highly Reliable", IF(M965 &gt;= Sheet3!$B$3, "Reliable", IF(M965 &gt;= Sheet3!$B$4, "Mixed Reviews", "Low Reliability")))))</f>
        <v>Highly Reliable</v>
      </c>
    </row>
    <row r="966">
      <c r="A966" s="3">
        <f t="shared" si="1"/>
        <v>965</v>
      </c>
      <c r="B966" s="9" t="s">
        <v>7371</v>
      </c>
      <c r="C966" s="10">
        <v>38.3618804</v>
      </c>
      <c r="D966" s="10">
        <v>-75.587643</v>
      </c>
      <c r="E966" s="9" t="s">
        <v>7372</v>
      </c>
      <c r="F966" s="9" t="s">
        <v>7373</v>
      </c>
      <c r="G966" s="9" t="s">
        <v>7374</v>
      </c>
      <c r="H966" s="9" t="s">
        <v>135</v>
      </c>
      <c r="I966" s="9" t="s">
        <v>180</v>
      </c>
      <c r="J966" s="9" t="s">
        <v>7375</v>
      </c>
      <c r="K966" s="12" t="s">
        <v>7376</v>
      </c>
      <c r="L966" s="9" t="s">
        <v>7377</v>
      </c>
      <c r="M966" s="9">
        <v>56.51769685</v>
      </c>
      <c r="N966" s="10">
        <v>65.5359075</v>
      </c>
      <c r="O966" s="10" t="s">
        <v>7378</v>
      </c>
      <c r="P966" s="9">
        <v>9082026.0</v>
      </c>
      <c r="Q966" s="7" t="str">
        <f>IF(OR(ISBLANK(M966), ISBLANK(N966)), "", IF(N966 &lt; Sheet3!$B$6, "Insufficient Reviews", IF(M966 &gt;= Sheet3!$B$2, "Highly Reliable", IF(M966 &gt;= Sheet3!$B$3, "Reliable", IF(M966 &gt;= Sheet3!$B$4, "Mixed Reviews", "Low Reliability")))))</f>
        <v>Low Reliability</v>
      </c>
    </row>
    <row r="967">
      <c r="A967" s="3">
        <f t="shared" si="1"/>
        <v>966</v>
      </c>
      <c r="B967" s="9" t="s">
        <v>7379</v>
      </c>
      <c r="C967" s="10">
        <v>38.3374458</v>
      </c>
      <c r="D967" s="10">
        <v>-75.6008229</v>
      </c>
      <c r="E967" s="9" t="s">
        <v>7380</v>
      </c>
      <c r="F967" s="9" t="s">
        <v>7381</v>
      </c>
      <c r="G967" s="9" t="s">
        <v>7382</v>
      </c>
      <c r="H967" s="9" t="s">
        <v>7383</v>
      </c>
      <c r="I967" s="9" t="s">
        <v>44</v>
      </c>
      <c r="J967" s="9" t="s">
        <v>7384</v>
      </c>
      <c r="K967" s="12" t="s">
        <v>7385</v>
      </c>
      <c r="L967" s="9" t="s">
        <v>7386</v>
      </c>
      <c r="M967" s="10">
        <v>83.21339356</v>
      </c>
      <c r="N967" s="10">
        <v>79.0638826</v>
      </c>
      <c r="O967" s="9" t="s">
        <v>7387</v>
      </c>
      <c r="P967" s="9">
        <v>9082026.0</v>
      </c>
      <c r="Q967" s="7" t="str">
        <f>IF(OR(ISBLANK(M967), ISBLANK(N967)), "", IF(N967 &lt; Sheet3!$B$6, "Insufficient Reviews", IF(M967 &gt;= Sheet3!$B$2, "Highly Reliable", IF(M967 &gt;= Sheet3!$B$3, "Reliable", IF(M967 &gt;= Sheet3!$B$4, "Mixed Reviews", "Low Reliability")))))</f>
        <v>Highly Reliable</v>
      </c>
    </row>
    <row r="968">
      <c r="A968" s="3">
        <f t="shared" si="1"/>
        <v>967</v>
      </c>
      <c r="B968" s="9" t="s">
        <v>7388</v>
      </c>
      <c r="C968" s="10">
        <v>38.3261696</v>
      </c>
      <c r="D968" s="10">
        <v>-75.2199769</v>
      </c>
      <c r="E968" s="9" t="s">
        <v>7389</v>
      </c>
      <c r="F968" s="9" t="s">
        <v>7390</v>
      </c>
      <c r="G968" s="9" t="s">
        <v>7391</v>
      </c>
      <c r="H968" s="9" t="s">
        <v>7392</v>
      </c>
      <c r="I968" s="9" t="s">
        <v>35</v>
      </c>
      <c r="J968" s="9" t="s">
        <v>7393</v>
      </c>
      <c r="K968" s="12" t="s">
        <v>7394</v>
      </c>
      <c r="L968" s="9" t="s">
        <v>7395</v>
      </c>
      <c r="M968" s="9">
        <v>52.5</v>
      </c>
      <c r="N968" s="10">
        <v>39.49219126</v>
      </c>
      <c r="O968" s="10" t="s">
        <v>3191</v>
      </c>
      <c r="P968" s="9">
        <v>9082026.0</v>
      </c>
      <c r="Q968" s="7" t="str">
        <f>IF(OR(ISBLANK(M968), ISBLANK(N968)), "", IF(N968 &lt; Sheet3!$B$6, "Insufficient Reviews", IF(M968 &gt;= Sheet3!$B$2, "Highly Reliable", IF(M968 &gt;= Sheet3!$B$3, "Reliable", IF(M968 &gt;= Sheet3!$B$4, "Mixed Reviews", "Low Reliability")))))</f>
        <v>Insufficient Reviews</v>
      </c>
    </row>
    <row r="969">
      <c r="A969" s="3">
        <f t="shared" si="1"/>
        <v>968</v>
      </c>
      <c r="B969" s="9" t="s">
        <v>7396</v>
      </c>
      <c r="C969" s="10">
        <v>40.7588086</v>
      </c>
      <c r="D969" s="10">
        <v>-73.9744859</v>
      </c>
      <c r="E969" s="9" t="s">
        <v>7397</v>
      </c>
      <c r="F969" s="9" t="s">
        <v>7398</v>
      </c>
      <c r="G969" s="9" t="s">
        <v>7399</v>
      </c>
      <c r="H969" s="9" t="s">
        <v>7400</v>
      </c>
      <c r="I969" s="9" t="s">
        <v>44</v>
      </c>
      <c r="J969" s="9" t="s">
        <v>7401</v>
      </c>
      <c r="K969" s="12" t="s">
        <v>7402</v>
      </c>
      <c r="L969" s="9" t="s">
        <v>7403</v>
      </c>
      <c r="M969" s="9">
        <v>71.54294022</v>
      </c>
      <c r="N969" s="10">
        <v>63.24937691</v>
      </c>
      <c r="O969" s="10" t="s">
        <v>7404</v>
      </c>
      <c r="P969" s="9">
        <v>9082026.0</v>
      </c>
      <c r="Q969" s="7" t="str">
        <f>IF(OR(ISBLANK(M969), ISBLANK(N969)), "", IF(N969 &lt; Sheet3!$B$6, "Insufficient Reviews", IF(M969 &gt;= Sheet3!$B$2, "Highly Reliable", IF(M969 &gt;= Sheet3!$B$3, "Reliable", IF(M969 &gt;= Sheet3!$B$4, "Mixed Reviews", "Low Reliability")))))</f>
        <v>Reliable</v>
      </c>
    </row>
    <row r="970">
      <c r="A970" s="3">
        <f t="shared" si="1"/>
        <v>969</v>
      </c>
      <c r="B970" s="11"/>
      <c r="C970" s="10">
        <v>38.1319444</v>
      </c>
      <c r="D970" s="10">
        <v>-79.3308385</v>
      </c>
      <c r="E970" s="9" t="s">
        <v>7405</v>
      </c>
      <c r="F970" s="9" t="s">
        <v>7406</v>
      </c>
      <c r="G970" s="9" t="s">
        <v>7407</v>
      </c>
      <c r="H970" s="9" t="s">
        <v>7408</v>
      </c>
      <c r="I970" s="9" t="s">
        <v>44</v>
      </c>
      <c r="J970" s="9" t="s">
        <v>7409</v>
      </c>
      <c r="K970" s="12" t="s">
        <v>7410</v>
      </c>
      <c r="L970" s="9" t="s">
        <v>7411</v>
      </c>
      <c r="M970" s="9">
        <v>81.4383839</v>
      </c>
      <c r="N970" s="10">
        <v>49.80519172</v>
      </c>
      <c r="O970" s="10" t="s">
        <v>7412</v>
      </c>
      <c r="P970" s="9">
        <v>9082026.0</v>
      </c>
      <c r="Q970" s="7" t="str">
        <f>IF(OR(ISBLANK(M970), ISBLANK(N970)), "", IF(N970 &lt; Sheet3!$B$6, "Insufficient Reviews", IF(M970 &gt;= Sheet3!$B$2, "Highly Reliable", IF(M970 &gt;= Sheet3!$B$3, "Reliable", IF(M970 &gt;= Sheet3!$B$4, "Mixed Reviews", "Low Reliability")))))</f>
        <v>Reliable</v>
      </c>
    </row>
    <row r="971">
      <c r="A971" s="3">
        <f t="shared" si="1"/>
        <v>970</v>
      </c>
      <c r="B971" s="9" t="s">
        <v>7413</v>
      </c>
      <c r="C971" s="10">
        <v>39.1477913</v>
      </c>
      <c r="D971" s="10">
        <v>-77.0120962</v>
      </c>
      <c r="E971" s="9" t="s">
        <v>7414</v>
      </c>
      <c r="F971" s="9" t="s">
        <v>7415</v>
      </c>
      <c r="G971" s="9" t="s">
        <v>7416</v>
      </c>
      <c r="H971" s="9"/>
      <c r="I971" s="9" t="s">
        <v>44</v>
      </c>
      <c r="J971" s="9" t="s">
        <v>7417</v>
      </c>
      <c r="K971" s="12" t="s">
        <v>7418</v>
      </c>
      <c r="L971" s="9" t="s">
        <v>7419</v>
      </c>
      <c r="M971" s="9">
        <v>77.216121</v>
      </c>
      <c r="N971" s="10">
        <v>61.20327957</v>
      </c>
      <c r="O971" s="10" t="s">
        <v>7420</v>
      </c>
      <c r="P971" s="9">
        <v>9082026.0</v>
      </c>
      <c r="Q971" s="7" t="str">
        <f>IF(OR(ISBLANK(M971), ISBLANK(N971)), "", IF(N971 &lt; Sheet3!$B$6, "Insufficient Reviews", IF(M971 &gt;= Sheet3!$B$2, "Highly Reliable", IF(M971 &gt;= Sheet3!$B$3, "Reliable", IF(M971 &gt;= Sheet3!$B$4, "Mixed Reviews", "Low Reliability")))))</f>
        <v>Reliable</v>
      </c>
    </row>
    <row r="972">
      <c r="A972" s="3">
        <f t="shared" si="1"/>
        <v>971</v>
      </c>
      <c r="B972" s="9" t="s">
        <v>7421</v>
      </c>
      <c r="C972" s="10">
        <v>40.788785</v>
      </c>
      <c r="D972" s="10">
        <v>-74.680719</v>
      </c>
      <c r="E972" s="9" t="s">
        <v>7422</v>
      </c>
      <c r="F972" s="9" t="s">
        <v>7423</v>
      </c>
      <c r="G972" s="9" t="s">
        <v>7424</v>
      </c>
      <c r="H972" s="9" t="s">
        <v>126</v>
      </c>
      <c r="I972" s="9" t="s">
        <v>35</v>
      </c>
      <c r="J972" s="9" t="s">
        <v>7425</v>
      </c>
      <c r="K972" s="12" t="s">
        <v>7426</v>
      </c>
      <c r="L972" s="9" t="s">
        <v>7427</v>
      </c>
      <c r="M972" s="9">
        <v>81.2084661</v>
      </c>
      <c r="N972" s="10">
        <v>55.84366392</v>
      </c>
      <c r="O972" s="10" t="s">
        <v>7428</v>
      </c>
      <c r="P972" s="9">
        <v>9082026.0</v>
      </c>
      <c r="Q972" s="7" t="str">
        <f>IF(OR(ISBLANK(M972), ISBLANK(N972)), "", IF(N972 &lt; Sheet3!$B$6, "Insufficient Reviews", IF(M972 &gt;= Sheet3!$B$2, "Highly Reliable", IF(M972 &gt;= Sheet3!$B$3, "Reliable", IF(M972 &gt;= Sheet3!$B$4, "Mixed Reviews", "Low Reliability")))))</f>
        <v>Reliable</v>
      </c>
    </row>
    <row r="973">
      <c r="A973" s="3">
        <f t="shared" si="1"/>
        <v>972</v>
      </c>
      <c r="B973" s="9" t="s">
        <v>7429</v>
      </c>
      <c r="C973" s="10">
        <v>39.6635176</v>
      </c>
      <c r="D973" s="10">
        <v>-76.8890658</v>
      </c>
      <c r="E973" s="9" t="s">
        <v>7430</v>
      </c>
      <c r="F973" s="9" t="s">
        <v>7431</v>
      </c>
      <c r="G973" s="9" t="s">
        <v>7432</v>
      </c>
      <c r="H973" s="9" t="s">
        <v>7433</v>
      </c>
      <c r="I973" s="9" t="s">
        <v>44</v>
      </c>
      <c r="J973" s="9" t="s">
        <v>7434</v>
      </c>
      <c r="K973" s="12" t="s">
        <v>7435</v>
      </c>
      <c r="L973" s="9" t="s">
        <v>7436</v>
      </c>
      <c r="M973" s="9">
        <v>75.61143514</v>
      </c>
      <c r="N973" s="10">
        <v>71.00964522</v>
      </c>
      <c r="O973" s="10" t="s">
        <v>7437</v>
      </c>
      <c r="P973" s="9">
        <v>9082026.0</v>
      </c>
      <c r="Q973" s="7" t="str">
        <f>IF(OR(ISBLANK(M973), ISBLANK(N973)), "", IF(N973 &lt; Sheet3!$B$6, "Insufficient Reviews", IF(M973 &gt;= Sheet3!$B$2, "Highly Reliable", IF(M973 &gt;= Sheet3!$B$3, "Reliable", IF(M973 &gt;= Sheet3!$B$4, "Mixed Reviews", "Low Reliability")))))</f>
        <v>Reliable</v>
      </c>
    </row>
    <row r="974">
      <c r="A974" s="3">
        <f t="shared" si="1"/>
        <v>973</v>
      </c>
      <c r="B974" s="9" t="s">
        <v>7438</v>
      </c>
      <c r="C974" s="10">
        <v>39.3321962</v>
      </c>
      <c r="D974" s="10">
        <v>-76.6989828</v>
      </c>
      <c r="E974" s="9" t="s">
        <v>7439</v>
      </c>
      <c r="F974" s="9" t="s">
        <v>7440</v>
      </c>
      <c r="G974" s="9" t="s">
        <v>7441</v>
      </c>
      <c r="H974" s="9" t="s">
        <v>7442</v>
      </c>
      <c r="I974" s="9" t="s">
        <v>35</v>
      </c>
      <c r="J974" s="9" t="s">
        <v>7443</v>
      </c>
      <c r="K974" s="12" t="s">
        <v>7444</v>
      </c>
      <c r="L974" s="9" t="s">
        <v>7445</v>
      </c>
      <c r="M974" s="9">
        <v>83.02863897</v>
      </c>
      <c r="N974" s="10">
        <v>82.77014184</v>
      </c>
      <c r="O974" s="10" t="s">
        <v>7446</v>
      </c>
      <c r="P974" s="9">
        <v>9082026.0</v>
      </c>
      <c r="Q974" s="7" t="str">
        <f>IF(OR(ISBLANK(M974), ISBLANK(N974)), "", IF(N974 &lt; Sheet3!$B$6, "Insufficient Reviews", IF(M974 &gt;= Sheet3!$B$2, "Highly Reliable", IF(M974 &gt;= Sheet3!$B$3, "Reliable", IF(M974 &gt;= Sheet3!$B$4, "Mixed Reviews", "Low Reliability")))))</f>
        <v>Highly Reliable</v>
      </c>
    </row>
    <row r="975">
      <c r="A975" s="3">
        <f t="shared" si="1"/>
        <v>974</v>
      </c>
      <c r="B975" s="9" t="s">
        <v>7447</v>
      </c>
      <c r="C975" s="10">
        <v>39.3112746</v>
      </c>
      <c r="D975" s="10">
        <v>-76.7400263</v>
      </c>
      <c r="E975" s="9" t="s">
        <v>7448</v>
      </c>
      <c r="F975" s="9" t="s">
        <v>7449</v>
      </c>
      <c r="G975" s="9" t="s">
        <v>7450</v>
      </c>
      <c r="H975" s="9" t="s">
        <v>4681</v>
      </c>
      <c r="I975" s="9" t="s">
        <v>35</v>
      </c>
      <c r="J975" s="9" t="s">
        <v>7451</v>
      </c>
      <c r="K975" s="12" t="s">
        <v>7452</v>
      </c>
      <c r="L975" s="9" t="s">
        <v>7453</v>
      </c>
      <c r="M975" s="9">
        <v>85.97151987</v>
      </c>
      <c r="N975" s="10">
        <v>73.80639721</v>
      </c>
      <c r="O975" s="10" t="s">
        <v>7454</v>
      </c>
      <c r="P975" s="9">
        <v>9082026.0</v>
      </c>
      <c r="Q975" s="7" t="str">
        <f>IF(OR(ISBLANK(M975), ISBLANK(N975)), "", IF(N975 &lt; Sheet3!$B$6, "Insufficient Reviews", IF(M975 &gt;= Sheet3!$B$2, "Highly Reliable", IF(M975 &gt;= Sheet3!$B$3, "Reliable", IF(M975 &gt;= Sheet3!$B$4, "Mixed Reviews", "Low Reliability")))))</f>
        <v>Highly Reliable</v>
      </c>
    </row>
    <row r="976">
      <c r="A976" s="3">
        <f t="shared" si="1"/>
        <v>975</v>
      </c>
      <c r="B976" s="9" t="s">
        <v>7455</v>
      </c>
      <c r="C976" s="10">
        <v>39.3058959</v>
      </c>
      <c r="D976" s="10">
        <v>-76.7535686</v>
      </c>
      <c r="E976" s="9" t="s">
        <v>7456</v>
      </c>
      <c r="F976" s="9" t="s">
        <v>7457</v>
      </c>
      <c r="G976" s="11"/>
      <c r="H976" s="9" t="s">
        <v>7458</v>
      </c>
      <c r="I976" s="9" t="s">
        <v>44</v>
      </c>
      <c r="J976" s="9" t="s">
        <v>7459</v>
      </c>
      <c r="K976" s="12" t="s">
        <v>7460</v>
      </c>
      <c r="L976" s="9" t="s">
        <v>7461</v>
      </c>
      <c r="M976" s="9">
        <v>66.82610991</v>
      </c>
      <c r="N976" s="10">
        <v>57.44428991</v>
      </c>
      <c r="O976" s="10" t="s">
        <v>7462</v>
      </c>
      <c r="P976" s="9">
        <v>9082026.0</v>
      </c>
      <c r="Q976" s="7" t="str">
        <f>IF(OR(ISBLANK(M976), ISBLANK(N976)), "", IF(N976 &lt; Sheet3!$B$6, "Insufficient Reviews", IF(M976 &gt;= Sheet3!$B$2, "Highly Reliable", IF(M976 &gt;= Sheet3!$B$3, "Reliable", IF(M976 &gt;= Sheet3!$B$4, "Mixed Reviews", "Low Reliability")))))</f>
        <v>Mixed Reviews</v>
      </c>
    </row>
    <row r="977">
      <c r="A977" s="3">
        <f t="shared" si="1"/>
        <v>976</v>
      </c>
      <c r="B977" s="9" t="s">
        <v>7463</v>
      </c>
      <c r="C977" s="10">
        <v>39.3409677</v>
      </c>
      <c r="D977" s="10">
        <v>-76.6830317</v>
      </c>
      <c r="E977" s="9" t="s">
        <v>7464</v>
      </c>
      <c r="F977" s="9" t="s">
        <v>7465</v>
      </c>
      <c r="G977" s="9" t="s">
        <v>7466</v>
      </c>
      <c r="H977" s="9" t="s">
        <v>3216</v>
      </c>
      <c r="I977" s="9" t="s">
        <v>44</v>
      </c>
      <c r="J977" s="9" t="s">
        <v>7467</v>
      </c>
      <c r="K977" s="12" t="s">
        <v>7468</v>
      </c>
      <c r="L977" s="9" t="s">
        <v>7469</v>
      </c>
      <c r="M977" s="9">
        <v>73.81619294</v>
      </c>
      <c r="N977" s="10">
        <v>87.15120563</v>
      </c>
      <c r="O977" s="10" t="s">
        <v>7470</v>
      </c>
      <c r="P977" s="9">
        <v>9082026.0</v>
      </c>
      <c r="Q977" s="7" t="str">
        <f>IF(OR(ISBLANK(M977), ISBLANK(N977)), "", IF(N977 &lt; Sheet3!$B$6, "Insufficient Reviews", IF(M977 &gt;= Sheet3!$B$2, "Highly Reliable", IF(M977 &gt;= Sheet3!$B$3, "Reliable", IF(M977 &gt;= Sheet3!$B$4, "Mixed Reviews", "Low Reliability")))))</f>
        <v>Reliable</v>
      </c>
    </row>
    <row r="978">
      <c r="A978" s="3">
        <f t="shared" si="1"/>
        <v>977</v>
      </c>
      <c r="B978" s="9" t="s">
        <v>7471</v>
      </c>
      <c r="C978" s="10">
        <v>39.4007811</v>
      </c>
      <c r="D978" s="10">
        <v>-76.6038908</v>
      </c>
      <c r="E978" s="9" t="s">
        <v>7472</v>
      </c>
      <c r="F978" s="9" t="s">
        <v>7473</v>
      </c>
      <c r="G978" s="9" t="s">
        <v>7474</v>
      </c>
      <c r="H978" s="9" t="s">
        <v>126</v>
      </c>
      <c r="I978" s="9" t="s">
        <v>44</v>
      </c>
      <c r="J978" s="9" t="s">
        <v>7475</v>
      </c>
      <c r="K978" s="12" t="s">
        <v>7476</v>
      </c>
      <c r="L978" s="9" t="s">
        <v>7477</v>
      </c>
      <c r="M978" s="9">
        <v>16.5</v>
      </c>
      <c r="N978" s="10">
        <v>31.83333333</v>
      </c>
      <c r="O978" s="10" t="s">
        <v>290</v>
      </c>
      <c r="P978" s="9">
        <v>9082026.0</v>
      </c>
      <c r="Q978" s="7" t="str">
        <f>IF(OR(ISBLANK(M978), ISBLANK(N978)), "", IF(N978 &lt; Sheet3!$B$6, "Insufficient Reviews", IF(M978 &gt;= Sheet3!$B$2, "Highly Reliable", IF(M978 &gt;= Sheet3!$B$3, "Reliable", IF(M978 &gt;= Sheet3!$B$4, "Mixed Reviews", "Low Reliability")))))</f>
        <v>Insufficient Reviews</v>
      </c>
    </row>
    <row r="979">
      <c r="A979" s="3">
        <f t="shared" si="1"/>
        <v>978</v>
      </c>
      <c r="B979" s="9" t="s">
        <v>7478</v>
      </c>
      <c r="C979" s="10">
        <v>39.4164705</v>
      </c>
      <c r="D979" s="10">
        <v>-76.6135019</v>
      </c>
      <c r="E979" s="9" t="s">
        <v>7479</v>
      </c>
      <c r="F979" s="9" t="s">
        <v>7480</v>
      </c>
      <c r="G979" s="9" t="s">
        <v>7481</v>
      </c>
      <c r="H979" s="9" t="s">
        <v>6339</v>
      </c>
      <c r="I979" s="9" t="s">
        <v>44</v>
      </c>
      <c r="J979" s="9" t="s">
        <v>7482</v>
      </c>
      <c r="K979" s="12" t="s">
        <v>7483</v>
      </c>
      <c r="L979" s="9" t="s">
        <v>7484</v>
      </c>
      <c r="M979" s="9">
        <v>79.9225857</v>
      </c>
      <c r="N979" s="10">
        <v>72.07561032</v>
      </c>
      <c r="O979" s="10" t="s">
        <v>7485</v>
      </c>
      <c r="P979" s="9">
        <v>9082026.0</v>
      </c>
      <c r="Q979" s="7" t="str">
        <f>IF(OR(ISBLANK(M979), ISBLANK(N979)), "", IF(N979 &lt; Sheet3!$B$6, "Insufficient Reviews", IF(M979 &gt;= Sheet3!$B$2, "Highly Reliable", IF(M979 &gt;= Sheet3!$B$3, "Reliable", IF(M979 &gt;= Sheet3!$B$4, "Mixed Reviews", "Low Reliability")))))</f>
        <v>Reliable</v>
      </c>
    </row>
    <row r="980">
      <c r="A980" s="3">
        <f t="shared" si="1"/>
        <v>979</v>
      </c>
      <c r="B980" s="9" t="s">
        <v>7486</v>
      </c>
      <c r="C980" s="10">
        <v>39.2815469</v>
      </c>
      <c r="D980" s="10">
        <v>-76.8669876</v>
      </c>
      <c r="E980" s="9" t="s">
        <v>7487</v>
      </c>
      <c r="F980" s="9" t="s">
        <v>7488</v>
      </c>
      <c r="G980" s="9"/>
      <c r="H980" s="9" t="s">
        <v>126</v>
      </c>
      <c r="I980" s="9" t="s">
        <v>44</v>
      </c>
      <c r="J980" s="9" t="s">
        <v>7489</v>
      </c>
      <c r="K980" s="12" t="s">
        <v>7490</v>
      </c>
      <c r="L980" s="9" t="s">
        <v>7491</v>
      </c>
      <c r="M980" s="9">
        <v>86.07276109</v>
      </c>
      <c r="N980" s="10">
        <v>50.24460302</v>
      </c>
      <c r="O980" s="10" t="s">
        <v>7492</v>
      </c>
      <c r="P980" s="9">
        <v>9082026.0</v>
      </c>
      <c r="Q980" s="7" t="str">
        <f>IF(OR(ISBLANK(M980), ISBLANK(N980)), "", IF(N980 &lt; Sheet3!$B$6, "Insufficient Reviews", IF(M980 &gt;= Sheet3!$B$2, "Highly Reliable", IF(M980 &gt;= Sheet3!$B$3, "Reliable", IF(M980 &gt;= Sheet3!$B$4, "Mixed Reviews", "Low Reliability")))))</f>
        <v>Highly Reliable</v>
      </c>
    </row>
    <row r="981">
      <c r="A981" s="3">
        <f t="shared" si="1"/>
        <v>980</v>
      </c>
      <c r="B981" s="9" t="s">
        <v>7493</v>
      </c>
      <c r="C981" s="10">
        <v>39.389613</v>
      </c>
      <c r="D981" s="10">
        <v>-76.6257971</v>
      </c>
      <c r="E981" s="9" t="s">
        <v>7494</v>
      </c>
      <c r="F981" s="9" t="s">
        <v>7495</v>
      </c>
      <c r="G981" s="9"/>
      <c r="H981" s="11"/>
      <c r="I981" s="9" t="s">
        <v>44</v>
      </c>
      <c r="J981" s="9" t="s">
        <v>7496</v>
      </c>
      <c r="K981" s="12" t="s">
        <v>7497</v>
      </c>
      <c r="L981" s="9" t="s">
        <v>7498</v>
      </c>
      <c r="M981" s="9">
        <v>15.0</v>
      </c>
      <c r="N981" s="10">
        <v>31.83333333</v>
      </c>
      <c r="O981" s="10" t="s">
        <v>290</v>
      </c>
      <c r="P981" s="9">
        <v>9082026.0</v>
      </c>
      <c r="Q981" s="7" t="str">
        <f>IF(OR(ISBLANK(M981), ISBLANK(N981)), "", IF(N981 &lt; Sheet3!$B$6, "Insufficient Reviews", IF(M981 &gt;= Sheet3!$B$2, "Highly Reliable", IF(M981 &gt;= Sheet3!$B$3, "Reliable", IF(M981 &gt;= Sheet3!$B$4, "Mixed Reviews", "Low Reliability")))))</f>
        <v>Insufficient Reviews</v>
      </c>
    </row>
    <row r="982">
      <c r="A982" s="3">
        <f t="shared" si="1"/>
        <v>981</v>
      </c>
      <c r="B982" s="9" t="s">
        <v>7499</v>
      </c>
      <c r="C982" s="10">
        <v>39.3336026</v>
      </c>
      <c r="D982" s="10">
        <v>-76.6632575</v>
      </c>
      <c r="E982" s="9" t="s">
        <v>7500</v>
      </c>
      <c r="F982" s="9" t="s">
        <v>7501</v>
      </c>
      <c r="G982" s="9"/>
      <c r="H982" s="9" t="s">
        <v>7502</v>
      </c>
      <c r="I982" s="9" t="s">
        <v>44</v>
      </c>
      <c r="J982" s="9" t="s">
        <v>7503</v>
      </c>
      <c r="K982" s="9"/>
      <c r="L982" s="9" t="s">
        <v>7504</v>
      </c>
      <c r="M982" s="9">
        <v>53.89087308</v>
      </c>
      <c r="N982" s="10">
        <v>43.98052529</v>
      </c>
      <c r="O982" s="10" t="s">
        <v>7505</v>
      </c>
      <c r="P982" s="9">
        <v>9082026.0</v>
      </c>
      <c r="Q982" s="7" t="str">
        <f>IF(OR(ISBLANK(M982), ISBLANK(N982)), "", IF(N982 &lt; Sheet3!$B$6, "Insufficient Reviews", IF(M982 &gt;= Sheet3!$B$2, "Highly Reliable", IF(M982 &gt;= Sheet3!$B$3, "Reliable", IF(M982 &gt;= Sheet3!$B$4, "Mixed Reviews", "Low Reliability")))))</f>
        <v>Low Reliability</v>
      </c>
    </row>
    <row r="983">
      <c r="A983" s="3">
        <f t="shared" si="1"/>
        <v>982</v>
      </c>
      <c r="B983" s="9" t="s">
        <v>7506</v>
      </c>
      <c r="C983" s="10">
        <v>39.3336434</v>
      </c>
      <c r="D983" s="10">
        <v>-76.6615111</v>
      </c>
      <c r="E983" s="9" t="s">
        <v>7507</v>
      </c>
      <c r="F983" s="9" t="s">
        <v>7508</v>
      </c>
      <c r="G983" s="9"/>
      <c r="H983" s="9" t="s">
        <v>7509</v>
      </c>
      <c r="I983" s="9" t="s">
        <v>44</v>
      </c>
      <c r="J983" s="9" t="s">
        <v>7510</v>
      </c>
      <c r="K983" s="12" t="s">
        <v>7511</v>
      </c>
      <c r="L983" s="9" t="s">
        <v>7512</v>
      </c>
      <c r="M983" s="9">
        <v>15.0</v>
      </c>
      <c r="N983" s="10">
        <v>31.83333333</v>
      </c>
      <c r="O983" s="10" t="s">
        <v>290</v>
      </c>
      <c r="P983" s="9">
        <v>9082026.0</v>
      </c>
      <c r="Q983" s="7" t="str">
        <f>IF(OR(ISBLANK(M983), ISBLANK(N983)), "", IF(N983 &lt; Sheet3!$B$6, "Insufficient Reviews", IF(M983 &gt;= Sheet3!$B$2, "Highly Reliable", IF(M983 &gt;= Sheet3!$B$3, "Reliable", IF(M983 &gt;= Sheet3!$B$4, "Mixed Reviews", "Low Reliability")))))</f>
        <v>Insufficient Reviews</v>
      </c>
    </row>
    <row r="984">
      <c r="A984" s="3">
        <f t="shared" si="1"/>
        <v>983</v>
      </c>
      <c r="B984" s="9" t="s">
        <v>7513</v>
      </c>
      <c r="C984" s="10">
        <v>39.2848671</v>
      </c>
      <c r="D984" s="10">
        <v>-76.756872</v>
      </c>
      <c r="E984" s="9" t="s">
        <v>7514</v>
      </c>
      <c r="F984" s="9" t="s">
        <v>7515</v>
      </c>
      <c r="G984" s="9" t="s">
        <v>7516</v>
      </c>
      <c r="H984" s="9" t="s">
        <v>7517</v>
      </c>
      <c r="I984" s="9" t="s">
        <v>44</v>
      </c>
      <c r="J984" s="9" t="s">
        <v>7518</v>
      </c>
      <c r="K984" s="12" t="s">
        <v>7519</v>
      </c>
      <c r="L984" s="9" t="s">
        <v>7520</v>
      </c>
      <c r="M984" s="9">
        <v>66.9</v>
      </c>
      <c r="N984" s="10">
        <v>41.7322636</v>
      </c>
      <c r="O984" s="10" t="s">
        <v>5486</v>
      </c>
      <c r="P984" s="9">
        <v>9082026.0</v>
      </c>
      <c r="Q984" s="7" t="str">
        <f>IF(OR(ISBLANK(M984), ISBLANK(N984)), "", IF(N984 &lt; Sheet3!$B$6, "Insufficient Reviews", IF(M984 &gt;= Sheet3!$B$2, "Highly Reliable", IF(M984 &gt;= Sheet3!$B$3, "Reliable", IF(M984 &gt;= Sheet3!$B$4, "Mixed Reviews", "Low Reliability")))))</f>
        <v>Mixed Reviews</v>
      </c>
    </row>
    <row r="985">
      <c r="A985" s="3">
        <f t="shared" si="1"/>
        <v>984</v>
      </c>
      <c r="B985" s="9" t="s">
        <v>7521</v>
      </c>
      <c r="C985" s="10">
        <v>39.3616158</v>
      </c>
      <c r="D985" s="10">
        <v>-76.624006</v>
      </c>
      <c r="E985" s="9" t="s">
        <v>7522</v>
      </c>
      <c r="F985" s="9" t="s">
        <v>7523</v>
      </c>
      <c r="G985" s="9" t="s">
        <v>7524</v>
      </c>
      <c r="H985" s="9"/>
      <c r="I985" s="9" t="s">
        <v>44</v>
      </c>
      <c r="J985" s="9" t="s">
        <v>7525</v>
      </c>
      <c r="K985" s="12" t="s">
        <v>7526</v>
      </c>
      <c r="L985" s="9" t="s">
        <v>7527</v>
      </c>
      <c r="M985" s="9">
        <v>41.78321062</v>
      </c>
      <c r="N985" s="10">
        <v>48.2589795</v>
      </c>
      <c r="O985" s="10" t="s">
        <v>7528</v>
      </c>
      <c r="P985" s="9">
        <v>9082026.0</v>
      </c>
      <c r="Q985" s="7" t="str">
        <f>IF(OR(ISBLANK(M985), ISBLANK(N985)), "", IF(N985 &lt; Sheet3!$B$6, "Insufficient Reviews", IF(M985 &gt;= Sheet3!$B$2, "Highly Reliable", IF(M985 &gt;= Sheet3!$B$3, "Reliable", IF(M985 &gt;= Sheet3!$B$4, "Mixed Reviews", "Low Reliability")))))</f>
        <v>Low Reliability</v>
      </c>
    </row>
    <row r="986">
      <c r="A986" s="3">
        <f t="shared" si="1"/>
        <v>985</v>
      </c>
      <c r="B986" s="9" t="s">
        <v>7529</v>
      </c>
      <c r="C986" s="10">
        <v>39.3145684</v>
      </c>
      <c r="D986" s="10">
        <v>-76.6770949</v>
      </c>
      <c r="E986" s="9" t="s">
        <v>7530</v>
      </c>
      <c r="F986" s="9" t="s">
        <v>7531</v>
      </c>
      <c r="G986" s="9" t="s">
        <v>7532</v>
      </c>
      <c r="H986" s="9" t="s">
        <v>62</v>
      </c>
      <c r="I986" s="9" t="s">
        <v>44</v>
      </c>
      <c r="J986" s="9" t="s">
        <v>7533</v>
      </c>
      <c r="K986" s="12" t="s">
        <v>7534</v>
      </c>
      <c r="L986" s="9" t="s">
        <v>7535</v>
      </c>
      <c r="M986" s="9">
        <v>78.06574423</v>
      </c>
      <c r="N986" s="10">
        <v>70.9439403</v>
      </c>
      <c r="O986" s="10" t="s">
        <v>7536</v>
      </c>
      <c r="P986" s="9">
        <v>9082026.0</v>
      </c>
      <c r="Q986" s="7" t="str">
        <f>IF(OR(ISBLANK(M986), ISBLANK(N986)), "", IF(N986 &lt; Sheet3!$B$6, "Insufficient Reviews", IF(M986 &gt;= Sheet3!$B$2, "Highly Reliable", IF(M986 &gt;= Sheet3!$B$3, "Reliable", IF(M986 &gt;= Sheet3!$B$4, "Mixed Reviews", "Low Reliability")))))</f>
        <v>Reliable</v>
      </c>
    </row>
    <row r="987">
      <c r="A987" s="3">
        <f t="shared" si="1"/>
        <v>986</v>
      </c>
      <c r="B987" s="9" t="s">
        <v>7537</v>
      </c>
      <c r="C987" s="10">
        <v>39.3765433</v>
      </c>
      <c r="D987" s="10">
        <v>-76.6092873</v>
      </c>
      <c r="E987" s="9" t="s">
        <v>7538</v>
      </c>
      <c r="F987" s="9" t="s">
        <v>7539</v>
      </c>
      <c r="G987" s="9" t="s">
        <v>7540</v>
      </c>
      <c r="H987" s="9" t="s">
        <v>7541</v>
      </c>
      <c r="I987" s="9" t="s">
        <v>44</v>
      </c>
      <c r="J987" s="9" t="s">
        <v>7542</v>
      </c>
      <c r="K987" s="12" t="s">
        <v>7543</v>
      </c>
      <c r="L987" s="9" t="s">
        <v>7544</v>
      </c>
      <c r="M987" s="9">
        <v>82.01902934</v>
      </c>
      <c r="N987" s="10">
        <v>56.40097312</v>
      </c>
      <c r="O987" s="10" t="s">
        <v>7545</v>
      </c>
      <c r="P987" s="9">
        <v>9082026.0</v>
      </c>
      <c r="Q987" s="7" t="str">
        <f>IF(OR(ISBLANK(M987), ISBLANK(N987)), "", IF(N987 &lt; Sheet3!$B$6, "Insufficient Reviews", IF(M987 &gt;= Sheet3!$B$2, "Highly Reliable", IF(M987 &gt;= Sheet3!$B$3, "Reliable", IF(M987 &gt;= Sheet3!$B$4, "Mixed Reviews", "Low Reliability")))))</f>
        <v>Highly Reliable</v>
      </c>
    </row>
    <row r="988">
      <c r="A988" s="3">
        <f t="shared" si="1"/>
        <v>987</v>
      </c>
      <c r="B988" s="9" t="s">
        <v>7546</v>
      </c>
      <c r="C988" s="10">
        <v>39.267399</v>
      </c>
      <c r="D988" s="10">
        <v>-76.800592</v>
      </c>
      <c r="E988" s="9" t="s">
        <v>7547</v>
      </c>
      <c r="F988" s="9" t="s">
        <v>7548</v>
      </c>
      <c r="G988" s="9" t="s">
        <v>7549</v>
      </c>
      <c r="H988" s="9" t="s">
        <v>5313</v>
      </c>
      <c r="I988" s="9" t="s">
        <v>44</v>
      </c>
      <c r="J988" s="9" t="s">
        <v>7550</v>
      </c>
      <c r="K988" s="12" t="s">
        <v>7551</v>
      </c>
      <c r="L988" s="9" t="s">
        <v>7552</v>
      </c>
      <c r="M988" s="9">
        <v>74.26462894</v>
      </c>
      <c r="N988" s="10">
        <v>69.61754071</v>
      </c>
      <c r="O988" s="10" t="s">
        <v>7553</v>
      </c>
      <c r="P988" s="9">
        <v>9082026.0</v>
      </c>
      <c r="Q988" s="7" t="str">
        <f>IF(OR(ISBLANK(M988), ISBLANK(N988)), "", IF(N988 &lt; Sheet3!$B$6, "Insufficient Reviews", IF(M988 &gt;= Sheet3!$B$2, "Highly Reliable", IF(M988 &gt;= Sheet3!$B$3, "Reliable", IF(M988 &gt;= Sheet3!$B$4, "Mixed Reviews", "Low Reliability")))))</f>
        <v>Reliable</v>
      </c>
    </row>
    <row r="989">
      <c r="A989" s="3">
        <f t="shared" si="1"/>
        <v>988</v>
      </c>
      <c r="B989" s="9" t="s">
        <v>7554</v>
      </c>
      <c r="C989" s="10">
        <v>39.3234561</v>
      </c>
      <c r="D989" s="10">
        <v>-76.6599964</v>
      </c>
      <c r="E989" s="9" t="s">
        <v>7555</v>
      </c>
      <c r="F989" s="9" t="s">
        <v>7556</v>
      </c>
      <c r="G989" s="9" t="s">
        <v>7557</v>
      </c>
      <c r="H989" s="9" t="s">
        <v>7558</v>
      </c>
      <c r="I989" s="9" t="s">
        <v>44</v>
      </c>
      <c r="J989" s="9" t="s">
        <v>7559</v>
      </c>
      <c r="K989" s="12" t="s">
        <v>7560</v>
      </c>
      <c r="L989" s="9" t="s">
        <v>7561</v>
      </c>
      <c r="M989" s="9">
        <v>13.5</v>
      </c>
      <c r="N989" s="10">
        <v>31.83333333</v>
      </c>
      <c r="O989" s="10" t="s">
        <v>5852</v>
      </c>
      <c r="P989" s="9">
        <v>9082026.0</v>
      </c>
      <c r="Q989" s="7" t="str">
        <f>IF(OR(ISBLANK(M989), ISBLANK(N989)), "", IF(N989 &lt; Sheet3!$B$6, "Insufficient Reviews", IF(M989 &gt;= Sheet3!$B$2, "Highly Reliable", IF(M989 &gt;= Sheet3!$B$3, "Reliable", IF(M989 &gt;= Sheet3!$B$4, "Mixed Reviews", "Low Reliability")))))</f>
        <v>Insufficient Reviews</v>
      </c>
    </row>
    <row r="990">
      <c r="A990" s="3">
        <f t="shared" si="1"/>
        <v>989</v>
      </c>
      <c r="B990" s="9" t="s">
        <v>7562</v>
      </c>
      <c r="C990" s="10">
        <v>39.4008638</v>
      </c>
      <c r="D990" s="10">
        <v>-76.5933089</v>
      </c>
      <c r="E990" s="9" t="s">
        <v>7563</v>
      </c>
      <c r="F990" s="9" t="s">
        <v>7564</v>
      </c>
      <c r="G990" s="9" t="s">
        <v>4186</v>
      </c>
      <c r="H990" s="9" t="s">
        <v>7565</v>
      </c>
      <c r="I990" s="9" t="s">
        <v>44</v>
      </c>
      <c r="J990" s="9" t="s">
        <v>7566</v>
      </c>
      <c r="K990" s="9"/>
      <c r="L990" s="9" t="s">
        <v>7567</v>
      </c>
      <c r="M990" s="9">
        <v>74.40686343</v>
      </c>
      <c r="N990" s="10">
        <v>38.21290098</v>
      </c>
      <c r="O990" s="10" t="s">
        <v>7568</v>
      </c>
      <c r="P990" s="9">
        <v>9082026.0</v>
      </c>
      <c r="Q990" s="7" t="str">
        <f>IF(OR(ISBLANK(M990), ISBLANK(N990)), "", IF(N990 &lt; Sheet3!$B$6, "Insufficient Reviews", IF(M990 &gt;= Sheet3!$B$2, "Highly Reliable", IF(M990 &gt;= Sheet3!$B$3, "Reliable", IF(M990 &gt;= Sheet3!$B$4, "Mixed Reviews", "Low Reliability")))))</f>
        <v>Insufficient Reviews</v>
      </c>
    </row>
    <row r="991">
      <c r="A991" s="3">
        <f t="shared" si="1"/>
        <v>990</v>
      </c>
      <c r="B991" s="9" t="s">
        <v>7569</v>
      </c>
      <c r="C991" s="10">
        <v>39.28879</v>
      </c>
      <c r="D991" s="10">
        <v>-76.7183134</v>
      </c>
      <c r="E991" s="9" t="s">
        <v>7570</v>
      </c>
      <c r="F991" s="9" t="s">
        <v>7571</v>
      </c>
      <c r="G991" s="9"/>
      <c r="H991" s="9" t="s">
        <v>7572</v>
      </c>
      <c r="I991" s="9" t="s">
        <v>44</v>
      </c>
      <c r="J991" s="9" t="s">
        <v>7573</v>
      </c>
      <c r="K991" s="12" t="s">
        <v>7574</v>
      </c>
      <c r="L991" s="9" t="s">
        <v>7575</v>
      </c>
      <c r="M991" s="9">
        <v>83.50509227</v>
      </c>
      <c r="N991" s="10">
        <v>74.46339485</v>
      </c>
      <c r="O991" s="10" t="s">
        <v>7576</v>
      </c>
      <c r="P991" s="9">
        <v>9082026.0</v>
      </c>
      <c r="Q991" s="7" t="str">
        <f>IF(OR(ISBLANK(M991), ISBLANK(N991)), "", IF(N991 &lt; Sheet3!$B$6, "Insufficient Reviews", IF(M991 &gt;= Sheet3!$B$2, "Highly Reliable", IF(M991 &gt;= Sheet3!$B$3, "Reliable", IF(M991 &gt;= Sheet3!$B$4, "Mixed Reviews", "Low Reliability")))))</f>
        <v>Highly Reliable</v>
      </c>
    </row>
    <row r="992">
      <c r="A992" s="3">
        <f t="shared" si="1"/>
        <v>991</v>
      </c>
      <c r="B992" s="9" t="s">
        <v>7577</v>
      </c>
      <c r="C992" s="10">
        <v>39.3323015</v>
      </c>
      <c r="D992" s="10">
        <v>-76.6408651</v>
      </c>
      <c r="E992" s="9" t="s">
        <v>7578</v>
      </c>
      <c r="F992" s="9" t="s">
        <v>7579</v>
      </c>
      <c r="G992" s="9" t="s">
        <v>7580</v>
      </c>
      <c r="H992" s="9" t="s">
        <v>1476</v>
      </c>
      <c r="I992" s="9" t="s">
        <v>44</v>
      </c>
      <c r="J992" s="9" t="s">
        <v>7581</v>
      </c>
      <c r="K992" s="12" t="s">
        <v>7582</v>
      </c>
      <c r="L992" s="9" t="s">
        <v>7583</v>
      </c>
      <c r="M992" s="9">
        <v>61.07789077</v>
      </c>
      <c r="N992" s="10">
        <v>69.84692361</v>
      </c>
      <c r="O992" s="10" t="s">
        <v>7584</v>
      </c>
      <c r="P992" s="9">
        <v>9082026.0</v>
      </c>
      <c r="Q992" s="7" t="str">
        <f>IF(OR(ISBLANK(M992), ISBLANK(N992)), "", IF(N992 &lt; Sheet3!$B$6, "Insufficient Reviews", IF(M992 &gt;= Sheet3!$B$2, "Highly Reliable", IF(M992 &gt;= Sheet3!$B$3, "Reliable", IF(M992 &gt;= Sheet3!$B$4, "Mixed Reviews", "Low Reliability")))))</f>
        <v>Mixed Reviews</v>
      </c>
    </row>
    <row r="993">
      <c r="A993" s="3">
        <f t="shared" si="1"/>
        <v>992</v>
      </c>
      <c r="B993" s="9" t="s">
        <v>7585</v>
      </c>
      <c r="C993" s="10">
        <v>39.3647486</v>
      </c>
      <c r="D993" s="10">
        <v>-76.6095894</v>
      </c>
      <c r="E993" s="9" t="s">
        <v>7586</v>
      </c>
      <c r="F993" s="9" t="s">
        <v>7587</v>
      </c>
      <c r="G993" s="9"/>
      <c r="H993" s="11"/>
      <c r="I993" s="9" t="s">
        <v>27</v>
      </c>
      <c r="J993" s="9" t="s">
        <v>7588</v>
      </c>
      <c r="K993" s="9"/>
      <c r="L993" s="9" t="s">
        <v>7589</v>
      </c>
      <c r="M993" s="9">
        <v>51.9</v>
      </c>
      <c r="N993" s="10">
        <v>23.57552459</v>
      </c>
      <c r="O993" s="10" t="s">
        <v>7590</v>
      </c>
      <c r="P993" s="9">
        <v>9082026.0</v>
      </c>
      <c r="Q993" s="7" t="str">
        <f>IF(OR(ISBLANK(M993), ISBLANK(N993)), "", IF(N993 &lt; Sheet3!$B$6, "Insufficient Reviews", IF(M993 &gt;= Sheet3!$B$2, "Highly Reliable", IF(M993 &gt;= Sheet3!$B$3, "Reliable", IF(M993 &gt;= Sheet3!$B$4, "Mixed Reviews", "Low Reliability")))))</f>
        <v>Insufficient Reviews</v>
      </c>
    </row>
    <row r="994">
      <c r="A994" s="3">
        <f t="shared" si="1"/>
        <v>993</v>
      </c>
      <c r="B994" s="9" t="s">
        <v>7591</v>
      </c>
      <c r="C994" s="10">
        <v>39.308752</v>
      </c>
      <c r="D994" s="10">
        <v>-76.5993298</v>
      </c>
      <c r="E994" s="9" t="s">
        <v>7592</v>
      </c>
      <c r="F994" s="9" t="s">
        <v>7029</v>
      </c>
      <c r="G994" s="11"/>
      <c r="H994" s="11"/>
      <c r="I994" s="9" t="s">
        <v>180</v>
      </c>
      <c r="J994" s="9" t="s">
        <v>7593</v>
      </c>
      <c r="K994" s="12" t="s">
        <v>7031</v>
      </c>
      <c r="L994" s="9" t="s">
        <v>7594</v>
      </c>
      <c r="M994" s="9">
        <v>15.0</v>
      </c>
      <c r="N994" s="10">
        <v>31.83333333</v>
      </c>
      <c r="O994" s="10" t="s">
        <v>634</v>
      </c>
      <c r="P994" s="9">
        <v>9082026.0</v>
      </c>
      <c r="Q994" s="7" t="str">
        <f>IF(OR(ISBLANK(M994), ISBLANK(N994)), "", IF(N994 &lt; Sheet3!$B$6, "Insufficient Reviews", IF(M994 &gt;= Sheet3!$B$2, "Highly Reliable", IF(M994 &gt;= Sheet3!$B$3, "Reliable", IF(M994 &gt;= Sheet3!$B$4, "Mixed Reviews", "Low Reliability")))))</f>
        <v>Insufficient Reviews</v>
      </c>
    </row>
    <row r="995">
      <c r="A995" s="3">
        <f t="shared" si="1"/>
        <v>994</v>
      </c>
      <c r="B995" s="9" t="s">
        <v>7595</v>
      </c>
      <c r="C995" s="10">
        <v>39.3567286</v>
      </c>
      <c r="D995" s="10">
        <v>-76.6103158</v>
      </c>
      <c r="E995" s="9" t="s">
        <v>7596</v>
      </c>
      <c r="F995" s="9" t="s">
        <v>7597</v>
      </c>
      <c r="G995" s="9" t="s">
        <v>6562</v>
      </c>
      <c r="H995" s="9" t="s">
        <v>126</v>
      </c>
      <c r="I995" s="9" t="s">
        <v>44</v>
      </c>
      <c r="J995" s="9" t="s">
        <v>7598</v>
      </c>
      <c r="K995" s="12" t="s">
        <v>7599</v>
      </c>
      <c r="L995" s="9" t="s">
        <v>7600</v>
      </c>
      <c r="M995" s="9">
        <v>54.88439951</v>
      </c>
      <c r="N995" s="10">
        <v>50.99403748</v>
      </c>
      <c r="O995" s="10" t="s">
        <v>7601</v>
      </c>
      <c r="P995" s="9">
        <v>9082026.0</v>
      </c>
      <c r="Q995" s="7" t="str">
        <f>IF(OR(ISBLANK(M995), ISBLANK(N995)), "", IF(N995 &lt; Sheet3!$B$6, "Insufficient Reviews", IF(M995 &gt;= Sheet3!$B$2, "Highly Reliable", IF(M995 &gt;= Sheet3!$B$3, "Reliable", IF(M995 &gt;= Sheet3!$B$4, "Mixed Reviews", "Low Reliability")))))</f>
        <v>Low Reliability</v>
      </c>
    </row>
    <row r="996">
      <c r="A996" s="3">
        <f t="shared" si="1"/>
        <v>995</v>
      </c>
      <c r="B996" s="9" t="s">
        <v>7602</v>
      </c>
      <c r="C996" s="10">
        <v>39.2694489</v>
      </c>
      <c r="D996" s="10">
        <v>-76.7334194</v>
      </c>
      <c r="E996" s="9" t="s">
        <v>7603</v>
      </c>
      <c r="F996" s="9" t="s">
        <v>7604</v>
      </c>
      <c r="G996" s="9" t="s">
        <v>7605</v>
      </c>
      <c r="H996" s="9"/>
      <c r="I996" s="9" t="s">
        <v>44</v>
      </c>
      <c r="J996" s="9" t="s">
        <v>7606</v>
      </c>
      <c r="K996" s="12" t="s">
        <v>7607</v>
      </c>
      <c r="L996" s="9" t="s">
        <v>7608</v>
      </c>
      <c r="M996" s="9">
        <v>69.0</v>
      </c>
      <c r="N996" s="10">
        <v>40.72499203</v>
      </c>
      <c r="O996" s="10" t="s">
        <v>7609</v>
      </c>
      <c r="P996" s="9">
        <v>9082026.0</v>
      </c>
      <c r="Q996" s="7" t="str">
        <f>IF(OR(ISBLANK(M996), ISBLANK(N996)), "", IF(N996 &lt; Sheet3!$B$6, "Insufficient Reviews", IF(M996 &gt;= Sheet3!$B$2, "Highly Reliable", IF(M996 &gt;= Sheet3!$B$3, "Reliable", IF(M996 &gt;= Sheet3!$B$4, "Mixed Reviews", "Low Reliability")))))</f>
        <v>Mixed Reviews</v>
      </c>
    </row>
    <row r="997">
      <c r="A997" s="3">
        <f t="shared" si="1"/>
        <v>996</v>
      </c>
      <c r="B997" s="9" t="s">
        <v>7610</v>
      </c>
      <c r="C997" s="10">
        <v>39.3598838</v>
      </c>
      <c r="D997" s="10">
        <v>-76.5544942</v>
      </c>
      <c r="E997" s="9" t="s">
        <v>7611</v>
      </c>
      <c r="F997" s="9" t="s">
        <v>7612</v>
      </c>
      <c r="G997" s="11"/>
      <c r="H997" s="11"/>
      <c r="I997" s="9" t="s">
        <v>44</v>
      </c>
      <c r="J997" s="9" t="s">
        <v>7613</v>
      </c>
      <c r="K997" s="9"/>
      <c r="L997" s="9" t="s">
        <v>7614</v>
      </c>
      <c r="M997" s="9">
        <v>50.1</v>
      </c>
      <c r="N997" s="10">
        <v>23.57552459</v>
      </c>
      <c r="O997" s="10" t="s">
        <v>7590</v>
      </c>
      <c r="P997" s="9">
        <v>9082026.0</v>
      </c>
      <c r="Q997" s="7" t="str">
        <f>IF(OR(ISBLANK(M997), ISBLANK(N997)), "", IF(N997 &lt; Sheet3!$B$6, "Insufficient Reviews", IF(M997 &gt;= Sheet3!$B$2, "Highly Reliable", IF(M997 &gt;= Sheet3!$B$3, "Reliable", IF(M997 &gt;= Sheet3!$B$4, "Mixed Reviews", "Low Reliability")))))</f>
        <v>Insufficient Reviews</v>
      </c>
    </row>
    <row r="998">
      <c r="A998" s="3">
        <f t="shared" si="1"/>
        <v>997</v>
      </c>
      <c r="B998" s="9" t="s">
        <v>7615</v>
      </c>
      <c r="C998" s="10">
        <v>39.3675846</v>
      </c>
      <c r="D998" s="10">
        <v>-76.5809863</v>
      </c>
      <c r="E998" s="9" t="s">
        <v>7616</v>
      </c>
      <c r="F998" s="9" t="s">
        <v>7617</v>
      </c>
      <c r="G998" s="9"/>
      <c r="H998" s="9" t="s">
        <v>126</v>
      </c>
      <c r="I998" s="9" t="s">
        <v>81</v>
      </c>
      <c r="J998" s="9" t="s">
        <v>7618</v>
      </c>
      <c r="K998" s="12" t="s">
        <v>7619</v>
      </c>
      <c r="L998" s="9" t="s">
        <v>7620</v>
      </c>
      <c r="M998" s="9">
        <v>79.74907939</v>
      </c>
      <c r="N998" s="10">
        <v>46.02881522</v>
      </c>
      <c r="O998" s="10" t="s">
        <v>7621</v>
      </c>
      <c r="P998" s="9">
        <v>9082026.0</v>
      </c>
      <c r="Q998" s="7" t="str">
        <f>IF(OR(ISBLANK(M998), ISBLANK(N998)), "", IF(N998 &lt; Sheet3!$B$6, "Insufficient Reviews", IF(M998 &gt;= Sheet3!$B$2, "Highly Reliable", IF(M998 &gt;= Sheet3!$B$3, "Reliable", IF(M998 &gt;= Sheet3!$B$4, "Mixed Reviews", "Low Reliability")))))</f>
        <v>Reliable</v>
      </c>
    </row>
    <row r="999">
      <c r="A999" s="3">
        <f t="shared" si="1"/>
        <v>998</v>
      </c>
      <c r="B999" s="9" t="s">
        <v>7622</v>
      </c>
      <c r="C999" s="10">
        <v>39.3935599</v>
      </c>
      <c r="D999" s="10">
        <v>-76.5642202</v>
      </c>
      <c r="E999" s="9" t="s">
        <v>7623</v>
      </c>
      <c r="F999" s="9" t="s">
        <v>7624</v>
      </c>
      <c r="G999" s="9" t="s">
        <v>7625</v>
      </c>
      <c r="H999" s="9" t="s">
        <v>126</v>
      </c>
      <c r="I999" s="9" t="s">
        <v>44</v>
      </c>
      <c r="J999" s="9" t="s">
        <v>7626</v>
      </c>
      <c r="K999" s="12" t="s">
        <v>7627</v>
      </c>
      <c r="L999" s="9" t="s">
        <v>7628</v>
      </c>
      <c r="M999" s="9">
        <v>81.16553858</v>
      </c>
      <c r="N999" s="10">
        <v>52.41319369</v>
      </c>
      <c r="O999" s="10" t="s">
        <v>7629</v>
      </c>
      <c r="P999" s="9">
        <v>9082026.0</v>
      </c>
      <c r="Q999" s="7" t="str">
        <f>IF(OR(ISBLANK(M999), ISBLANK(N999)), "", IF(N999 &lt; Sheet3!$B$6, "Insufficient Reviews", IF(M999 &gt;= Sheet3!$B$2, "Highly Reliable", IF(M999 &gt;= Sheet3!$B$3, "Reliable", IF(M999 &gt;= Sheet3!$B$4, "Mixed Reviews", "Low Reliability")))))</f>
        <v>Reliable</v>
      </c>
    </row>
    <row r="1000">
      <c r="A1000" s="3">
        <f t="shared" si="1"/>
        <v>999</v>
      </c>
      <c r="B1000" s="9" t="s">
        <v>7630</v>
      </c>
      <c r="C1000" s="10">
        <v>39.2676894</v>
      </c>
      <c r="D1000" s="10">
        <v>-76.7056584</v>
      </c>
      <c r="E1000" s="9" t="s">
        <v>7631</v>
      </c>
      <c r="F1000" s="9" t="s">
        <v>7632</v>
      </c>
      <c r="G1000" s="9" t="s">
        <v>7633</v>
      </c>
      <c r="H1000" s="9" t="s">
        <v>7634</v>
      </c>
      <c r="I1000" s="9" t="s">
        <v>44</v>
      </c>
      <c r="J1000" s="9" t="s">
        <v>7635</v>
      </c>
      <c r="K1000" s="12" t="s">
        <v>7636</v>
      </c>
      <c r="L1000" s="9" t="s">
        <v>7637</v>
      </c>
      <c r="M1000" s="9">
        <v>16.5</v>
      </c>
      <c r="N1000" s="10">
        <v>31.83333333</v>
      </c>
      <c r="O1000" s="10" t="s">
        <v>634</v>
      </c>
      <c r="P1000" s="9">
        <v>9082026.0</v>
      </c>
      <c r="Q1000" s="7" t="str">
        <f>IF(OR(ISBLANK(M1000), ISBLANK(N1000)), "", IF(N1000 &lt; Sheet3!$B$6, "Insufficient Reviews", IF(M1000 &gt;= Sheet3!$B$2, "Highly Reliable", IF(M1000 &gt;= Sheet3!$B$3, "Reliable", IF(M1000 &gt;= Sheet3!$B$4, "Mixed Reviews", "Low Reliability")))))</f>
        <v>Insufficient Reviews</v>
      </c>
    </row>
    <row r="1001">
      <c r="A1001" s="3">
        <f t="shared" si="1"/>
        <v>1000</v>
      </c>
      <c r="B1001" s="9" t="s">
        <v>7638</v>
      </c>
      <c r="C1001" s="10">
        <v>39.3675846</v>
      </c>
      <c r="D1001" s="10">
        <v>-76.5809863</v>
      </c>
      <c r="E1001" s="9" t="s">
        <v>7639</v>
      </c>
      <c r="F1001" s="9" t="s">
        <v>7640</v>
      </c>
      <c r="G1001" s="9" t="s">
        <v>7641</v>
      </c>
      <c r="H1001" s="9" t="s">
        <v>126</v>
      </c>
      <c r="I1001" s="9" t="s">
        <v>44</v>
      </c>
      <c r="J1001" s="9" t="s">
        <v>7642</v>
      </c>
      <c r="K1001" s="12" t="s">
        <v>7643</v>
      </c>
      <c r="L1001" s="9" t="s">
        <v>7644</v>
      </c>
      <c r="M1001" s="9">
        <v>36.9</v>
      </c>
      <c r="N1001" s="10">
        <v>40.81389958</v>
      </c>
      <c r="O1001" s="10" t="s">
        <v>7645</v>
      </c>
      <c r="P1001" s="9">
        <v>9082026.0</v>
      </c>
      <c r="Q1001" s="7" t="str">
        <f>IF(OR(ISBLANK(M1001), ISBLANK(N1001)), "", IF(N1001 &lt; Sheet3!$B$6, "Insufficient Reviews", IF(M1001 &gt;= Sheet3!$B$2, "Highly Reliable", IF(M1001 &gt;= Sheet3!$B$3, "Reliable", IF(M1001 &gt;= Sheet3!$B$4, "Mixed Reviews", "Low Reliability")))))</f>
        <v>Low Reliability</v>
      </c>
    </row>
    <row r="1002">
      <c r="A1002" s="3">
        <f t="shared" si="1"/>
        <v>1001</v>
      </c>
      <c r="B1002" s="9" t="s">
        <v>7646</v>
      </c>
      <c r="C1002" s="10">
        <v>39.3194648</v>
      </c>
      <c r="D1002" s="10">
        <v>-76.6195623</v>
      </c>
      <c r="E1002" s="9" t="s">
        <v>7647</v>
      </c>
      <c r="F1002" s="9" t="s">
        <v>7648</v>
      </c>
      <c r="G1002" s="9"/>
      <c r="H1002" s="9" t="s">
        <v>126</v>
      </c>
      <c r="I1002" s="9" t="s">
        <v>44</v>
      </c>
      <c r="J1002" s="9" t="s">
        <v>7649</v>
      </c>
      <c r="K1002" s="12" t="s">
        <v>7650</v>
      </c>
      <c r="L1002" s="9" t="s">
        <v>7651</v>
      </c>
      <c r="M1002" s="9">
        <v>77.55161077</v>
      </c>
      <c r="N1002" s="10">
        <v>74.89757225</v>
      </c>
      <c r="O1002" s="10" t="s">
        <v>7652</v>
      </c>
      <c r="P1002" s="9">
        <v>9082026.0</v>
      </c>
      <c r="Q1002" s="7" t="str">
        <f>IF(OR(ISBLANK(M1002), ISBLANK(N1002)), "", IF(N1002 &lt; Sheet3!$B$6, "Insufficient Reviews", IF(M1002 &gt;= Sheet3!$B$2, "Highly Reliable", IF(M1002 &gt;= Sheet3!$B$3, "Reliable", IF(M1002 &gt;= Sheet3!$B$4, "Mixed Reviews", "Low Reliability")))))</f>
        <v>Reliable</v>
      </c>
    </row>
    <row r="1003">
      <c r="A1003" s="3">
        <f t="shared" si="1"/>
        <v>1002</v>
      </c>
      <c r="B1003" s="9" t="s">
        <v>7653</v>
      </c>
      <c r="C1003" s="10">
        <v>39.3041567</v>
      </c>
      <c r="D1003" s="10">
        <v>-76.6349619</v>
      </c>
      <c r="E1003" s="9" t="s">
        <v>7654</v>
      </c>
      <c r="F1003" s="9" t="s">
        <v>7655</v>
      </c>
      <c r="G1003" s="11"/>
      <c r="H1003" s="9" t="s">
        <v>7656</v>
      </c>
      <c r="I1003" s="9" t="s">
        <v>35</v>
      </c>
      <c r="J1003" s="9" t="s">
        <v>7657</v>
      </c>
      <c r="K1003" s="12" t="s">
        <v>7658</v>
      </c>
      <c r="L1003" s="9" t="s">
        <v>7659</v>
      </c>
      <c r="M1003" s="9">
        <v>57.30723243</v>
      </c>
      <c r="N1003" s="10">
        <v>59.13306495</v>
      </c>
      <c r="O1003" s="10" t="s">
        <v>7660</v>
      </c>
      <c r="P1003" s="9">
        <v>9082026.0</v>
      </c>
      <c r="Q1003" s="7" t="str">
        <f>IF(OR(ISBLANK(M1003), ISBLANK(N1003)), "", IF(N1003 &lt; Sheet3!$B$6, "Insufficient Reviews", IF(M1003 &gt;= Sheet3!$B$2, "Highly Reliable", IF(M1003 &gt;= Sheet3!$B$3, "Reliable", IF(M1003 &gt;= Sheet3!$B$4, "Mixed Reviews", "Low Reliability")))))</f>
        <v>Low Reliability</v>
      </c>
    </row>
    <row r="1004">
      <c r="A1004" s="3">
        <f t="shared" si="1"/>
        <v>1003</v>
      </c>
      <c r="B1004" s="9" t="s">
        <v>7661</v>
      </c>
      <c r="C1004" s="10">
        <v>39.2349505</v>
      </c>
      <c r="D1004" s="10">
        <v>-76.8259654</v>
      </c>
      <c r="E1004" s="9" t="s">
        <v>7662</v>
      </c>
      <c r="F1004" s="9" t="s">
        <v>7663</v>
      </c>
      <c r="G1004" s="9"/>
      <c r="H1004" s="9" t="s">
        <v>7664</v>
      </c>
      <c r="I1004" s="9" t="s">
        <v>44</v>
      </c>
      <c r="J1004" s="9" t="s">
        <v>7665</v>
      </c>
      <c r="K1004" s="12" t="s">
        <v>7666</v>
      </c>
      <c r="L1004" s="9" t="s">
        <v>7667</v>
      </c>
      <c r="M1004" s="9">
        <v>86.03903255</v>
      </c>
      <c r="N1004" s="10">
        <v>72.27788611</v>
      </c>
      <c r="O1004" s="10" t="s">
        <v>7668</v>
      </c>
      <c r="P1004" s="9">
        <v>9082026.0</v>
      </c>
      <c r="Q1004" s="7" t="str">
        <f>IF(OR(ISBLANK(M1004), ISBLANK(N1004)), "", IF(N1004 &lt; Sheet3!$B$6, "Insufficient Reviews", IF(M1004 &gt;= Sheet3!$B$2, "Highly Reliable", IF(M1004 &gt;= Sheet3!$B$3, "Reliable", IF(M1004 &gt;= Sheet3!$B$4, "Mixed Reviews", "Low Reliability")))))</f>
        <v>Highly Reliable</v>
      </c>
    </row>
    <row r="1005">
      <c r="A1005" s="3">
        <f t="shared" si="1"/>
        <v>1004</v>
      </c>
      <c r="B1005" s="9" t="s">
        <v>7669</v>
      </c>
      <c r="C1005" s="10">
        <v>39.3176683</v>
      </c>
      <c r="D1005" s="10">
        <v>-76.6149949</v>
      </c>
      <c r="E1005" s="9" t="s">
        <v>7670</v>
      </c>
      <c r="F1005" s="9" t="s">
        <v>6670</v>
      </c>
      <c r="G1005" s="9"/>
      <c r="H1005" s="11"/>
      <c r="I1005" s="9" t="s">
        <v>44</v>
      </c>
      <c r="J1005" s="9" t="s">
        <v>7671</v>
      </c>
      <c r="K1005" s="12" t="s">
        <v>7672</v>
      </c>
      <c r="L1005" s="9" t="s">
        <v>7673</v>
      </c>
      <c r="M1005" s="9">
        <v>67.98029998</v>
      </c>
      <c r="N1005" s="10">
        <v>52.80299473</v>
      </c>
      <c r="O1005" s="10" t="s">
        <v>7674</v>
      </c>
      <c r="P1005" s="9">
        <v>9082026.0</v>
      </c>
      <c r="Q1005" s="7" t="str">
        <f>IF(OR(ISBLANK(M1005), ISBLANK(N1005)), "", IF(N1005 &lt; Sheet3!$B$6, "Insufficient Reviews", IF(M1005 &gt;= Sheet3!$B$2, "Highly Reliable", IF(M1005 &gt;= Sheet3!$B$3, "Reliable", IF(M1005 &gt;= Sheet3!$B$4, "Mixed Reviews", "Low Reliability")))))</f>
        <v>Mixed Reviews</v>
      </c>
    </row>
    <row r="1006">
      <c r="A1006" s="3">
        <f t="shared" si="1"/>
        <v>1005</v>
      </c>
      <c r="B1006" s="9" t="s">
        <v>7675</v>
      </c>
      <c r="C1006" s="10">
        <v>39.3177234</v>
      </c>
      <c r="D1006" s="10">
        <v>-76.6149386</v>
      </c>
      <c r="E1006" s="9" t="s">
        <v>7676</v>
      </c>
      <c r="F1006" s="9" t="s">
        <v>7677</v>
      </c>
      <c r="G1006" s="9" t="s">
        <v>7678</v>
      </c>
      <c r="H1006" s="9" t="s">
        <v>7679</v>
      </c>
      <c r="I1006" s="9" t="s">
        <v>44</v>
      </c>
      <c r="J1006" s="9" t="s">
        <v>7680</v>
      </c>
      <c r="K1006" s="12" t="s">
        <v>7681</v>
      </c>
      <c r="L1006" s="9" t="s">
        <v>7682</v>
      </c>
      <c r="M1006" s="9">
        <v>54.00131581</v>
      </c>
      <c r="N1006" s="10">
        <v>64.39295726</v>
      </c>
      <c r="O1006" s="10" t="s">
        <v>7683</v>
      </c>
      <c r="P1006" s="9">
        <v>9082026.0</v>
      </c>
      <c r="Q1006" s="7" t="str">
        <f>IF(OR(ISBLANK(M1006), ISBLANK(N1006)), "", IF(N1006 &lt; Sheet3!$B$6, "Insufficient Reviews", IF(M1006 &gt;= Sheet3!$B$2, "Highly Reliable", IF(M1006 &gt;= Sheet3!$B$3, "Reliable", IF(M1006 &gt;= Sheet3!$B$4, "Mixed Reviews", "Low Reliability")))))</f>
        <v>Low Reliability</v>
      </c>
    </row>
    <row r="1007">
      <c r="A1007" s="3">
        <f t="shared" si="1"/>
        <v>1006</v>
      </c>
      <c r="B1007" s="9" t="s">
        <v>7684</v>
      </c>
      <c r="C1007" s="10">
        <v>39.313345</v>
      </c>
      <c r="D1007" s="10">
        <v>-76.6188199</v>
      </c>
      <c r="E1007" s="9" t="s">
        <v>7685</v>
      </c>
      <c r="F1007" s="9" t="s">
        <v>7686</v>
      </c>
      <c r="G1007" s="11"/>
      <c r="H1007" s="11"/>
      <c r="I1007" s="9" t="s">
        <v>44</v>
      </c>
      <c r="J1007" s="9" t="s">
        <v>7687</v>
      </c>
      <c r="K1007" s="12" t="s">
        <v>7688</v>
      </c>
      <c r="L1007" s="9" t="s">
        <v>7689</v>
      </c>
      <c r="M1007" s="9">
        <v>73.78861888</v>
      </c>
      <c r="N1007" s="10">
        <v>56.74685764</v>
      </c>
      <c r="O1007" s="10" t="s">
        <v>7690</v>
      </c>
      <c r="P1007" s="9">
        <v>9082026.0</v>
      </c>
      <c r="Q1007" s="7" t="str">
        <f>IF(OR(ISBLANK(M1007), ISBLANK(N1007)), "", IF(N1007 &lt; Sheet3!$B$6, "Insufficient Reviews", IF(M1007 &gt;= Sheet3!$B$2, "Highly Reliable", IF(M1007 &gt;= Sheet3!$B$3, "Reliable", IF(M1007 &gt;= Sheet3!$B$4, "Mixed Reviews", "Low Reliability")))))</f>
        <v>Reliable</v>
      </c>
    </row>
    <row r="1008">
      <c r="A1008" s="3">
        <f t="shared" si="1"/>
        <v>1007</v>
      </c>
      <c r="B1008" s="9" t="s">
        <v>7691</v>
      </c>
      <c r="C1008" s="10">
        <v>39.3182896</v>
      </c>
      <c r="D1008" s="10">
        <v>-76.6109328</v>
      </c>
      <c r="E1008" s="9" t="s">
        <v>7692</v>
      </c>
      <c r="F1008" s="9" t="s">
        <v>7693</v>
      </c>
      <c r="G1008" s="9"/>
      <c r="H1008" s="9" t="s">
        <v>126</v>
      </c>
      <c r="I1008" s="9" t="s">
        <v>44</v>
      </c>
      <c r="J1008" s="9" t="s">
        <v>7694</v>
      </c>
      <c r="K1008" s="9"/>
      <c r="L1008" s="9" t="s">
        <v>7695</v>
      </c>
      <c r="M1008" s="9">
        <v>61.19089137</v>
      </c>
      <c r="N1008" s="10">
        <v>30.37394743</v>
      </c>
      <c r="O1008" s="10" t="s">
        <v>7696</v>
      </c>
      <c r="P1008" s="9">
        <v>9082026.0</v>
      </c>
      <c r="Q1008" s="7" t="str">
        <f>IF(OR(ISBLANK(M1008), ISBLANK(N1008)), "", IF(N1008 &lt; Sheet3!$B$6, "Insufficient Reviews", IF(M1008 &gt;= Sheet3!$B$2, "Highly Reliable", IF(M1008 &gt;= Sheet3!$B$3, "Reliable", IF(M1008 &gt;= Sheet3!$B$4, "Mixed Reviews", "Low Reliability")))))</f>
        <v>Insufficient Reviews</v>
      </c>
    </row>
    <row r="1009">
      <c r="A1009" s="3">
        <f t="shared" si="1"/>
        <v>1008</v>
      </c>
      <c r="B1009" s="9" t="s">
        <v>7697</v>
      </c>
      <c r="C1009" s="10">
        <v>39.3099459</v>
      </c>
      <c r="D1009" s="10">
        <v>-76.6168928</v>
      </c>
      <c r="E1009" s="9" t="s">
        <v>7698</v>
      </c>
      <c r="F1009" s="9" t="s">
        <v>6670</v>
      </c>
      <c r="G1009" s="9" t="s">
        <v>7699</v>
      </c>
      <c r="H1009" s="9" t="s">
        <v>6672</v>
      </c>
      <c r="I1009" s="9" t="s">
        <v>44</v>
      </c>
      <c r="J1009" s="9" t="s">
        <v>7700</v>
      </c>
      <c r="K1009" s="12" t="s">
        <v>6674</v>
      </c>
      <c r="L1009" s="9" t="s">
        <v>7701</v>
      </c>
      <c r="M1009" s="9">
        <v>82.75318754</v>
      </c>
      <c r="N1009" s="10">
        <v>66.41891314</v>
      </c>
      <c r="O1009" s="10" t="s">
        <v>7702</v>
      </c>
      <c r="P1009" s="9">
        <v>9082026.0</v>
      </c>
      <c r="Q1009" s="7" t="str">
        <f>IF(OR(ISBLANK(M1009), ISBLANK(N1009)), "", IF(N1009 &lt; Sheet3!$B$6, "Insufficient Reviews", IF(M1009 &gt;= Sheet3!$B$2, "Highly Reliable", IF(M1009 &gt;= Sheet3!$B$3, "Reliable", IF(M1009 &gt;= Sheet3!$B$4, "Mixed Reviews", "Low Reliability")))))</f>
        <v>Highly Reliable</v>
      </c>
    </row>
    <row r="1010">
      <c r="A1010" s="3">
        <f t="shared" si="1"/>
        <v>1009</v>
      </c>
      <c r="B1010" s="9" t="s">
        <v>7703</v>
      </c>
      <c r="C1010" s="10">
        <v>39.3028981</v>
      </c>
      <c r="D1010" s="10">
        <v>-76.6163376</v>
      </c>
      <c r="E1010" s="9" t="s">
        <v>7704</v>
      </c>
      <c r="F1010" s="9" t="s">
        <v>7705</v>
      </c>
      <c r="G1010" s="9" t="s">
        <v>7706</v>
      </c>
      <c r="H1010" s="9" t="s">
        <v>126</v>
      </c>
      <c r="I1010" s="9" t="s">
        <v>44</v>
      </c>
      <c r="J1010" s="9" t="s">
        <v>7707</v>
      </c>
      <c r="K1010" s="12" t="s">
        <v>7708</v>
      </c>
      <c r="L1010" s="9" t="s">
        <v>7709</v>
      </c>
      <c r="M1010" s="9">
        <v>51.59843841</v>
      </c>
      <c r="N1010" s="10">
        <v>48.76054597</v>
      </c>
      <c r="O1010" s="10" t="s">
        <v>7710</v>
      </c>
      <c r="P1010" s="9">
        <v>9082026.0</v>
      </c>
      <c r="Q1010" s="7" t="str">
        <f>IF(OR(ISBLANK(M1010), ISBLANK(N1010)), "", IF(N1010 &lt; Sheet3!$B$6, "Insufficient Reviews", IF(M1010 &gt;= Sheet3!$B$2, "Highly Reliable", IF(M1010 &gt;= Sheet3!$B$3, "Reliable", IF(M1010 &gt;= Sheet3!$B$4, "Mixed Reviews", "Low Reliability")))))</f>
        <v>Low Reliability</v>
      </c>
    </row>
    <row r="1011">
      <c r="A1011" s="3">
        <f t="shared" si="1"/>
        <v>1010</v>
      </c>
      <c r="B1011" s="9" t="s">
        <v>7711</v>
      </c>
      <c r="C1011" s="10">
        <v>39.28486</v>
      </c>
      <c r="D1011" s="10">
        <v>-76.6508991</v>
      </c>
      <c r="E1011" s="9" t="s">
        <v>7712</v>
      </c>
      <c r="F1011" s="9" t="s">
        <v>7713</v>
      </c>
      <c r="G1011" s="9" t="s">
        <v>7714</v>
      </c>
      <c r="H1011" s="9" t="s">
        <v>7715</v>
      </c>
      <c r="I1011" s="9" t="s">
        <v>44</v>
      </c>
      <c r="J1011" s="9" t="s">
        <v>7716</v>
      </c>
      <c r="K1011" s="12" t="s">
        <v>7717</v>
      </c>
      <c r="L1011" s="9" t="s">
        <v>7718</v>
      </c>
      <c r="M1011" s="9">
        <v>85.20869261</v>
      </c>
      <c r="N1011" s="10">
        <v>58.59517573</v>
      </c>
      <c r="O1011" s="10" t="s">
        <v>7719</v>
      </c>
      <c r="P1011" s="9">
        <v>9082026.0</v>
      </c>
      <c r="Q1011" s="7" t="str">
        <f>IF(OR(ISBLANK(M1011), ISBLANK(N1011)), "", IF(N1011 &lt; Sheet3!$B$6, "Insufficient Reviews", IF(M1011 &gt;= Sheet3!$B$2, "Highly Reliable", IF(M1011 &gt;= Sheet3!$B$3, "Reliable", IF(M1011 &gt;= Sheet3!$B$4, "Mixed Reviews", "Low Reliability")))))</f>
        <v>Highly Reliable</v>
      </c>
    </row>
    <row r="1012">
      <c r="A1012" s="3">
        <f t="shared" si="1"/>
        <v>1011</v>
      </c>
      <c r="B1012" s="9" t="s">
        <v>7720</v>
      </c>
      <c r="C1012" s="10">
        <v>39.2975382</v>
      </c>
      <c r="D1012" s="10">
        <v>-76.6238002</v>
      </c>
      <c r="E1012" s="9" t="s">
        <v>7721</v>
      </c>
      <c r="F1012" s="9" t="s">
        <v>7722</v>
      </c>
      <c r="G1012" s="9"/>
      <c r="H1012" s="9" t="s">
        <v>126</v>
      </c>
      <c r="I1012" s="9" t="s">
        <v>35</v>
      </c>
      <c r="J1012" s="9" t="s">
        <v>7723</v>
      </c>
      <c r="K1012" s="9"/>
      <c r="L1012" s="9" t="s">
        <v>7724</v>
      </c>
      <c r="M1012" s="9">
        <v>73.5</v>
      </c>
      <c r="N1012" s="10">
        <v>43.65283464</v>
      </c>
      <c r="O1012" s="10" t="s">
        <v>7725</v>
      </c>
      <c r="P1012" s="9">
        <v>9082026.0</v>
      </c>
      <c r="Q1012" s="7" t="str">
        <f>IF(OR(ISBLANK(M1012), ISBLANK(N1012)), "", IF(N1012 &lt; Sheet3!$B$6, "Insufficient Reviews", IF(M1012 &gt;= Sheet3!$B$2, "Highly Reliable", IF(M1012 &gt;= Sheet3!$B$3, "Reliable", IF(M1012 &gt;= Sheet3!$B$4, "Mixed Reviews", "Low Reliability")))))</f>
        <v>Reliable</v>
      </c>
    </row>
    <row r="1013">
      <c r="A1013" s="3">
        <f t="shared" si="1"/>
        <v>1012</v>
      </c>
      <c r="B1013" s="9" t="s">
        <v>7726</v>
      </c>
      <c r="C1013" s="10">
        <v>39.3011236</v>
      </c>
      <c r="D1013" s="10">
        <v>-76.616834</v>
      </c>
      <c r="E1013" s="9" t="s">
        <v>7727</v>
      </c>
      <c r="F1013" s="9" t="s">
        <v>7728</v>
      </c>
      <c r="G1013" s="11"/>
      <c r="H1013" s="9" t="s">
        <v>7729</v>
      </c>
      <c r="I1013" s="9" t="s">
        <v>44</v>
      </c>
      <c r="J1013" s="9" t="s">
        <v>7730</v>
      </c>
      <c r="K1013" s="9"/>
      <c r="L1013" s="9" t="s">
        <v>7731</v>
      </c>
      <c r="M1013" s="9">
        <v>67.83202399</v>
      </c>
      <c r="N1013" s="10">
        <v>33.16496899</v>
      </c>
      <c r="O1013" s="10" t="s">
        <v>7732</v>
      </c>
      <c r="P1013" s="9">
        <v>9082026.0</v>
      </c>
      <c r="Q1013" s="7" t="str">
        <f>IF(OR(ISBLANK(M1013), ISBLANK(N1013)), "", IF(N1013 &lt; Sheet3!$B$6, "Insufficient Reviews", IF(M1013 &gt;= Sheet3!$B$2, "Highly Reliable", IF(M1013 &gt;= Sheet3!$B$3, "Reliable", IF(M1013 &gt;= Sheet3!$B$4, "Mixed Reviews", "Low Reliability")))))</f>
        <v>Insufficient Reviews</v>
      </c>
    </row>
    <row r="1014">
      <c r="A1014" s="3">
        <f t="shared" si="1"/>
        <v>1013</v>
      </c>
      <c r="B1014" s="9" t="s">
        <v>7733</v>
      </c>
      <c r="C1014" s="10">
        <v>39.298714</v>
      </c>
      <c r="D1014" s="10">
        <v>-76.616345</v>
      </c>
      <c r="E1014" s="9" t="s">
        <v>7734</v>
      </c>
      <c r="F1014" s="9" t="s">
        <v>7735</v>
      </c>
      <c r="G1014" s="9" t="s">
        <v>7736</v>
      </c>
      <c r="H1014" s="9" t="s">
        <v>312</v>
      </c>
      <c r="I1014" s="9" t="s">
        <v>44</v>
      </c>
      <c r="J1014" s="9" t="s">
        <v>7737</v>
      </c>
      <c r="K1014" s="12" t="s">
        <v>7738</v>
      </c>
      <c r="L1014" s="9" t="s">
        <v>7739</v>
      </c>
      <c r="M1014" s="9">
        <v>67.58297223</v>
      </c>
      <c r="N1014" s="10">
        <v>89.73356243</v>
      </c>
      <c r="O1014" s="10" t="s">
        <v>7740</v>
      </c>
      <c r="P1014" s="9">
        <v>9082026.0</v>
      </c>
      <c r="Q1014" s="7" t="str">
        <f>IF(OR(ISBLANK(M1014), ISBLANK(N1014)), "", IF(N1014 &lt; Sheet3!$B$6, "Insufficient Reviews", IF(M1014 &gt;= Sheet3!$B$2, "Highly Reliable", IF(M1014 &gt;= Sheet3!$B$3, "Reliable", IF(M1014 &gt;= Sheet3!$B$4, "Mixed Reviews", "Low Reliability")))))</f>
        <v>Mixed Reviews</v>
      </c>
    </row>
    <row r="1015">
      <c r="A1015" s="3">
        <f t="shared" si="1"/>
        <v>1014</v>
      </c>
      <c r="B1015" s="9" t="s">
        <v>7741</v>
      </c>
      <c r="C1015" s="10">
        <v>39.297189</v>
      </c>
      <c r="D1015" s="10">
        <v>-76.58751</v>
      </c>
      <c r="E1015" s="9" t="s">
        <v>7742</v>
      </c>
      <c r="F1015" s="9" t="s">
        <v>7743</v>
      </c>
      <c r="G1015" s="9" t="s">
        <v>7744</v>
      </c>
      <c r="H1015" s="9"/>
      <c r="I1015" s="9" t="s">
        <v>35</v>
      </c>
      <c r="J1015" s="9" t="s">
        <v>7745</v>
      </c>
      <c r="K1015" s="12" t="s">
        <v>7746</v>
      </c>
      <c r="L1015" s="9" t="s">
        <v>7747</v>
      </c>
      <c r="M1015" s="9">
        <v>15.0</v>
      </c>
      <c r="N1015" s="10">
        <v>31.83333333</v>
      </c>
      <c r="O1015" s="10" t="s">
        <v>5749</v>
      </c>
      <c r="P1015" s="9">
        <v>9082026.0</v>
      </c>
      <c r="Q1015" s="7" t="str">
        <f>IF(OR(ISBLANK(M1015), ISBLANK(N1015)), "", IF(N1015 &lt; Sheet3!$B$6, "Insufficient Reviews", IF(M1015 &gt;= Sheet3!$B$2, "Highly Reliable", IF(M1015 &gt;= Sheet3!$B$3, "Reliable", IF(M1015 &gt;= Sheet3!$B$4, "Mixed Reviews", "Low Reliability")))))</f>
        <v>Insufficient Reviews</v>
      </c>
    </row>
    <row r="1016">
      <c r="A1016" s="3">
        <f t="shared" si="1"/>
        <v>1015</v>
      </c>
      <c r="B1016" s="9" t="s">
        <v>7748</v>
      </c>
      <c r="C1016" s="10">
        <v>39.2230458</v>
      </c>
      <c r="D1016" s="10">
        <v>-76.8427901</v>
      </c>
      <c r="E1016" s="9" t="s">
        <v>7749</v>
      </c>
      <c r="F1016" s="9" t="s">
        <v>7750</v>
      </c>
      <c r="G1016" s="9" t="s">
        <v>7751</v>
      </c>
      <c r="H1016" s="9" t="s">
        <v>7752</v>
      </c>
      <c r="I1016" s="9" t="s">
        <v>44</v>
      </c>
      <c r="J1016" s="9" t="s">
        <v>7753</v>
      </c>
      <c r="K1016" s="12" t="s">
        <v>7754</v>
      </c>
      <c r="L1016" s="9" t="s">
        <v>7755</v>
      </c>
      <c r="M1016" s="9">
        <v>84.34222954</v>
      </c>
      <c r="N1016" s="10">
        <v>65.80048898</v>
      </c>
      <c r="O1016" s="10" t="s">
        <v>7756</v>
      </c>
      <c r="P1016" s="9">
        <v>9082026.0</v>
      </c>
      <c r="Q1016" s="7" t="str">
        <f>IF(OR(ISBLANK(M1016), ISBLANK(N1016)), "", IF(N1016 &lt; Sheet3!$B$6, "Insufficient Reviews", IF(M1016 &gt;= Sheet3!$B$2, "Highly Reliable", IF(M1016 &gt;= Sheet3!$B$3, "Reliable", IF(M1016 &gt;= Sheet3!$B$4, "Mixed Reviews", "Low Reliability")))))</f>
        <v>Highly Reliable</v>
      </c>
    </row>
    <row r="1017">
      <c r="A1017" s="3">
        <f t="shared" si="1"/>
        <v>1016</v>
      </c>
      <c r="B1017" s="9" t="s">
        <v>7757</v>
      </c>
      <c r="C1017" s="10">
        <v>39.3421901</v>
      </c>
      <c r="D1017" s="10">
        <v>-76.5705999</v>
      </c>
      <c r="E1017" s="9" t="s">
        <v>7758</v>
      </c>
      <c r="F1017" s="9" t="s">
        <v>7759</v>
      </c>
      <c r="G1017" s="9" t="s">
        <v>7760</v>
      </c>
      <c r="H1017" s="9"/>
      <c r="I1017" s="9" t="s">
        <v>44</v>
      </c>
      <c r="J1017" s="9" t="s">
        <v>7761</v>
      </c>
      <c r="K1017" s="12" t="s">
        <v>7762</v>
      </c>
      <c r="L1017" s="9" t="s">
        <v>7763</v>
      </c>
      <c r="M1017" s="9">
        <v>16.5</v>
      </c>
      <c r="N1017" s="10">
        <v>53.5</v>
      </c>
      <c r="O1017" s="10" t="s">
        <v>7764</v>
      </c>
      <c r="P1017" s="9">
        <v>9082026.0</v>
      </c>
      <c r="Q1017" s="7" t="str">
        <f>IF(OR(ISBLANK(M1017), ISBLANK(N1017)), "", IF(N1017 &lt; Sheet3!$B$6, "Insufficient Reviews", IF(M1017 &gt;= Sheet3!$B$2, "Highly Reliable", IF(M1017 &gt;= Sheet3!$B$3, "Reliable", IF(M1017 &gt;= Sheet3!$B$4, "Mixed Reviews", "Low Reliability")))))</f>
        <v>Low Reliability</v>
      </c>
    </row>
    <row r="1018">
      <c r="A1018" s="3">
        <f t="shared" si="1"/>
        <v>1017</v>
      </c>
      <c r="B1018" s="9" t="s">
        <v>7765</v>
      </c>
      <c r="C1018" s="10">
        <v>39.3390311</v>
      </c>
      <c r="D1018" s="10">
        <v>-76.5729081</v>
      </c>
      <c r="E1018" s="9" t="s">
        <v>7766</v>
      </c>
      <c r="F1018" s="9" t="s">
        <v>7767</v>
      </c>
      <c r="G1018" s="9" t="s">
        <v>7768</v>
      </c>
      <c r="H1018" s="9" t="s">
        <v>126</v>
      </c>
      <c r="I1018" s="9" t="s">
        <v>35</v>
      </c>
      <c r="J1018" s="9" t="s">
        <v>7769</v>
      </c>
      <c r="K1018" s="12" t="s">
        <v>7770</v>
      </c>
      <c r="L1018" s="9" t="s">
        <v>7771</v>
      </c>
      <c r="M1018" s="9">
        <v>86.27483324</v>
      </c>
      <c r="N1018" s="10">
        <v>53.81939013</v>
      </c>
      <c r="O1018" s="10" t="s">
        <v>7772</v>
      </c>
      <c r="P1018" s="9">
        <v>9082026.0</v>
      </c>
      <c r="Q1018" s="7" t="str">
        <f>IF(OR(ISBLANK(M1018), ISBLANK(N1018)), "", IF(N1018 &lt; Sheet3!$B$6, "Insufficient Reviews", IF(M1018 &gt;= Sheet3!$B$2, "Highly Reliable", IF(M1018 &gt;= Sheet3!$B$3, "Reliable", IF(M1018 &gt;= Sheet3!$B$4, "Mixed Reviews", "Low Reliability")))))</f>
        <v>Highly Reliable</v>
      </c>
    </row>
    <row r="1019">
      <c r="A1019" s="3">
        <f t="shared" si="1"/>
        <v>1018</v>
      </c>
      <c r="B1019" s="9" t="s">
        <v>7773</v>
      </c>
      <c r="C1019" s="10">
        <v>39.3548694</v>
      </c>
      <c r="D1019" s="10">
        <v>-76.5595475</v>
      </c>
      <c r="E1019" s="9" t="s">
        <v>7774</v>
      </c>
      <c r="F1019" s="9" t="s">
        <v>7775</v>
      </c>
      <c r="G1019" s="9" t="s">
        <v>7776</v>
      </c>
      <c r="H1019" s="9"/>
      <c r="I1019" s="9" t="s">
        <v>44</v>
      </c>
      <c r="J1019" s="9" t="s">
        <v>7777</v>
      </c>
      <c r="K1019" s="12" t="s">
        <v>7778</v>
      </c>
      <c r="L1019" s="9" t="s">
        <v>7779</v>
      </c>
      <c r="M1019" s="9">
        <v>31.31040946</v>
      </c>
      <c r="N1019" s="10">
        <v>55.27951511</v>
      </c>
      <c r="O1019" s="10" t="s">
        <v>7780</v>
      </c>
      <c r="P1019" s="9">
        <v>9082026.0</v>
      </c>
      <c r="Q1019" s="7" t="str">
        <f>IF(OR(ISBLANK(M1019), ISBLANK(N1019)), "", IF(N1019 &lt; Sheet3!$B$6, "Insufficient Reviews", IF(M1019 &gt;= Sheet3!$B$2, "Highly Reliable", IF(M1019 &gt;= Sheet3!$B$3, "Reliable", IF(M1019 &gt;= Sheet3!$B$4, "Mixed Reviews", "Low Reliability")))))</f>
        <v>Low Reliability</v>
      </c>
    </row>
    <row r="1020">
      <c r="A1020" s="3">
        <f t="shared" si="1"/>
        <v>1019</v>
      </c>
      <c r="B1020" s="9" t="s">
        <v>7781</v>
      </c>
      <c r="C1020" s="10">
        <v>39.3015655</v>
      </c>
      <c r="D1020" s="10">
        <v>-76.6071306</v>
      </c>
      <c r="E1020" s="9" t="s">
        <v>7782</v>
      </c>
      <c r="F1020" s="9" t="s">
        <v>7783</v>
      </c>
      <c r="G1020" s="9"/>
      <c r="H1020" s="11"/>
      <c r="I1020" s="9" t="s">
        <v>91</v>
      </c>
      <c r="J1020" s="9" t="s">
        <v>7784</v>
      </c>
      <c r="K1020" s="9"/>
      <c r="L1020" s="9" t="s">
        <v>7785</v>
      </c>
      <c r="M1020" s="9">
        <v>10.5</v>
      </c>
      <c r="N1020" s="10">
        <v>15.04666667</v>
      </c>
      <c r="O1020" s="10" t="s">
        <v>7786</v>
      </c>
      <c r="P1020" s="9">
        <v>9082026.0</v>
      </c>
      <c r="Q1020" s="7" t="str">
        <f>IF(OR(ISBLANK(M1020), ISBLANK(N1020)), "", IF(N1020 &lt; Sheet3!$B$6, "Insufficient Reviews", IF(M1020 &gt;= Sheet3!$B$2, "Highly Reliable", IF(M1020 &gt;= Sheet3!$B$3, "Reliable", IF(M1020 &gt;= Sheet3!$B$4, "Mixed Reviews", "Low Reliability")))))</f>
        <v>Insufficient Reviews</v>
      </c>
    </row>
    <row r="1021">
      <c r="A1021" s="3">
        <f t="shared" si="1"/>
        <v>1020</v>
      </c>
      <c r="B1021" s="9" t="s">
        <v>7787</v>
      </c>
      <c r="C1021" s="10">
        <v>39.3031298</v>
      </c>
      <c r="D1021" s="10">
        <v>-76.6141891</v>
      </c>
      <c r="E1021" s="9" t="s">
        <v>7788</v>
      </c>
      <c r="F1021" s="9" t="s">
        <v>7789</v>
      </c>
      <c r="G1021" s="9" t="s">
        <v>7790</v>
      </c>
      <c r="H1021" s="9" t="s">
        <v>7791</v>
      </c>
      <c r="I1021" s="9" t="s">
        <v>35</v>
      </c>
      <c r="J1021" s="9" t="s">
        <v>7792</v>
      </c>
      <c r="K1021" s="12" t="s">
        <v>7793</v>
      </c>
      <c r="L1021" s="9" t="s">
        <v>7794</v>
      </c>
      <c r="M1021" s="9">
        <v>86.22487078</v>
      </c>
      <c r="N1021" s="10">
        <v>83.23795016</v>
      </c>
      <c r="O1021" s="10" t="s">
        <v>7795</v>
      </c>
      <c r="P1021" s="9">
        <v>9082026.0</v>
      </c>
      <c r="Q1021" s="7" t="str">
        <f>IF(OR(ISBLANK(M1021), ISBLANK(N1021)), "", IF(N1021 &lt; Sheet3!$B$6, "Insufficient Reviews", IF(M1021 &gt;= Sheet3!$B$2, "Highly Reliable", IF(M1021 &gt;= Sheet3!$B$3, "Reliable", IF(M1021 &gt;= Sheet3!$B$4, "Mixed Reviews", "Low Reliability")))))</f>
        <v>Highly Reliable</v>
      </c>
    </row>
    <row r="1022">
      <c r="A1022" s="3">
        <f t="shared" si="1"/>
        <v>1021</v>
      </c>
      <c r="B1022" s="9" t="s">
        <v>7796</v>
      </c>
      <c r="C1022" s="10">
        <v>39.2949086</v>
      </c>
      <c r="D1022" s="10">
        <v>-76.614442</v>
      </c>
      <c r="E1022" s="9" t="s">
        <v>7797</v>
      </c>
      <c r="F1022" s="9" t="s">
        <v>7798</v>
      </c>
      <c r="G1022" s="9" t="s">
        <v>4186</v>
      </c>
      <c r="H1022" s="9" t="s">
        <v>126</v>
      </c>
      <c r="I1022" s="9" t="s">
        <v>44</v>
      </c>
      <c r="J1022" s="9" t="s">
        <v>7799</v>
      </c>
      <c r="K1022" s="9"/>
      <c r="L1022" s="9" t="s">
        <v>7800</v>
      </c>
      <c r="M1022" s="9">
        <v>56.83686423</v>
      </c>
      <c r="N1022" s="10">
        <v>42.06281673</v>
      </c>
      <c r="O1022" s="10" t="s">
        <v>7801</v>
      </c>
      <c r="P1022" s="9">
        <v>9082026.0</v>
      </c>
      <c r="Q1022" s="7" t="str">
        <f>IF(OR(ISBLANK(M1022), ISBLANK(N1022)), "", IF(N1022 &lt; Sheet3!$B$6, "Insufficient Reviews", IF(M1022 &gt;= Sheet3!$B$2, "Highly Reliable", IF(M1022 &gt;= Sheet3!$B$3, "Reliable", IF(M1022 &gt;= Sheet3!$B$4, "Mixed Reviews", "Low Reliability")))))</f>
        <v>Low Reliability</v>
      </c>
    </row>
    <row r="1023">
      <c r="A1023" s="3">
        <f t="shared" si="1"/>
        <v>1022</v>
      </c>
      <c r="B1023" s="9" t="s">
        <v>7802</v>
      </c>
      <c r="C1023" s="10">
        <v>39.2469496</v>
      </c>
      <c r="D1023" s="10">
        <v>-76.6818302</v>
      </c>
      <c r="E1023" s="9" t="s">
        <v>7803</v>
      </c>
      <c r="F1023" s="9" t="s">
        <v>7804</v>
      </c>
      <c r="G1023" s="9" t="s">
        <v>7805</v>
      </c>
      <c r="H1023" s="9" t="s">
        <v>7806</v>
      </c>
      <c r="I1023" s="9" t="s">
        <v>44</v>
      </c>
      <c r="J1023" s="9" t="s">
        <v>7807</v>
      </c>
      <c r="K1023" s="12" t="s">
        <v>7808</v>
      </c>
      <c r="L1023" s="9" t="s">
        <v>7809</v>
      </c>
      <c r="M1023" s="9">
        <v>80.47757672</v>
      </c>
      <c r="N1023" s="10">
        <v>73.71897297</v>
      </c>
      <c r="O1023" s="10" t="s">
        <v>7810</v>
      </c>
      <c r="P1023" s="9">
        <v>9082026.0</v>
      </c>
      <c r="Q1023" s="7" t="str">
        <f>IF(OR(ISBLANK(M1023), ISBLANK(N1023)), "", IF(N1023 &lt; Sheet3!$B$6, "Insufficient Reviews", IF(M1023 &gt;= Sheet3!$B$2, "Highly Reliable", IF(M1023 &gt;= Sheet3!$B$3, "Reliable", IF(M1023 &gt;= Sheet3!$B$4, "Mixed Reviews", "Low Reliability")))))</f>
        <v>Reliable</v>
      </c>
    </row>
    <row r="1024">
      <c r="A1024" s="3">
        <f t="shared" si="1"/>
        <v>1023</v>
      </c>
      <c r="B1024" s="9" t="s">
        <v>7811</v>
      </c>
      <c r="C1024" s="10">
        <v>39.2908907</v>
      </c>
      <c r="D1024" s="10">
        <v>-76.6145412</v>
      </c>
      <c r="E1024" s="9" t="s">
        <v>7812</v>
      </c>
      <c r="F1024" s="9" t="s">
        <v>7813</v>
      </c>
      <c r="G1024" s="9" t="s">
        <v>7814</v>
      </c>
      <c r="H1024" s="9" t="s">
        <v>90</v>
      </c>
      <c r="I1024" s="9" t="s">
        <v>44</v>
      </c>
      <c r="J1024" s="9" t="s">
        <v>7815</v>
      </c>
      <c r="K1024" s="12" t="s">
        <v>7816</v>
      </c>
      <c r="L1024" s="9" t="s">
        <v>7817</v>
      </c>
      <c r="M1024" s="9">
        <v>75.0880278</v>
      </c>
      <c r="N1024" s="10">
        <v>62.18654639</v>
      </c>
      <c r="O1024" s="10" t="s">
        <v>7818</v>
      </c>
      <c r="P1024" s="9">
        <v>9082026.0</v>
      </c>
      <c r="Q1024" s="7" t="str">
        <f>IF(OR(ISBLANK(M1024), ISBLANK(N1024)), "", IF(N1024 &lt; Sheet3!$B$6, "Insufficient Reviews", IF(M1024 &gt;= Sheet3!$B$2, "Highly Reliable", IF(M1024 &gt;= Sheet3!$B$3, "Reliable", IF(M1024 &gt;= Sheet3!$B$4, "Mixed Reviews", "Low Reliability")))))</f>
        <v>Reliable</v>
      </c>
    </row>
    <row r="1025">
      <c r="A1025" s="3">
        <f t="shared" si="1"/>
        <v>1024</v>
      </c>
      <c r="B1025" s="9" t="s">
        <v>7819</v>
      </c>
      <c r="C1025" s="10">
        <v>39.2902659</v>
      </c>
      <c r="D1025" s="10">
        <v>-76.615105</v>
      </c>
      <c r="E1025" s="9" t="s">
        <v>7820</v>
      </c>
      <c r="F1025" s="9" t="s">
        <v>7821</v>
      </c>
      <c r="G1025" s="9" t="s">
        <v>7822</v>
      </c>
      <c r="H1025" s="9"/>
      <c r="I1025" s="9" t="s">
        <v>44</v>
      </c>
      <c r="J1025" s="9" t="s">
        <v>7823</v>
      </c>
      <c r="K1025" s="12" t="s">
        <v>7824</v>
      </c>
      <c r="L1025" s="9" t="s">
        <v>7825</v>
      </c>
      <c r="M1025" s="9">
        <v>51.1081126</v>
      </c>
      <c r="N1025" s="10">
        <v>50.41736837</v>
      </c>
      <c r="O1025" s="10" t="s">
        <v>7826</v>
      </c>
      <c r="P1025" s="9">
        <v>9082026.0</v>
      </c>
      <c r="Q1025" s="7" t="str">
        <f>IF(OR(ISBLANK(M1025), ISBLANK(N1025)), "", IF(N1025 &lt; Sheet3!$B$6, "Insufficient Reviews", IF(M1025 &gt;= Sheet3!$B$2, "Highly Reliable", IF(M1025 &gt;= Sheet3!$B$3, "Reliable", IF(M1025 &gt;= Sheet3!$B$4, "Mixed Reviews", "Low Reliability")))))</f>
        <v>Low Reliability</v>
      </c>
    </row>
    <row r="1026">
      <c r="A1026" s="3">
        <f t="shared" si="1"/>
        <v>1025</v>
      </c>
      <c r="B1026" s="9" t="s">
        <v>7827</v>
      </c>
      <c r="C1026" s="10">
        <v>39.2747481</v>
      </c>
      <c r="D1026" s="10">
        <v>-76.6344808</v>
      </c>
      <c r="E1026" s="9" t="s">
        <v>7828</v>
      </c>
      <c r="F1026" s="9" t="s">
        <v>7829</v>
      </c>
      <c r="G1026" s="9"/>
      <c r="H1026" s="9" t="s">
        <v>7830</v>
      </c>
      <c r="I1026" s="9" t="s">
        <v>44</v>
      </c>
      <c r="J1026" s="9" t="s">
        <v>7831</v>
      </c>
      <c r="K1026" s="12" t="s">
        <v>7832</v>
      </c>
      <c r="L1026" s="9" t="s">
        <v>7833</v>
      </c>
      <c r="M1026" s="9">
        <v>65.3624809</v>
      </c>
      <c r="N1026" s="10">
        <v>56.56991781</v>
      </c>
      <c r="O1026" s="10" t="s">
        <v>7834</v>
      </c>
      <c r="P1026" s="9">
        <v>9082026.0</v>
      </c>
      <c r="Q1026" s="7" t="str">
        <f>IF(OR(ISBLANK(M1026), ISBLANK(N1026)), "", IF(N1026 &lt; Sheet3!$B$6, "Insufficient Reviews", IF(M1026 &gt;= Sheet3!$B$2, "Highly Reliable", IF(M1026 &gt;= Sheet3!$B$3, "Reliable", IF(M1026 &gt;= Sheet3!$B$4, "Mixed Reviews", "Low Reliability")))))</f>
        <v>Mixed Reviews</v>
      </c>
    </row>
    <row r="1027">
      <c r="A1027" s="3">
        <f t="shared" si="1"/>
        <v>1026</v>
      </c>
      <c r="B1027" s="9" t="s">
        <v>7835</v>
      </c>
      <c r="C1027" s="10">
        <v>39.2345391</v>
      </c>
      <c r="D1027" s="10">
        <v>-76.7140568</v>
      </c>
      <c r="E1027" s="9" t="s">
        <v>7836</v>
      </c>
      <c r="F1027" s="9" t="s">
        <v>7837</v>
      </c>
      <c r="G1027" s="9" t="s">
        <v>7838</v>
      </c>
      <c r="H1027" s="9" t="s">
        <v>7839</v>
      </c>
      <c r="I1027" s="9" t="s">
        <v>44</v>
      </c>
      <c r="J1027" s="9" t="s">
        <v>7840</v>
      </c>
      <c r="K1027" s="12" t="s">
        <v>7841</v>
      </c>
      <c r="L1027" s="9" t="s">
        <v>7842</v>
      </c>
      <c r="M1027" s="9">
        <v>15.0</v>
      </c>
      <c r="N1027" s="10">
        <v>31.83333333</v>
      </c>
      <c r="O1027" s="10" t="s">
        <v>5852</v>
      </c>
      <c r="P1027" s="9">
        <v>9082026.0</v>
      </c>
      <c r="Q1027" s="7" t="str">
        <f>IF(OR(ISBLANK(M1027), ISBLANK(N1027)), "", IF(N1027 &lt; Sheet3!$B$6, "Insufficient Reviews", IF(M1027 &gt;= Sheet3!$B$2, "Highly Reliable", IF(M1027 &gt;= Sheet3!$B$3, "Reliable", IF(M1027 &gt;= Sheet3!$B$4, "Mixed Reviews", "Low Reliability")))))</f>
        <v>Insufficient Reviews</v>
      </c>
    </row>
    <row r="1028">
      <c r="A1028" s="3">
        <f t="shared" si="1"/>
        <v>1027</v>
      </c>
      <c r="B1028" s="9" t="s">
        <v>7843</v>
      </c>
      <c r="C1028" s="10">
        <v>39.3215338</v>
      </c>
      <c r="D1028" s="10">
        <v>-76.5731869</v>
      </c>
      <c r="E1028" s="9" t="s">
        <v>7844</v>
      </c>
      <c r="F1028" s="9" t="s">
        <v>7049</v>
      </c>
      <c r="G1028" s="9" t="s">
        <v>7845</v>
      </c>
      <c r="H1028" s="9" t="s">
        <v>7846</v>
      </c>
      <c r="I1028" s="9" t="s">
        <v>44</v>
      </c>
      <c r="J1028" s="9" t="s">
        <v>7847</v>
      </c>
      <c r="K1028" s="12" t="s">
        <v>7848</v>
      </c>
      <c r="L1028" s="9" t="s">
        <v>7849</v>
      </c>
      <c r="M1028" s="9">
        <v>70.01646989</v>
      </c>
      <c r="N1028" s="10">
        <v>54.10226842</v>
      </c>
      <c r="O1028" s="10" t="s">
        <v>7850</v>
      </c>
      <c r="P1028" s="9">
        <v>9082026.0</v>
      </c>
      <c r="Q1028" s="7" t="str">
        <f>IF(OR(ISBLANK(M1028), ISBLANK(N1028)), "", IF(N1028 &lt; Sheet3!$B$6, "Insufficient Reviews", IF(M1028 &gt;= Sheet3!$B$2, "Highly Reliable", IF(M1028 &gt;= Sheet3!$B$3, "Reliable", IF(M1028 &gt;= Sheet3!$B$4, "Mixed Reviews", "Low Reliability")))))</f>
        <v>Reliable</v>
      </c>
    </row>
    <row r="1029">
      <c r="A1029" s="3">
        <f t="shared" si="1"/>
        <v>1028</v>
      </c>
      <c r="B1029" s="9" t="s">
        <v>7851</v>
      </c>
      <c r="C1029" s="10">
        <v>39.2523367</v>
      </c>
      <c r="D1029" s="10">
        <v>-76.6663381</v>
      </c>
      <c r="E1029" s="9" t="s">
        <v>7852</v>
      </c>
      <c r="F1029" s="9" t="s">
        <v>7853</v>
      </c>
      <c r="G1029" s="9" t="s">
        <v>7854</v>
      </c>
      <c r="H1029" s="9" t="s">
        <v>3437</v>
      </c>
      <c r="I1029" s="9" t="s">
        <v>44</v>
      </c>
      <c r="J1029" s="9" t="s">
        <v>7855</v>
      </c>
      <c r="K1029" s="12" t="s">
        <v>7856</v>
      </c>
      <c r="L1029" s="9" t="s">
        <v>7857</v>
      </c>
      <c r="M1029" s="9">
        <v>83.80865651</v>
      </c>
      <c r="N1029" s="10">
        <v>58.00470128</v>
      </c>
      <c r="O1029" s="10" t="s">
        <v>7858</v>
      </c>
      <c r="P1029" s="9">
        <v>9082026.0</v>
      </c>
      <c r="Q1029" s="7" t="str">
        <f>IF(OR(ISBLANK(M1029), ISBLANK(N1029)), "", IF(N1029 &lt; Sheet3!$B$6, "Insufficient Reviews", IF(M1029 &gt;= Sheet3!$B$2, "Highly Reliable", IF(M1029 &gt;= Sheet3!$B$3, "Reliable", IF(M1029 &gt;= Sheet3!$B$4, "Mixed Reviews", "Low Reliability")))))</f>
        <v>Highly Reliable</v>
      </c>
    </row>
    <row r="1030">
      <c r="A1030" s="3">
        <f t="shared" si="1"/>
        <v>1029</v>
      </c>
      <c r="B1030" s="9" t="s">
        <v>7859</v>
      </c>
      <c r="C1030" s="10">
        <v>39.3002949</v>
      </c>
      <c r="D1030" s="10">
        <v>-76.5927141</v>
      </c>
      <c r="E1030" s="9" t="s">
        <v>7860</v>
      </c>
      <c r="F1030" s="9" t="s">
        <v>7861</v>
      </c>
      <c r="G1030" s="9" t="s">
        <v>7862</v>
      </c>
      <c r="H1030" s="9" t="s">
        <v>7863</v>
      </c>
      <c r="I1030" s="9" t="s">
        <v>44</v>
      </c>
      <c r="J1030" s="9" t="s">
        <v>7864</v>
      </c>
      <c r="K1030" s="12" t="s">
        <v>7865</v>
      </c>
      <c r="L1030" s="9" t="s">
        <v>7866</v>
      </c>
      <c r="M1030" s="9">
        <v>84.63737617</v>
      </c>
      <c r="N1030" s="10">
        <v>69.15070471</v>
      </c>
      <c r="O1030" s="10" t="s">
        <v>7867</v>
      </c>
      <c r="P1030" s="9">
        <v>9082026.0</v>
      </c>
      <c r="Q1030" s="7" t="str">
        <f>IF(OR(ISBLANK(M1030), ISBLANK(N1030)), "", IF(N1030 &lt; Sheet3!$B$6, "Insufficient Reviews", IF(M1030 &gt;= Sheet3!$B$2, "Highly Reliable", IF(M1030 &gt;= Sheet3!$B$3, "Reliable", IF(M1030 &gt;= Sheet3!$B$4, "Mixed Reviews", "Low Reliability")))))</f>
        <v>Highly Reliable</v>
      </c>
    </row>
    <row r="1031">
      <c r="A1031" s="3">
        <f t="shared" si="1"/>
        <v>1030</v>
      </c>
      <c r="B1031" s="9" t="s">
        <v>7868</v>
      </c>
      <c r="C1031" s="10">
        <v>39.2825364</v>
      </c>
      <c r="D1031" s="10">
        <v>-76.6144096</v>
      </c>
      <c r="E1031" s="9" t="s">
        <v>7869</v>
      </c>
      <c r="F1031" s="9" t="s">
        <v>7870</v>
      </c>
      <c r="G1031" s="9" t="s">
        <v>7871</v>
      </c>
      <c r="H1031" s="9" t="s">
        <v>2973</v>
      </c>
      <c r="I1031" s="9" t="s">
        <v>44</v>
      </c>
      <c r="J1031" s="9" t="s">
        <v>7872</v>
      </c>
      <c r="K1031" s="12" t="s">
        <v>7873</v>
      </c>
      <c r="L1031" s="9" t="s">
        <v>7874</v>
      </c>
      <c r="M1031" s="9">
        <v>60.29332896</v>
      </c>
      <c r="N1031" s="10">
        <v>50.21362895</v>
      </c>
      <c r="O1031" s="10" t="s">
        <v>7875</v>
      </c>
      <c r="P1031" s="9">
        <v>9082026.0</v>
      </c>
      <c r="Q1031" s="7" t="str">
        <f>IF(OR(ISBLANK(M1031), ISBLANK(N1031)), "", IF(N1031 &lt; Sheet3!$B$6, "Insufficient Reviews", IF(M1031 &gt;= Sheet3!$B$2, "Highly Reliable", IF(M1031 &gt;= Sheet3!$B$3, "Reliable", IF(M1031 &gt;= Sheet3!$B$4, "Mixed Reviews", "Low Reliability")))))</f>
        <v>Mixed Reviews</v>
      </c>
    </row>
    <row r="1032">
      <c r="A1032" s="3">
        <f t="shared" si="1"/>
        <v>1031</v>
      </c>
      <c r="B1032" s="9" t="s">
        <v>7876</v>
      </c>
      <c r="C1032" s="10">
        <v>39.2505708</v>
      </c>
      <c r="D1032" s="10">
        <v>-76.6682226</v>
      </c>
      <c r="E1032" s="9" t="s">
        <v>7877</v>
      </c>
      <c r="F1032" s="9" t="s">
        <v>7878</v>
      </c>
      <c r="G1032" s="9" t="s">
        <v>7879</v>
      </c>
      <c r="H1032" s="9" t="s">
        <v>7880</v>
      </c>
      <c r="I1032" s="9" t="s">
        <v>44</v>
      </c>
      <c r="J1032" s="9" t="s">
        <v>7881</v>
      </c>
      <c r="K1032" s="12" t="s">
        <v>7882</v>
      </c>
      <c r="L1032" s="9" t="s">
        <v>7883</v>
      </c>
      <c r="M1032" s="9">
        <v>64.47608071</v>
      </c>
      <c r="N1032" s="10">
        <v>53.60411435</v>
      </c>
      <c r="O1032" s="10" t="s">
        <v>7884</v>
      </c>
      <c r="P1032" s="9">
        <v>9082026.0</v>
      </c>
      <c r="Q1032" s="7" t="str">
        <f>IF(OR(ISBLANK(M1032), ISBLANK(N1032)), "", IF(N1032 &lt; Sheet3!$B$6, "Insufficient Reviews", IF(M1032 &gt;= Sheet3!$B$2, "Highly Reliable", IF(M1032 &gt;= Sheet3!$B$3, "Reliable", IF(M1032 &gt;= Sheet3!$B$4, "Mixed Reviews", "Low Reliability")))))</f>
        <v>Mixed Reviews</v>
      </c>
    </row>
    <row r="1033">
      <c r="A1033" s="3">
        <f t="shared" si="1"/>
        <v>1032</v>
      </c>
      <c r="B1033" s="9" t="s">
        <v>7885</v>
      </c>
      <c r="C1033" s="10">
        <v>39.2084517</v>
      </c>
      <c r="D1033" s="10">
        <v>-76.8472758</v>
      </c>
      <c r="E1033" s="9" t="s">
        <v>7886</v>
      </c>
      <c r="F1033" s="9" t="s">
        <v>7887</v>
      </c>
      <c r="G1033" s="9" t="s">
        <v>7888</v>
      </c>
      <c r="H1033" s="9" t="s">
        <v>7889</v>
      </c>
      <c r="I1033" s="9" t="s">
        <v>44</v>
      </c>
      <c r="J1033" s="9" t="s">
        <v>7890</v>
      </c>
      <c r="K1033" s="12" t="s">
        <v>7891</v>
      </c>
      <c r="L1033" s="9" t="s">
        <v>7892</v>
      </c>
      <c r="M1033" s="9">
        <v>66.60379003</v>
      </c>
      <c r="N1033" s="10">
        <v>56.12169837</v>
      </c>
      <c r="O1033" s="10" t="s">
        <v>7893</v>
      </c>
      <c r="P1033" s="9">
        <v>9082026.0</v>
      </c>
      <c r="Q1033" s="7" t="str">
        <f>IF(OR(ISBLANK(M1033), ISBLANK(N1033)), "", IF(N1033 &lt; Sheet3!$B$6, "Insufficient Reviews", IF(M1033 &gt;= Sheet3!$B$2, "Highly Reliable", IF(M1033 &gt;= Sheet3!$B$3, "Reliable", IF(M1033 &gt;= Sheet3!$B$4, "Mixed Reviews", "Low Reliability")))))</f>
        <v>Mixed Reviews</v>
      </c>
    </row>
    <row r="1034">
      <c r="A1034" s="3">
        <f t="shared" si="1"/>
        <v>1033</v>
      </c>
      <c r="B1034" s="9" t="s">
        <v>7894</v>
      </c>
      <c r="C1034" s="10">
        <v>39.3996611</v>
      </c>
      <c r="D1034" s="10">
        <v>-76.7785769</v>
      </c>
      <c r="E1034" s="9" t="s">
        <v>7895</v>
      </c>
      <c r="F1034" s="9" t="s">
        <v>7896</v>
      </c>
      <c r="G1034" s="9" t="s">
        <v>7897</v>
      </c>
      <c r="H1034" s="9"/>
      <c r="I1034" s="9" t="s">
        <v>27</v>
      </c>
      <c r="J1034" s="9" t="s">
        <v>7898</v>
      </c>
      <c r="K1034" s="12" t="s">
        <v>7899</v>
      </c>
      <c r="L1034" s="9" t="s">
        <v>7900</v>
      </c>
      <c r="M1034" s="9">
        <v>16.5</v>
      </c>
      <c r="N1034" s="10">
        <v>53.5</v>
      </c>
      <c r="O1034" s="10" t="s">
        <v>7901</v>
      </c>
      <c r="P1034" s="9">
        <v>9082026.0</v>
      </c>
      <c r="Q1034" s="7" t="str">
        <f>IF(OR(ISBLANK(M1034), ISBLANK(N1034)), "", IF(N1034 &lt; Sheet3!$B$6, "Insufficient Reviews", IF(M1034 &gt;= Sheet3!$B$2, "Highly Reliable", IF(M1034 &gt;= Sheet3!$B$3, "Reliable", IF(M1034 &gt;= Sheet3!$B$4, "Mixed Reviews", "Low Reliability")))))</f>
        <v>Low Reliability</v>
      </c>
    </row>
    <row r="1035">
      <c r="A1035" s="3">
        <f t="shared" si="1"/>
        <v>1034</v>
      </c>
      <c r="B1035" s="9" t="s">
        <v>7902</v>
      </c>
      <c r="C1035" s="10">
        <v>39.3384043</v>
      </c>
      <c r="D1035" s="10">
        <v>-76.6659041</v>
      </c>
      <c r="E1035" s="9" t="s">
        <v>7903</v>
      </c>
      <c r="F1035" s="9" t="s">
        <v>3427</v>
      </c>
      <c r="G1035" s="11"/>
      <c r="H1035" s="9" t="s">
        <v>7558</v>
      </c>
      <c r="I1035" s="9" t="s">
        <v>91</v>
      </c>
      <c r="J1035" s="9" t="s">
        <v>7904</v>
      </c>
      <c r="K1035" s="12" t="s">
        <v>7905</v>
      </c>
      <c r="L1035" s="9" t="s">
        <v>7906</v>
      </c>
      <c r="M1035" s="9">
        <v>77.16401057</v>
      </c>
      <c r="N1035" s="10">
        <v>69.79439601</v>
      </c>
      <c r="O1035" s="10" t="s">
        <v>7907</v>
      </c>
      <c r="P1035" s="9">
        <v>9082026.0</v>
      </c>
      <c r="Q1035" s="7" t="str">
        <f>IF(OR(ISBLANK(M1035), ISBLANK(N1035)), "", IF(N1035 &lt; Sheet3!$B$6, "Insufficient Reviews", IF(M1035 &gt;= Sheet3!$B$2, "Highly Reliable", IF(M1035 &gt;= Sheet3!$B$3, "Reliable", IF(M1035 &gt;= Sheet3!$B$4, "Mixed Reviews", "Low Reliability")))))</f>
        <v>Reliable</v>
      </c>
    </row>
    <row r="1036">
      <c r="A1036" s="3">
        <f t="shared" si="1"/>
        <v>1035</v>
      </c>
      <c r="B1036" s="9" t="s">
        <v>7908</v>
      </c>
      <c r="C1036" s="10">
        <v>39.2743161</v>
      </c>
      <c r="D1036" s="10">
        <v>-76.7202871</v>
      </c>
      <c r="E1036" s="9" t="s">
        <v>7909</v>
      </c>
      <c r="F1036" s="9" t="s">
        <v>7910</v>
      </c>
      <c r="G1036" s="9" t="s">
        <v>7911</v>
      </c>
      <c r="H1036" s="9" t="s">
        <v>62</v>
      </c>
      <c r="I1036" s="9" t="s">
        <v>91</v>
      </c>
      <c r="J1036" s="9" t="s">
        <v>7912</v>
      </c>
      <c r="K1036" s="12" t="s">
        <v>7913</v>
      </c>
      <c r="L1036" s="9" t="s">
        <v>7914</v>
      </c>
      <c r="M1036" s="9">
        <v>81.52863629</v>
      </c>
      <c r="N1036" s="10">
        <v>60.06446726</v>
      </c>
      <c r="O1036" s="10" t="s">
        <v>7915</v>
      </c>
      <c r="P1036" s="9">
        <v>9082026.0</v>
      </c>
      <c r="Q1036" s="7" t="str">
        <f>IF(OR(ISBLANK(M1036), ISBLANK(N1036)), "", IF(N1036 &lt; Sheet3!$B$6, "Insufficient Reviews", IF(M1036 &gt;= Sheet3!$B$2, "Highly Reliable", IF(M1036 &gt;= Sheet3!$B$3, "Reliable", IF(M1036 &gt;= Sheet3!$B$4, "Mixed Reviews", "Low Reliability")))))</f>
        <v>Reliable</v>
      </c>
    </row>
    <row r="1037">
      <c r="A1037" s="3">
        <f t="shared" si="1"/>
        <v>1036</v>
      </c>
      <c r="B1037" s="9" t="s">
        <v>7916</v>
      </c>
      <c r="C1037" s="10">
        <v>39.3020176</v>
      </c>
      <c r="D1037" s="10">
        <v>-76.6216518</v>
      </c>
      <c r="E1037" s="9" t="s">
        <v>7917</v>
      </c>
      <c r="F1037" s="9" t="s">
        <v>7918</v>
      </c>
      <c r="G1037" s="9"/>
      <c r="H1037" s="9" t="s">
        <v>62</v>
      </c>
      <c r="I1037" s="9" t="s">
        <v>91</v>
      </c>
      <c r="J1037" s="9" t="s">
        <v>7919</v>
      </c>
      <c r="K1037" s="12" t="s">
        <v>7920</v>
      </c>
      <c r="L1037" s="9" t="s">
        <v>7921</v>
      </c>
      <c r="M1037" s="9">
        <v>42.20400233</v>
      </c>
      <c r="N1037" s="10">
        <v>71.24243864</v>
      </c>
      <c r="O1037" s="10" t="s">
        <v>7922</v>
      </c>
      <c r="P1037" s="9">
        <v>9082026.0</v>
      </c>
      <c r="Q1037" s="7" t="str">
        <f>IF(OR(ISBLANK(M1037), ISBLANK(N1037)), "", IF(N1037 &lt; Sheet3!$B$6, "Insufficient Reviews", IF(M1037 &gt;= Sheet3!$B$2, "Highly Reliable", IF(M1037 &gt;= Sheet3!$B$3, "Reliable", IF(M1037 &gt;= Sheet3!$B$4, "Mixed Reviews", "Low Reliability")))))</f>
        <v>Low Reliability</v>
      </c>
    </row>
    <row r="1038">
      <c r="A1038" s="3">
        <f t="shared" si="1"/>
        <v>1037</v>
      </c>
      <c r="B1038" s="9" t="s">
        <v>7923</v>
      </c>
      <c r="C1038" s="10">
        <v>39.2879203</v>
      </c>
      <c r="D1038" s="10">
        <v>-76.6155026</v>
      </c>
      <c r="E1038" s="9" t="s">
        <v>7924</v>
      </c>
      <c r="F1038" s="9" t="s">
        <v>7925</v>
      </c>
      <c r="G1038" s="9"/>
      <c r="H1038" s="9" t="s">
        <v>126</v>
      </c>
      <c r="I1038" s="9" t="s">
        <v>35</v>
      </c>
      <c r="J1038" s="9" t="s">
        <v>7926</v>
      </c>
      <c r="K1038" s="9"/>
      <c r="L1038" s="9" t="s">
        <v>7927</v>
      </c>
      <c r="M1038" s="9">
        <v>51.53144213</v>
      </c>
      <c r="N1038" s="10">
        <v>54.1467179</v>
      </c>
      <c r="O1038" s="10" t="s">
        <v>7928</v>
      </c>
      <c r="P1038" s="9">
        <v>9082026.0</v>
      </c>
      <c r="Q1038" s="7" t="str">
        <f>IF(OR(ISBLANK(M1038), ISBLANK(N1038)), "", IF(N1038 &lt; Sheet3!$B$6, "Insufficient Reviews", IF(M1038 &gt;= Sheet3!$B$2, "Highly Reliable", IF(M1038 &gt;= Sheet3!$B$3, "Reliable", IF(M1038 &gt;= Sheet3!$B$4, "Mixed Reviews", "Low Reliability")))))</f>
        <v>Low Reliability</v>
      </c>
    </row>
    <row r="1039">
      <c r="A1039" s="3">
        <f t="shared" si="1"/>
        <v>1038</v>
      </c>
      <c r="B1039" s="9" t="s">
        <v>7929</v>
      </c>
      <c r="C1039" s="10">
        <v>39.2141915</v>
      </c>
      <c r="D1039" s="10">
        <v>-76.8856639</v>
      </c>
      <c r="E1039" s="9" t="s">
        <v>7930</v>
      </c>
      <c r="F1039" s="9" t="s">
        <v>7931</v>
      </c>
      <c r="G1039" s="9"/>
      <c r="H1039" s="9" t="s">
        <v>135</v>
      </c>
      <c r="I1039" s="9" t="s">
        <v>91</v>
      </c>
      <c r="J1039" s="9" t="s">
        <v>7932</v>
      </c>
      <c r="K1039" s="12" t="s">
        <v>7933</v>
      </c>
      <c r="L1039" s="9" t="s">
        <v>7934</v>
      </c>
      <c r="M1039" s="9">
        <v>58.48977741</v>
      </c>
      <c r="N1039" s="10">
        <v>70.41772736</v>
      </c>
      <c r="O1039" s="10" t="s">
        <v>7935</v>
      </c>
      <c r="P1039" s="9">
        <v>9082026.0</v>
      </c>
      <c r="Q1039" s="7" t="str">
        <f>IF(OR(ISBLANK(M1039), ISBLANK(N1039)), "", IF(N1039 &lt; Sheet3!$B$6, "Insufficient Reviews", IF(M1039 &gt;= Sheet3!$B$2, "Highly Reliable", IF(M1039 &gt;= Sheet3!$B$3, "Reliable", IF(M1039 &gt;= Sheet3!$B$4, "Mixed Reviews", "Low Reliability")))))</f>
        <v>Low Reliability</v>
      </c>
    </row>
    <row r="1040">
      <c r="A1040" s="3">
        <f t="shared" si="1"/>
        <v>1039</v>
      </c>
      <c r="B1040" s="9" t="s">
        <v>7936</v>
      </c>
      <c r="C1040" s="10">
        <v>39.2121885</v>
      </c>
      <c r="D1040" s="10">
        <v>-76.8610752</v>
      </c>
      <c r="E1040" s="9" t="s">
        <v>7937</v>
      </c>
      <c r="F1040" s="9" t="s">
        <v>7938</v>
      </c>
      <c r="G1040" s="9" t="s">
        <v>7939</v>
      </c>
      <c r="H1040" s="9" t="s">
        <v>7940</v>
      </c>
      <c r="I1040" s="9" t="s">
        <v>35</v>
      </c>
      <c r="J1040" s="9" t="s">
        <v>7941</v>
      </c>
      <c r="K1040" s="12" t="s">
        <v>7942</v>
      </c>
      <c r="L1040" s="9" t="s">
        <v>7943</v>
      </c>
      <c r="M1040" s="10">
        <v>54.0</v>
      </c>
      <c r="N1040" s="10">
        <v>59.56950131</v>
      </c>
      <c r="O1040" s="9" t="s">
        <v>5628</v>
      </c>
      <c r="P1040" s="9">
        <v>9082026.0</v>
      </c>
      <c r="Q1040" s="7" t="str">
        <f>IF(OR(ISBLANK(M1040), ISBLANK(N1040)), "", IF(N1040 &lt; Sheet3!$B$6, "Insufficient Reviews", IF(M1040 &gt;= Sheet3!$B$2, "Highly Reliable", IF(M1040 &gt;= Sheet3!$B$3, "Reliable", IF(M1040 &gt;= Sheet3!$B$4, "Mixed Reviews", "Low Reliability")))))</f>
        <v>Low Reliability</v>
      </c>
    </row>
    <row r="1041">
      <c r="A1041" s="3">
        <f t="shared" si="1"/>
        <v>1040</v>
      </c>
      <c r="B1041" s="9" t="s">
        <v>7944</v>
      </c>
      <c r="C1041" s="10">
        <v>39.2978841</v>
      </c>
      <c r="D1041" s="10">
        <v>-76.6003696</v>
      </c>
      <c r="E1041" s="9" t="s">
        <v>7945</v>
      </c>
      <c r="F1041" s="9" t="s">
        <v>3427</v>
      </c>
      <c r="G1041" s="9" t="s">
        <v>7946</v>
      </c>
      <c r="H1041" s="9" t="s">
        <v>3216</v>
      </c>
      <c r="I1041" s="9" t="s">
        <v>91</v>
      </c>
      <c r="J1041" s="9" t="s">
        <v>7947</v>
      </c>
      <c r="K1041" s="12" t="s">
        <v>3430</v>
      </c>
      <c r="L1041" s="9" t="s">
        <v>7948</v>
      </c>
      <c r="M1041" s="9">
        <v>81.10760781</v>
      </c>
      <c r="N1041" s="10">
        <v>72.73043562</v>
      </c>
      <c r="O1041" s="10" t="s">
        <v>7949</v>
      </c>
      <c r="P1041" s="9">
        <v>9082026.0</v>
      </c>
      <c r="Q1041" s="7" t="str">
        <f>IF(OR(ISBLANK(M1041), ISBLANK(N1041)), "", IF(N1041 &lt; Sheet3!$B$6, "Insufficient Reviews", IF(M1041 &gt;= Sheet3!$B$2, "Highly Reliable", IF(M1041 &gt;= Sheet3!$B$3, "Reliable", IF(M1041 &gt;= Sheet3!$B$4, "Mixed Reviews", "Low Reliability")))))</f>
        <v>Reliable</v>
      </c>
    </row>
    <row r="1042">
      <c r="A1042" s="3">
        <f t="shared" si="1"/>
        <v>1041</v>
      </c>
      <c r="B1042" s="9" t="s">
        <v>7950</v>
      </c>
      <c r="C1042" s="10">
        <v>39.2914929</v>
      </c>
      <c r="D1042" s="10">
        <v>-76.60088</v>
      </c>
      <c r="E1042" s="9" t="s">
        <v>7951</v>
      </c>
      <c r="F1042" s="9" t="s">
        <v>7952</v>
      </c>
      <c r="G1042" s="9" t="s">
        <v>7953</v>
      </c>
      <c r="H1042" s="9" t="s">
        <v>7954</v>
      </c>
      <c r="I1042" s="9" t="s">
        <v>35</v>
      </c>
      <c r="J1042" s="9" t="s">
        <v>7955</v>
      </c>
      <c r="K1042" s="12" t="s">
        <v>7956</v>
      </c>
      <c r="L1042" s="9" t="s">
        <v>7957</v>
      </c>
      <c r="M1042" s="9">
        <v>84.51567205</v>
      </c>
      <c r="N1042" s="10">
        <v>93.78499219</v>
      </c>
      <c r="O1042" s="10" t="s">
        <v>7958</v>
      </c>
      <c r="P1042" s="9">
        <v>9082026.0</v>
      </c>
      <c r="Q1042" s="7" t="str">
        <f>IF(OR(ISBLANK(M1042), ISBLANK(N1042)), "", IF(N1042 &lt; Sheet3!$B$6, "Insufficient Reviews", IF(M1042 &gt;= Sheet3!$B$2, "Highly Reliable", IF(M1042 &gt;= Sheet3!$B$3, "Reliable", IF(M1042 &gt;= Sheet3!$B$4, "Mixed Reviews", "Low Reliability")))))</f>
        <v>Highly Reliable</v>
      </c>
    </row>
    <row r="1043">
      <c r="A1043" s="3">
        <f t="shared" si="1"/>
        <v>1042</v>
      </c>
      <c r="B1043" s="9" t="s">
        <v>7959</v>
      </c>
      <c r="C1043" s="10">
        <v>39.2874752</v>
      </c>
      <c r="D1043" s="10">
        <v>-76.6055076</v>
      </c>
      <c r="E1043" s="9" t="s">
        <v>7960</v>
      </c>
      <c r="F1043" s="9" t="s">
        <v>7961</v>
      </c>
      <c r="G1043" s="9"/>
      <c r="H1043" s="9" t="s">
        <v>1476</v>
      </c>
      <c r="I1043" s="9" t="s">
        <v>27</v>
      </c>
      <c r="J1043" s="9" t="s">
        <v>7962</v>
      </c>
      <c r="K1043" s="12" t="s">
        <v>7963</v>
      </c>
      <c r="L1043" s="9" t="s">
        <v>7964</v>
      </c>
      <c r="M1043" s="9">
        <v>65.13261314</v>
      </c>
      <c r="N1043" s="10">
        <v>51.54369807</v>
      </c>
      <c r="O1043" s="10" t="s">
        <v>7965</v>
      </c>
      <c r="P1043" s="9">
        <v>9082026.0</v>
      </c>
      <c r="Q1043" s="7" t="str">
        <f>IF(OR(ISBLANK(M1043), ISBLANK(N1043)), "", IF(N1043 &lt; Sheet3!$B$6, "Insufficient Reviews", IF(M1043 &gt;= Sheet3!$B$2, "Highly Reliable", IF(M1043 &gt;= Sheet3!$B$3, "Reliable", IF(M1043 &gt;= Sheet3!$B$4, "Mixed Reviews", "Low Reliability")))))</f>
        <v>Mixed Reviews</v>
      </c>
    </row>
    <row r="1044">
      <c r="A1044" s="3">
        <f t="shared" si="1"/>
        <v>1043</v>
      </c>
      <c r="B1044" s="9" t="s">
        <v>7966</v>
      </c>
      <c r="C1044" s="10">
        <v>39.174777</v>
      </c>
      <c r="D1044" s="10">
        <v>-76.807326</v>
      </c>
      <c r="E1044" s="9" t="s">
        <v>7967</v>
      </c>
      <c r="F1044" s="9" t="s">
        <v>7968</v>
      </c>
      <c r="G1044" s="9"/>
      <c r="H1044" s="9" t="s">
        <v>126</v>
      </c>
      <c r="I1044" s="9" t="s">
        <v>35</v>
      </c>
      <c r="J1044" s="9" t="s">
        <v>7969</v>
      </c>
      <c r="K1044" s="12" t="s">
        <v>7970</v>
      </c>
      <c r="L1044" s="9" t="s">
        <v>7971</v>
      </c>
      <c r="M1044" s="9">
        <v>89.88659724</v>
      </c>
      <c r="N1044" s="10">
        <v>87.80439337</v>
      </c>
      <c r="O1044" s="10" t="s">
        <v>7972</v>
      </c>
      <c r="P1044" s="9">
        <v>9082026.0</v>
      </c>
      <c r="Q1044" s="7" t="str">
        <f>IF(OR(ISBLANK(M1044), ISBLANK(N1044)), "", IF(N1044 &lt; Sheet3!$B$6, "Insufficient Reviews", IF(M1044 &gt;= Sheet3!$B$2, "Highly Reliable", IF(M1044 &gt;= Sheet3!$B$3, "Reliable", IF(M1044 &gt;= Sheet3!$B$4, "Mixed Reviews", "Low Reliability")))))</f>
        <v>Highly Reliable</v>
      </c>
    </row>
    <row r="1045">
      <c r="A1045" s="3">
        <f t="shared" si="1"/>
        <v>1044</v>
      </c>
      <c r="B1045" s="9" t="s">
        <v>3717</v>
      </c>
      <c r="C1045" s="10">
        <v>39.3515318</v>
      </c>
      <c r="D1045" s="10">
        <v>-76.478266</v>
      </c>
      <c r="E1045" s="9" t="s">
        <v>3718</v>
      </c>
      <c r="F1045" s="9" t="s">
        <v>3719</v>
      </c>
      <c r="G1045" s="9" t="s">
        <v>7973</v>
      </c>
      <c r="H1045" s="9" t="s">
        <v>135</v>
      </c>
      <c r="I1045" s="9" t="s">
        <v>91</v>
      </c>
      <c r="J1045" s="9" t="s">
        <v>7974</v>
      </c>
      <c r="K1045" s="12" t="s">
        <v>3722</v>
      </c>
      <c r="L1045" s="9" t="s">
        <v>7975</v>
      </c>
      <c r="M1045" s="9">
        <v>78.85222883</v>
      </c>
      <c r="N1045" s="10">
        <v>73.4212372</v>
      </c>
      <c r="O1045" s="10" t="s">
        <v>2169</v>
      </c>
      <c r="P1045" s="9">
        <v>9082026.0</v>
      </c>
      <c r="Q1045" s="7" t="str">
        <f>IF(OR(ISBLANK(M1045), ISBLANK(N1045)), "", IF(N1045 &lt; Sheet3!$B$6, "Insufficient Reviews", IF(M1045 &gt;= Sheet3!$B$2, "Highly Reliable", IF(M1045 &gt;= Sheet3!$B$3, "Reliable", IF(M1045 &gt;= Sheet3!$B$4, "Mixed Reviews", "Low Reliability")))))</f>
        <v>Reliable</v>
      </c>
    </row>
    <row r="1046">
      <c r="A1046" s="3">
        <f t="shared" si="1"/>
        <v>1045</v>
      </c>
      <c r="B1046" s="9" t="s">
        <v>7976</v>
      </c>
      <c r="C1046" s="10">
        <v>33.3598383</v>
      </c>
      <c r="D1046" s="10">
        <v>-80.759978</v>
      </c>
      <c r="E1046" s="9" t="s">
        <v>7977</v>
      </c>
      <c r="F1046" s="9" t="s">
        <v>7978</v>
      </c>
      <c r="G1046" s="9" t="s">
        <v>7979</v>
      </c>
      <c r="H1046" s="9" t="s">
        <v>7980</v>
      </c>
      <c r="I1046" s="9" t="s">
        <v>91</v>
      </c>
      <c r="J1046" s="9" t="s">
        <v>7981</v>
      </c>
      <c r="K1046" s="12" t="s">
        <v>7982</v>
      </c>
      <c r="L1046" s="9" t="s">
        <v>7983</v>
      </c>
      <c r="M1046" s="9">
        <v>16.5</v>
      </c>
      <c r="N1046" s="10">
        <v>31.83333333</v>
      </c>
      <c r="O1046" s="10" t="s">
        <v>634</v>
      </c>
      <c r="P1046" s="9">
        <v>9082026.0</v>
      </c>
      <c r="Q1046" s="7" t="str">
        <f>IF(OR(ISBLANK(M1046), ISBLANK(N1046)), "", IF(N1046 &lt; Sheet3!$B$6, "Insufficient Reviews", IF(M1046 &gt;= Sheet3!$B$2, "Highly Reliable", IF(M1046 &gt;= Sheet3!$B$3, "Reliable", IF(M1046 &gt;= Sheet3!$B$4, "Mixed Reviews", "Low Reliability")))))</f>
        <v>Insufficient Reviews</v>
      </c>
    </row>
    <row r="1047">
      <c r="A1047" s="3">
        <f t="shared" si="1"/>
        <v>1046</v>
      </c>
      <c r="B1047" s="9" t="s">
        <v>7984</v>
      </c>
      <c r="C1047" s="10">
        <v>39.1932987</v>
      </c>
      <c r="D1047" s="10">
        <v>-77.2683387</v>
      </c>
      <c r="E1047" s="9" t="s">
        <v>7985</v>
      </c>
      <c r="F1047" s="9" t="s">
        <v>7986</v>
      </c>
      <c r="G1047" s="9" t="s">
        <v>7987</v>
      </c>
      <c r="H1047" s="9" t="s">
        <v>1199</v>
      </c>
      <c r="I1047" s="9" t="s">
        <v>91</v>
      </c>
      <c r="J1047" s="9" t="s">
        <v>7988</v>
      </c>
      <c r="K1047" s="12" t="s">
        <v>7989</v>
      </c>
      <c r="L1047" s="9" t="s">
        <v>7990</v>
      </c>
      <c r="M1047" s="9">
        <v>81.37341152</v>
      </c>
      <c r="N1047" s="10">
        <v>93.55836785</v>
      </c>
      <c r="O1047" s="10" t="s">
        <v>7991</v>
      </c>
      <c r="P1047" s="9">
        <v>9082026.0</v>
      </c>
      <c r="Q1047" s="7" t="str">
        <f>IF(OR(ISBLANK(M1047), ISBLANK(N1047)), "", IF(N1047 &lt; Sheet3!$B$6, "Insufficient Reviews", IF(M1047 &gt;= Sheet3!$B$2, "Highly Reliable", IF(M1047 &gt;= Sheet3!$B$3, "Reliable", IF(M1047 &gt;= Sheet3!$B$4, "Mixed Reviews", "Low Reliability")))))</f>
        <v>Reliable</v>
      </c>
    </row>
    <row r="1048">
      <c r="A1048" s="3">
        <f t="shared" si="1"/>
        <v>1047</v>
      </c>
      <c r="B1048" s="9" t="s">
        <v>7992</v>
      </c>
      <c r="C1048" s="10">
        <v>39.4226989</v>
      </c>
      <c r="D1048" s="10">
        <v>-77.4146128</v>
      </c>
      <c r="E1048" s="9" t="s">
        <v>7993</v>
      </c>
      <c r="F1048" s="9" t="s">
        <v>7994</v>
      </c>
      <c r="G1048" s="9" t="s">
        <v>7995</v>
      </c>
      <c r="H1048" s="9" t="s">
        <v>135</v>
      </c>
      <c r="I1048" s="9" t="s">
        <v>91</v>
      </c>
      <c r="J1048" s="9" t="s">
        <v>7996</v>
      </c>
      <c r="K1048" s="12" t="s">
        <v>7997</v>
      </c>
      <c r="L1048" s="9" t="s">
        <v>7998</v>
      </c>
      <c r="M1048" s="9">
        <v>56.34200938</v>
      </c>
      <c r="N1048" s="10">
        <v>90.64692205</v>
      </c>
      <c r="O1048" s="10" t="s">
        <v>7999</v>
      </c>
      <c r="P1048" s="9">
        <v>9082026.0</v>
      </c>
      <c r="Q1048" s="7" t="str">
        <f>IF(OR(ISBLANK(M1048), ISBLANK(N1048)), "", IF(N1048 &lt; Sheet3!$B$6, "Insufficient Reviews", IF(M1048 &gt;= Sheet3!$B$2, "Highly Reliable", IF(M1048 &gt;= Sheet3!$B$3, "Reliable", IF(M1048 &gt;= Sheet3!$B$4, "Mixed Reviews", "Low Reliability")))))</f>
        <v>Low Reliability</v>
      </c>
    </row>
    <row r="1049">
      <c r="A1049" s="3">
        <f t="shared" si="1"/>
        <v>1048</v>
      </c>
      <c r="B1049" s="9" t="s">
        <v>8000</v>
      </c>
      <c r="C1049" s="10">
        <v>38.1319444</v>
      </c>
      <c r="D1049" s="10">
        <v>-79.3308385</v>
      </c>
      <c r="E1049" s="9" t="s">
        <v>8001</v>
      </c>
      <c r="F1049" s="9" t="s">
        <v>8002</v>
      </c>
      <c r="G1049" s="9"/>
      <c r="H1049" s="9" t="s">
        <v>8003</v>
      </c>
      <c r="I1049" s="9" t="s">
        <v>27</v>
      </c>
      <c r="J1049" s="9" t="s">
        <v>8004</v>
      </c>
      <c r="K1049" s="12" t="s">
        <v>8005</v>
      </c>
      <c r="L1049" s="9" t="s">
        <v>8006</v>
      </c>
      <c r="M1049" s="10">
        <v>87.22360222</v>
      </c>
      <c r="N1049" s="10">
        <v>76.46240148</v>
      </c>
      <c r="O1049" s="9" t="s">
        <v>2068</v>
      </c>
      <c r="P1049" s="9">
        <v>9082026.0</v>
      </c>
      <c r="Q1049" s="7" t="str">
        <f>IF(OR(ISBLANK(M1049), ISBLANK(N1049)), "", IF(N1049 &lt; Sheet3!$B$6, "Insufficient Reviews", IF(M1049 &gt;= Sheet3!$B$2, "Highly Reliable", IF(M1049 &gt;= Sheet3!$B$3, "Reliable", IF(M1049 &gt;= Sheet3!$B$4, "Mixed Reviews", "Low Reliability")))))</f>
        <v>Highly Reliable</v>
      </c>
    </row>
    <row r="1050">
      <c r="A1050" s="3">
        <f t="shared" si="1"/>
        <v>1049</v>
      </c>
      <c r="B1050" s="9" t="s">
        <v>8007</v>
      </c>
      <c r="C1050" s="10">
        <v>38.9395115</v>
      </c>
      <c r="D1050" s="10">
        <v>-77.5476565</v>
      </c>
      <c r="E1050" s="9" t="s">
        <v>8008</v>
      </c>
      <c r="F1050" s="9" t="s">
        <v>8009</v>
      </c>
      <c r="G1050" s="11"/>
      <c r="H1050" s="11"/>
      <c r="I1050" s="9" t="s">
        <v>35</v>
      </c>
      <c r="J1050" s="9" t="s">
        <v>8010</v>
      </c>
      <c r="K1050" s="12" t="s">
        <v>8011</v>
      </c>
      <c r="L1050" s="9" t="s">
        <v>8012</v>
      </c>
      <c r="M1050" s="9">
        <v>73.84847094</v>
      </c>
      <c r="N1050" s="10">
        <v>47.3351486</v>
      </c>
      <c r="O1050" s="10" t="s">
        <v>8013</v>
      </c>
      <c r="P1050" s="9">
        <v>9082026.0</v>
      </c>
      <c r="Q1050" s="7" t="str">
        <f>IF(OR(ISBLANK(M1050), ISBLANK(N1050)), "", IF(N1050 &lt; Sheet3!$B$6, "Insufficient Reviews", IF(M1050 &gt;= Sheet3!$B$2, "Highly Reliable", IF(M1050 &gt;= Sheet3!$B$3, "Reliable", IF(M1050 &gt;= Sheet3!$B$4, "Mixed Reviews", "Low Reliability")))))</f>
        <v>Reliable</v>
      </c>
    </row>
    <row r="1051">
      <c r="A1051" s="3">
        <f t="shared" si="1"/>
        <v>1050</v>
      </c>
      <c r="B1051" s="9" t="s">
        <v>8014</v>
      </c>
      <c r="C1051" s="10">
        <v>38.7837641</v>
      </c>
      <c r="D1051" s="10">
        <v>-76.0712354</v>
      </c>
      <c r="E1051" s="9" t="s">
        <v>8015</v>
      </c>
      <c r="F1051" s="9" t="s">
        <v>8016</v>
      </c>
      <c r="G1051" s="9"/>
      <c r="H1051" s="9" t="s">
        <v>8017</v>
      </c>
      <c r="I1051" s="9" t="s">
        <v>27</v>
      </c>
      <c r="J1051" s="9" t="s">
        <v>8018</v>
      </c>
      <c r="K1051" s="12" t="s">
        <v>8019</v>
      </c>
      <c r="L1051" s="9" t="s">
        <v>8020</v>
      </c>
      <c r="M1051" s="9">
        <v>85.6462584</v>
      </c>
      <c r="N1051" s="10">
        <v>73.73083893</v>
      </c>
      <c r="O1051" s="10" t="s">
        <v>8021</v>
      </c>
      <c r="P1051" s="9">
        <v>9082026.0</v>
      </c>
      <c r="Q1051" s="7" t="str">
        <f>IF(OR(ISBLANK(M1051), ISBLANK(N1051)), "", IF(N1051 &lt; Sheet3!$B$6, "Insufficient Reviews", IF(M1051 &gt;= Sheet3!$B$2, "Highly Reliable", IF(M1051 &gt;= Sheet3!$B$3, "Reliable", IF(M1051 &gt;= Sheet3!$B$4, "Mixed Reviews", "Low Reliability")))))</f>
        <v>Highly Reliable</v>
      </c>
    </row>
    <row r="1052">
      <c r="A1052" s="3">
        <f t="shared" si="1"/>
        <v>1051</v>
      </c>
      <c r="B1052" s="9" t="s">
        <v>8022</v>
      </c>
      <c r="C1052" s="10">
        <v>38.5654695</v>
      </c>
      <c r="D1052" s="10">
        <v>-76.0660791</v>
      </c>
      <c r="E1052" s="9" t="s">
        <v>8023</v>
      </c>
      <c r="F1052" s="9" t="s">
        <v>8024</v>
      </c>
      <c r="G1052" s="9" t="s">
        <v>8025</v>
      </c>
      <c r="H1052" s="9" t="s">
        <v>312</v>
      </c>
      <c r="I1052" s="9" t="s">
        <v>27</v>
      </c>
      <c r="J1052" s="9" t="s">
        <v>8026</v>
      </c>
      <c r="K1052" s="12" t="s">
        <v>8027</v>
      </c>
      <c r="L1052" s="9" t="s">
        <v>8028</v>
      </c>
      <c r="M1052" s="10">
        <v>61.74532928</v>
      </c>
      <c r="N1052" s="10">
        <v>68.981513</v>
      </c>
      <c r="O1052" s="9" t="s">
        <v>8029</v>
      </c>
      <c r="P1052" s="9">
        <v>9082026.0</v>
      </c>
      <c r="Q1052" s="7" t="str">
        <f>IF(OR(ISBLANK(M1052), ISBLANK(N1052)), "", IF(N1052 &lt; Sheet3!$B$6, "Insufficient Reviews", IF(M1052 &gt;= Sheet3!$B$2, "Highly Reliable", IF(M1052 &gt;= Sheet3!$B$3, "Reliable", IF(M1052 &gt;= Sheet3!$B$4, "Mixed Reviews", "Low Reliability")))))</f>
        <v>Mixed Reviews</v>
      </c>
    </row>
    <row r="1053">
      <c r="A1053" s="3">
        <f t="shared" si="1"/>
        <v>1052</v>
      </c>
      <c r="B1053" s="9" t="s">
        <v>8030</v>
      </c>
      <c r="C1053" s="10">
        <v>37.0617734</v>
      </c>
      <c r="D1053" s="10">
        <v>-76.4070128</v>
      </c>
      <c r="E1053" s="9" t="s">
        <v>8031</v>
      </c>
      <c r="F1053" s="9" t="s">
        <v>8032</v>
      </c>
      <c r="G1053" s="9"/>
      <c r="H1053" s="11"/>
      <c r="I1053" s="9" t="s">
        <v>91</v>
      </c>
      <c r="J1053" s="9" t="s">
        <v>8033</v>
      </c>
      <c r="K1053" s="12" t="s">
        <v>8034</v>
      </c>
      <c r="L1053" s="9" t="s">
        <v>8035</v>
      </c>
      <c r="M1053" s="10">
        <v>60.53398896</v>
      </c>
      <c r="N1053" s="10">
        <v>68.37046204</v>
      </c>
      <c r="O1053" s="9" t="s">
        <v>8036</v>
      </c>
      <c r="P1053" s="9">
        <v>9082026.0</v>
      </c>
      <c r="Q1053" s="7" t="str">
        <f>IF(OR(ISBLANK(M1053), ISBLANK(N1053)), "", IF(N1053 &lt; Sheet3!$B$6, "Insufficient Reviews", IF(M1053 &gt;= Sheet3!$B$2, "Highly Reliable", IF(M1053 &gt;= Sheet3!$B$3, "Reliable", IF(M1053 &gt;= Sheet3!$B$4, "Mixed Reviews", "Low Reliability")))))</f>
        <v>Mixed Reviews</v>
      </c>
    </row>
    <row r="1054">
      <c r="A1054" s="3">
        <f t="shared" si="1"/>
        <v>1053</v>
      </c>
      <c r="B1054" s="9" t="s">
        <v>8037</v>
      </c>
      <c r="C1054" s="10">
        <v>27.2454868</v>
      </c>
      <c r="D1054" s="10">
        <v>-80.2382398</v>
      </c>
      <c r="E1054" s="9" t="s">
        <v>8038</v>
      </c>
      <c r="F1054" s="9" t="s">
        <v>8039</v>
      </c>
      <c r="G1054" s="9" t="s">
        <v>8040</v>
      </c>
      <c r="H1054" s="9" t="s">
        <v>303</v>
      </c>
      <c r="I1054" s="9" t="s">
        <v>91</v>
      </c>
      <c r="J1054" s="9" t="s">
        <v>8041</v>
      </c>
      <c r="K1054" s="12" t="s">
        <v>8042</v>
      </c>
      <c r="L1054" s="9" t="s">
        <v>8043</v>
      </c>
      <c r="M1054" s="9">
        <v>80.56128797</v>
      </c>
      <c r="N1054" s="10">
        <v>74.0444576</v>
      </c>
      <c r="O1054" s="10" t="s">
        <v>8044</v>
      </c>
      <c r="P1054" s="9">
        <v>9082026.0</v>
      </c>
      <c r="Q1054" s="7" t="str">
        <f>IF(OR(ISBLANK(M1054), ISBLANK(N1054)), "", IF(N1054 &lt; Sheet3!$B$6, "Insufficient Reviews", IF(M1054 &gt;= Sheet3!$B$2, "Highly Reliable", IF(M1054 &gt;= Sheet3!$B$3, "Reliable", IF(M1054 &gt;= Sheet3!$B$4, "Mixed Reviews", "Low Reliability")))))</f>
        <v>Reliable</v>
      </c>
    </row>
    <row r="1055">
      <c r="A1055" s="3">
        <f t="shared" si="1"/>
        <v>1054</v>
      </c>
      <c r="B1055" s="9" t="s">
        <v>8045</v>
      </c>
      <c r="C1055" s="10">
        <v>38.7534562</v>
      </c>
      <c r="D1055" s="10">
        <v>-90.4724281</v>
      </c>
      <c r="E1055" s="9" t="s">
        <v>8046</v>
      </c>
      <c r="F1055" s="9" t="s">
        <v>8047</v>
      </c>
      <c r="G1055" s="9" t="s">
        <v>8048</v>
      </c>
      <c r="H1055" s="9" t="s">
        <v>8049</v>
      </c>
      <c r="I1055" s="9" t="s">
        <v>91</v>
      </c>
      <c r="J1055" s="9" t="s">
        <v>8050</v>
      </c>
      <c r="K1055" s="12" t="s">
        <v>8051</v>
      </c>
      <c r="L1055" s="9" t="s">
        <v>8052</v>
      </c>
      <c r="M1055" s="9">
        <v>71.04115586</v>
      </c>
      <c r="N1055" s="10">
        <v>70.48529427</v>
      </c>
      <c r="O1055" s="10" t="s">
        <v>8053</v>
      </c>
      <c r="P1055" s="9">
        <v>9082026.0</v>
      </c>
      <c r="Q1055" s="7" t="str">
        <f>IF(OR(ISBLANK(M1055), ISBLANK(N1055)), "", IF(N1055 &lt; Sheet3!$B$6, "Insufficient Reviews", IF(M1055 &gt;= Sheet3!$B$2, "Highly Reliable", IF(M1055 &gt;= Sheet3!$B$3, "Reliable", IF(M1055 &gt;= Sheet3!$B$4, "Mixed Reviews", "Low Reliability")))))</f>
        <v>Reliable</v>
      </c>
    </row>
    <row r="1056">
      <c r="A1056" s="3">
        <f t="shared" si="1"/>
        <v>1055</v>
      </c>
      <c r="B1056" s="9" t="s">
        <v>8054</v>
      </c>
      <c r="C1056" s="10">
        <v>40.3376679</v>
      </c>
      <c r="D1056" s="10">
        <v>-74.6030149</v>
      </c>
      <c r="E1056" s="9" t="s">
        <v>8055</v>
      </c>
      <c r="F1056" s="9" t="s">
        <v>8056</v>
      </c>
      <c r="G1056" s="11"/>
      <c r="H1056" s="11"/>
      <c r="I1056" s="9" t="s">
        <v>91</v>
      </c>
      <c r="J1056" s="9" t="s">
        <v>8057</v>
      </c>
      <c r="K1056" s="12" t="s">
        <v>8058</v>
      </c>
      <c r="L1056" s="9" t="s">
        <v>8059</v>
      </c>
      <c r="M1056" s="9">
        <v>48.95734077</v>
      </c>
      <c r="N1056" s="10">
        <v>70.28883539</v>
      </c>
      <c r="O1056" s="10" t="s">
        <v>8060</v>
      </c>
      <c r="P1056" s="9">
        <v>9082026.0</v>
      </c>
      <c r="Q1056" s="7" t="str">
        <f>IF(OR(ISBLANK(M1056), ISBLANK(N1056)), "", IF(N1056 &lt; Sheet3!$B$6, "Insufficient Reviews", IF(M1056 &gt;= Sheet3!$B$2, "Highly Reliable", IF(M1056 &gt;= Sheet3!$B$3, "Reliable", IF(M1056 &gt;= Sheet3!$B$4, "Mixed Reviews", "Low Reliability")))))</f>
        <v>Low Reliability</v>
      </c>
    </row>
    <row r="1057">
      <c r="A1057" s="3">
        <f t="shared" si="1"/>
        <v>1056</v>
      </c>
      <c r="B1057" s="9" t="s">
        <v>8061</v>
      </c>
      <c r="C1057" s="10">
        <v>39.4032953</v>
      </c>
      <c r="D1057" s="10">
        <v>-76.5328383</v>
      </c>
      <c r="E1057" s="9" t="s">
        <v>8062</v>
      </c>
      <c r="F1057" s="9" t="s">
        <v>8063</v>
      </c>
      <c r="G1057" s="9" t="s">
        <v>8064</v>
      </c>
      <c r="H1057" s="9"/>
      <c r="I1057" s="9" t="s">
        <v>35</v>
      </c>
      <c r="J1057" s="9" t="s">
        <v>8065</v>
      </c>
      <c r="K1057" s="12" t="s">
        <v>8066</v>
      </c>
      <c r="L1057" s="9" t="s">
        <v>8067</v>
      </c>
      <c r="M1057" s="9">
        <v>80.5</v>
      </c>
      <c r="N1057" s="10">
        <v>35.6627623</v>
      </c>
      <c r="O1057" s="10" t="s">
        <v>4216</v>
      </c>
      <c r="P1057" s="9">
        <v>9082026.0</v>
      </c>
      <c r="Q1057" s="7" t="str">
        <f>IF(OR(ISBLANK(M1057), ISBLANK(N1057)), "", IF(N1057 &lt; Sheet3!$B$6, "Insufficient Reviews", IF(M1057 &gt;= Sheet3!$B$2, "Highly Reliable", IF(M1057 &gt;= Sheet3!$B$3, "Reliable", IF(M1057 &gt;= Sheet3!$B$4, "Mixed Reviews", "Low Reliability")))))</f>
        <v>Insufficient Reviews</v>
      </c>
    </row>
    <row r="1058">
      <c r="A1058" s="3">
        <f t="shared" si="1"/>
        <v>1057</v>
      </c>
      <c r="B1058" s="9" t="s">
        <v>8068</v>
      </c>
      <c r="C1058" s="10">
        <v>33.9389264</v>
      </c>
      <c r="D1058" s="10">
        <v>-84.1452733</v>
      </c>
      <c r="E1058" s="9" t="s">
        <v>8069</v>
      </c>
      <c r="F1058" s="9" t="s">
        <v>8070</v>
      </c>
      <c r="G1058" s="9" t="s">
        <v>8071</v>
      </c>
      <c r="H1058" s="9" t="s">
        <v>6826</v>
      </c>
      <c r="I1058" s="9" t="s">
        <v>91</v>
      </c>
      <c r="J1058" s="9" t="s">
        <v>8072</v>
      </c>
      <c r="K1058" s="12" t="s">
        <v>8073</v>
      </c>
      <c r="L1058" s="9" t="s">
        <v>8074</v>
      </c>
      <c r="M1058" s="9">
        <v>79.68923511</v>
      </c>
      <c r="N1058" s="10">
        <v>73.55568299</v>
      </c>
      <c r="O1058" s="10" t="s">
        <v>8075</v>
      </c>
      <c r="P1058" s="9">
        <v>9082026.0</v>
      </c>
      <c r="Q1058" s="7" t="str">
        <f>IF(OR(ISBLANK(M1058), ISBLANK(N1058)), "", IF(N1058 &lt; Sheet3!$B$6, "Insufficient Reviews", IF(M1058 &gt;= Sheet3!$B$2, "Highly Reliable", IF(M1058 &gt;= Sheet3!$B$3, "Reliable", IF(M1058 &gt;= Sheet3!$B$4, "Mixed Reviews", "Low Reliability")))))</f>
        <v>Reliable</v>
      </c>
    </row>
    <row r="1059">
      <c r="A1059" s="3">
        <f t="shared" si="1"/>
        <v>1058</v>
      </c>
      <c r="B1059" s="9" t="s">
        <v>8076</v>
      </c>
      <c r="C1059" s="10">
        <v>39.4763298</v>
      </c>
      <c r="D1059" s="10">
        <v>-76.8469363</v>
      </c>
      <c r="E1059" s="9" t="s">
        <v>8077</v>
      </c>
      <c r="F1059" s="9" t="s">
        <v>8078</v>
      </c>
      <c r="G1059" s="11"/>
      <c r="H1059" s="9" t="s">
        <v>8079</v>
      </c>
      <c r="I1059" s="9" t="s">
        <v>27</v>
      </c>
      <c r="J1059" s="9" t="s">
        <v>8080</v>
      </c>
      <c r="K1059" s="12" t="s">
        <v>8081</v>
      </c>
      <c r="L1059" s="9" t="s">
        <v>8082</v>
      </c>
      <c r="M1059" s="9">
        <v>80.26734895</v>
      </c>
      <c r="N1059" s="10">
        <v>61.35816195</v>
      </c>
      <c r="O1059" s="10" t="s">
        <v>8083</v>
      </c>
      <c r="P1059" s="9">
        <v>9082026.0</v>
      </c>
      <c r="Q1059" s="7" t="str">
        <f>IF(OR(ISBLANK(M1059), ISBLANK(N1059)), "", IF(N1059 &lt; Sheet3!$B$6, "Insufficient Reviews", IF(M1059 &gt;= Sheet3!$B$2, "Highly Reliable", IF(M1059 &gt;= Sheet3!$B$3, "Reliable", IF(M1059 &gt;= Sheet3!$B$4, "Mixed Reviews", "Low Reliability")))))</f>
        <v>Reliable</v>
      </c>
    </row>
    <row r="1060">
      <c r="A1060" s="3">
        <f t="shared" si="1"/>
        <v>1059</v>
      </c>
      <c r="B1060" s="9" t="s">
        <v>8084</v>
      </c>
      <c r="C1060" s="10">
        <v>39.3728909</v>
      </c>
      <c r="D1060" s="10">
        <v>-76.8098804</v>
      </c>
      <c r="E1060" s="9" t="s">
        <v>8085</v>
      </c>
      <c r="F1060" s="9" t="s">
        <v>8086</v>
      </c>
      <c r="G1060" s="9" t="s">
        <v>8087</v>
      </c>
      <c r="H1060" s="9" t="s">
        <v>8088</v>
      </c>
      <c r="I1060" s="9" t="s">
        <v>27</v>
      </c>
      <c r="J1060" s="9" t="s">
        <v>8089</v>
      </c>
      <c r="K1060" s="12" t="s">
        <v>8090</v>
      </c>
      <c r="L1060" s="9" t="s">
        <v>8091</v>
      </c>
      <c r="M1060" s="9">
        <v>82.6600537</v>
      </c>
      <c r="N1060" s="10">
        <v>72.5251087</v>
      </c>
      <c r="O1060" s="10" t="s">
        <v>7060</v>
      </c>
      <c r="P1060" s="9">
        <v>9082026.0</v>
      </c>
      <c r="Q1060" s="7" t="str">
        <f>IF(OR(ISBLANK(M1060), ISBLANK(N1060)), "", IF(N1060 &lt; Sheet3!$B$6, "Insufficient Reviews", IF(M1060 &gt;= Sheet3!$B$2, "Highly Reliable", IF(M1060 &gt;= Sheet3!$B$3, "Reliable", IF(M1060 &gt;= Sheet3!$B$4, "Mixed Reviews", "Low Reliability")))))</f>
        <v>Highly Reliable</v>
      </c>
    </row>
    <row r="1061">
      <c r="A1061" s="3">
        <f t="shared" si="1"/>
        <v>1060</v>
      </c>
      <c r="B1061" s="9" t="s">
        <v>8092</v>
      </c>
      <c r="C1061" s="10">
        <v>39.3659655</v>
      </c>
      <c r="D1061" s="10">
        <v>-76.7778045</v>
      </c>
      <c r="E1061" s="9" t="s">
        <v>8093</v>
      </c>
      <c r="F1061" s="9" t="s">
        <v>8094</v>
      </c>
      <c r="G1061" s="9" t="s">
        <v>6980</v>
      </c>
      <c r="H1061" s="9"/>
      <c r="I1061" s="9" t="s">
        <v>71</v>
      </c>
      <c r="J1061" s="9" t="s">
        <v>8095</v>
      </c>
      <c r="K1061" s="12" t="s">
        <v>8096</v>
      </c>
      <c r="L1061" s="9" t="s">
        <v>8097</v>
      </c>
      <c r="M1061" s="9">
        <v>69.80707046</v>
      </c>
      <c r="N1061" s="10">
        <v>80.42014762</v>
      </c>
      <c r="O1061" s="10" t="s">
        <v>8098</v>
      </c>
      <c r="P1061" s="9">
        <v>9082026.0</v>
      </c>
      <c r="Q1061" s="7" t="str">
        <f>IF(OR(ISBLANK(M1061), ISBLANK(N1061)), "", IF(N1061 &lt; Sheet3!$B$6, "Insufficient Reviews", IF(M1061 &gt;= Sheet3!$B$2, "Highly Reliable", IF(M1061 &gt;= Sheet3!$B$3, "Reliable", IF(M1061 &gt;= Sheet3!$B$4, "Mixed Reviews", "Low Reliability")))))</f>
        <v>Mixed Reviews</v>
      </c>
    </row>
    <row r="1062">
      <c r="A1062" s="3">
        <f t="shared" si="1"/>
        <v>1061</v>
      </c>
      <c r="B1062" s="9" t="s">
        <v>8099</v>
      </c>
      <c r="C1062" s="10">
        <v>39.5031381</v>
      </c>
      <c r="D1062" s="10">
        <v>-76.6856625</v>
      </c>
      <c r="E1062" s="9" t="s">
        <v>8100</v>
      </c>
      <c r="F1062" s="9" t="s">
        <v>8101</v>
      </c>
      <c r="G1062" s="9" t="s">
        <v>4252</v>
      </c>
      <c r="H1062" s="9" t="s">
        <v>6339</v>
      </c>
      <c r="I1062" s="9" t="s">
        <v>35</v>
      </c>
      <c r="J1062" s="9" t="s">
        <v>8102</v>
      </c>
      <c r="K1062" s="12" t="s">
        <v>8103</v>
      </c>
      <c r="L1062" s="9" t="s">
        <v>8104</v>
      </c>
      <c r="M1062" s="9">
        <v>61.5</v>
      </c>
      <c r="N1062" s="10">
        <v>40.72499203</v>
      </c>
      <c r="O1062" s="10" t="s">
        <v>7609</v>
      </c>
      <c r="P1062" s="9">
        <v>9082026.0</v>
      </c>
      <c r="Q1062" s="7" t="str">
        <f>IF(OR(ISBLANK(M1062), ISBLANK(N1062)), "", IF(N1062 &lt; Sheet3!$B$6, "Insufficient Reviews", IF(M1062 &gt;= Sheet3!$B$2, "Highly Reliable", IF(M1062 &gt;= Sheet3!$B$3, "Reliable", IF(M1062 &gt;= Sheet3!$B$4, "Mixed Reviews", "Low Reliability")))))</f>
        <v>Mixed Reviews</v>
      </c>
    </row>
    <row r="1063">
      <c r="A1063" s="3">
        <f t="shared" si="1"/>
        <v>1062</v>
      </c>
      <c r="B1063" s="9" t="s">
        <v>8105</v>
      </c>
      <c r="C1063" s="10">
        <v>39.3581161</v>
      </c>
      <c r="D1063" s="10">
        <v>-76.7681732</v>
      </c>
      <c r="E1063" s="9" t="s">
        <v>8106</v>
      </c>
      <c r="F1063" s="9" t="s">
        <v>8107</v>
      </c>
      <c r="G1063" s="11"/>
      <c r="H1063" s="11"/>
      <c r="I1063" s="9" t="s">
        <v>27</v>
      </c>
      <c r="J1063" s="9" t="s">
        <v>8108</v>
      </c>
      <c r="K1063" s="12" t="s">
        <v>8109</v>
      </c>
      <c r="L1063" s="9" t="s">
        <v>8110</v>
      </c>
      <c r="M1063" s="9">
        <v>81.49358837</v>
      </c>
      <c r="N1063" s="10">
        <v>75.04169756</v>
      </c>
      <c r="O1063" s="10" t="s">
        <v>8111</v>
      </c>
      <c r="P1063" s="9">
        <v>9082026.0</v>
      </c>
      <c r="Q1063" s="7" t="str">
        <f>IF(OR(ISBLANK(M1063), ISBLANK(N1063)), "", IF(N1063 &lt; Sheet3!$B$6, "Insufficient Reviews", IF(M1063 &gt;= Sheet3!$B$2, "Highly Reliable", IF(M1063 &gt;= Sheet3!$B$3, "Reliable", IF(M1063 &gt;= Sheet3!$B$4, "Mixed Reviews", "Low Reliability")))))</f>
        <v>Reliable</v>
      </c>
    </row>
    <row r="1064">
      <c r="A1064" s="3">
        <f t="shared" si="1"/>
        <v>1063</v>
      </c>
      <c r="B1064" s="9" t="s">
        <v>8112</v>
      </c>
      <c r="C1064" s="10">
        <v>39.3417288</v>
      </c>
      <c r="D1064" s="10">
        <v>-76.7281414</v>
      </c>
      <c r="E1064" s="9" t="s">
        <v>8113</v>
      </c>
      <c r="F1064" s="9" t="s">
        <v>8114</v>
      </c>
      <c r="G1064" s="9"/>
      <c r="H1064" s="9" t="s">
        <v>8115</v>
      </c>
      <c r="I1064" s="9" t="s">
        <v>27</v>
      </c>
      <c r="J1064" s="9" t="s">
        <v>8116</v>
      </c>
      <c r="K1064" s="12" t="s">
        <v>8117</v>
      </c>
      <c r="L1064" s="9" t="s">
        <v>8118</v>
      </c>
      <c r="M1064" s="9">
        <v>76.65160761</v>
      </c>
      <c r="N1064" s="10">
        <v>71.09693725</v>
      </c>
      <c r="O1064" s="10" t="s">
        <v>8119</v>
      </c>
      <c r="P1064" s="9">
        <v>9082026.0</v>
      </c>
      <c r="Q1064" s="7" t="str">
        <f>IF(OR(ISBLANK(M1064), ISBLANK(N1064)), "", IF(N1064 &lt; Sheet3!$B$6, "Insufficient Reviews", IF(M1064 &gt;= Sheet3!$B$2, "Highly Reliable", IF(M1064 &gt;= Sheet3!$B$3, "Reliable", IF(M1064 &gt;= Sheet3!$B$4, "Mixed Reviews", "Low Reliability")))))</f>
        <v>Reliable</v>
      </c>
    </row>
    <row r="1065">
      <c r="A1065" s="3">
        <f t="shared" si="1"/>
        <v>1064</v>
      </c>
      <c r="B1065" s="9" t="s">
        <v>8120</v>
      </c>
      <c r="C1065" s="10">
        <v>39.4454562</v>
      </c>
      <c r="D1065" s="10">
        <v>-76.6209779</v>
      </c>
      <c r="E1065" s="9" t="s">
        <v>8121</v>
      </c>
      <c r="F1065" s="9" t="s">
        <v>8122</v>
      </c>
      <c r="G1065" s="9"/>
      <c r="H1065" s="9" t="s">
        <v>8123</v>
      </c>
      <c r="I1065" s="9" t="s">
        <v>71</v>
      </c>
      <c r="J1065" s="9" t="s">
        <v>8124</v>
      </c>
      <c r="K1065" s="12" t="s">
        <v>8125</v>
      </c>
      <c r="L1065" s="9" t="s">
        <v>8126</v>
      </c>
      <c r="M1065" s="9">
        <v>73.71659556</v>
      </c>
      <c r="N1065" s="10">
        <v>82.4942858</v>
      </c>
      <c r="O1065" s="10" t="s">
        <v>8127</v>
      </c>
      <c r="P1065" s="9">
        <v>9082026.0</v>
      </c>
      <c r="Q1065" s="7" t="str">
        <f>IF(OR(ISBLANK(M1065), ISBLANK(N1065)), "", IF(N1065 &lt; Sheet3!$B$6, "Insufficient Reviews", IF(M1065 &gt;= Sheet3!$B$2, "Highly Reliable", IF(M1065 &gt;= Sheet3!$B$3, "Reliable", IF(M1065 &gt;= Sheet3!$B$4, "Mixed Reviews", "Low Reliability")))))</f>
        <v>Reliable</v>
      </c>
    </row>
    <row r="1066">
      <c r="A1066" s="3">
        <f t="shared" si="1"/>
        <v>1065</v>
      </c>
      <c r="B1066" s="9" t="s">
        <v>8128</v>
      </c>
      <c r="C1066" s="10">
        <v>39.6612944</v>
      </c>
      <c r="D1066" s="10">
        <v>-76.8831176</v>
      </c>
      <c r="E1066" s="9" t="s">
        <v>8129</v>
      </c>
      <c r="F1066" s="9" t="s">
        <v>8130</v>
      </c>
      <c r="G1066" s="9"/>
      <c r="H1066" s="9" t="s">
        <v>8131</v>
      </c>
      <c r="I1066" s="9" t="s">
        <v>71</v>
      </c>
      <c r="J1066" s="9" t="s">
        <v>8132</v>
      </c>
      <c r="K1066" s="12" t="s">
        <v>8133</v>
      </c>
      <c r="L1066" s="9" t="s">
        <v>8134</v>
      </c>
      <c r="M1066" s="9">
        <v>85.97050824</v>
      </c>
      <c r="N1066" s="10">
        <v>86.37979386</v>
      </c>
      <c r="O1066" s="10" t="s">
        <v>8135</v>
      </c>
      <c r="P1066" s="9">
        <v>9082026.0</v>
      </c>
      <c r="Q1066" s="7" t="str">
        <f>IF(OR(ISBLANK(M1066), ISBLANK(N1066)), "", IF(N1066 &lt; Sheet3!$B$6, "Insufficient Reviews", IF(M1066 &gt;= Sheet3!$B$2, "Highly Reliable", IF(M1066 &gt;= Sheet3!$B$3, "Reliable", IF(M1066 &gt;= Sheet3!$B$4, "Mixed Reviews", "Low Reliability")))))</f>
        <v>Highly Reliable</v>
      </c>
    </row>
    <row r="1067">
      <c r="A1067" s="3">
        <f t="shared" si="1"/>
        <v>1066</v>
      </c>
      <c r="B1067" s="9" t="s">
        <v>751</v>
      </c>
      <c r="C1067" s="10">
        <v>39.3336961</v>
      </c>
      <c r="D1067" s="10">
        <v>-76.7023091</v>
      </c>
      <c r="E1067" s="9" t="s">
        <v>752</v>
      </c>
      <c r="F1067" s="9" t="s">
        <v>8136</v>
      </c>
      <c r="G1067" s="9"/>
      <c r="H1067" s="9" t="s">
        <v>8137</v>
      </c>
      <c r="I1067" s="9" t="s">
        <v>71</v>
      </c>
      <c r="J1067" s="9" t="s">
        <v>8138</v>
      </c>
      <c r="K1067" s="12" t="s">
        <v>8139</v>
      </c>
      <c r="L1067" s="9" t="s">
        <v>8140</v>
      </c>
      <c r="M1067" s="9">
        <v>81.00195773</v>
      </c>
      <c r="N1067" s="10">
        <v>69.45263686</v>
      </c>
      <c r="O1067" s="10" t="s">
        <v>8141</v>
      </c>
      <c r="P1067" s="9">
        <v>9082026.0</v>
      </c>
      <c r="Q1067" s="7" t="str">
        <f>IF(OR(ISBLANK(M1067), ISBLANK(N1067)), "", IF(N1067 &lt; Sheet3!$B$6, "Insufficient Reviews", IF(M1067 &gt;= Sheet3!$B$2, "Highly Reliable", IF(M1067 &gt;= Sheet3!$B$3, "Reliable", IF(M1067 &gt;= Sheet3!$B$4, "Mixed Reviews", "Low Reliability")))))</f>
        <v>Reliable</v>
      </c>
    </row>
    <row r="1068">
      <c r="A1068" s="3">
        <f t="shared" si="1"/>
        <v>1067</v>
      </c>
      <c r="B1068" s="9" t="s">
        <v>8142</v>
      </c>
      <c r="C1068" s="10">
        <v>39.3497391</v>
      </c>
      <c r="D1068" s="10">
        <v>-76.6735684</v>
      </c>
      <c r="E1068" s="9" t="s">
        <v>8143</v>
      </c>
      <c r="F1068" s="9" t="s">
        <v>8144</v>
      </c>
      <c r="G1068" s="9"/>
      <c r="H1068" s="9" t="s">
        <v>8145</v>
      </c>
      <c r="I1068" s="9" t="s">
        <v>27</v>
      </c>
      <c r="J1068" s="9" t="s">
        <v>8146</v>
      </c>
      <c r="K1068" s="12" t="s">
        <v>8147</v>
      </c>
      <c r="L1068" s="9" t="s">
        <v>8148</v>
      </c>
      <c r="M1068" s="9">
        <v>67.5</v>
      </c>
      <c r="N1068" s="10">
        <v>71.5</v>
      </c>
      <c r="O1068" s="10" t="s">
        <v>8149</v>
      </c>
      <c r="P1068" s="9">
        <v>9082026.0</v>
      </c>
      <c r="Q1068" s="7" t="str">
        <f>IF(OR(ISBLANK(M1068), ISBLANK(N1068)), "", IF(N1068 &lt; Sheet3!$B$6, "Insufficient Reviews", IF(M1068 &gt;= Sheet3!$B$2, "Highly Reliable", IF(M1068 &gt;= Sheet3!$B$3, "Reliable", IF(M1068 &gt;= Sheet3!$B$4, "Mixed Reviews", "Low Reliability")))))</f>
        <v>Mixed Reviews</v>
      </c>
    </row>
    <row r="1069">
      <c r="A1069" s="3">
        <f t="shared" si="1"/>
        <v>1068</v>
      </c>
      <c r="B1069" s="9" t="s">
        <v>8150</v>
      </c>
      <c r="C1069" s="10">
        <v>39.3098444</v>
      </c>
      <c r="D1069" s="10">
        <v>-76.7355819</v>
      </c>
      <c r="E1069" s="9" t="s">
        <v>8151</v>
      </c>
      <c r="F1069" s="9" t="s">
        <v>8152</v>
      </c>
      <c r="G1069" s="9"/>
      <c r="H1069" s="9" t="s">
        <v>8153</v>
      </c>
      <c r="I1069" s="9" t="s">
        <v>27</v>
      </c>
      <c r="J1069" s="9" t="s">
        <v>8154</v>
      </c>
      <c r="K1069" s="12" t="s">
        <v>8155</v>
      </c>
      <c r="L1069" s="9" t="s">
        <v>8156</v>
      </c>
      <c r="M1069" s="9">
        <v>80.61005594</v>
      </c>
      <c r="N1069" s="10">
        <v>73.73518576</v>
      </c>
      <c r="O1069" s="10" t="s">
        <v>8157</v>
      </c>
      <c r="P1069" s="9">
        <v>9082026.0</v>
      </c>
      <c r="Q1069" s="7" t="str">
        <f>IF(OR(ISBLANK(M1069), ISBLANK(N1069)), "", IF(N1069 &lt; Sheet3!$B$6, "Insufficient Reviews", IF(M1069 &gt;= Sheet3!$B$2, "Highly Reliable", IF(M1069 &gt;= Sheet3!$B$3, "Reliable", IF(M1069 &gt;= Sheet3!$B$4, "Mixed Reviews", "Low Reliability")))))</f>
        <v>Reliable</v>
      </c>
    </row>
    <row r="1070">
      <c r="A1070" s="3">
        <f t="shared" si="1"/>
        <v>1069</v>
      </c>
      <c r="B1070" s="9" t="s">
        <v>995</v>
      </c>
      <c r="C1070" s="10">
        <v>39.4496455</v>
      </c>
      <c r="D1070" s="10">
        <v>-76.6082529</v>
      </c>
      <c r="E1070" s="9" t="s">
        <v>996</v>
      </c>
      <c r="F1070" s="9" t="s">
        <v>997</v>
      </c>
      <c r="G1070" s="9" t="s">
        <v>8158</v>
      </c>
      <c r="H1070" s="9" t="s">
        <v>999</v>
      </c>
      <c r="I1070" s="9" t="s">
        <v>71</v>
      </c>
      <c r="J1070" s="9" t="s">
        <v>8159</v>
      </c>
      <c r="K1070" s="12" t="s">
        <v>1001</v>
      </c>
      <c r="L1070" s="9" t="s">
        <v>8160</v>
      </c>
      <c r="M1070" s="9">
        <v>79.60907167</v>
      </c>
      <c r="N1070" s="10">
        <v>69.00985004</v>
      </c>
      <c r="O1070" s="10" t="s">
        <v>8161</v>
      </c>
      <c r="P1070" s="9">
        <v>9082026.0</v>
      </c>
      <c r="Q1070" s="7" t="str">
        <f>IF(OR(ISBLANK(M1070), ISBLANK(N1070)), "", IF(N1070 &lt; Sheet3!$B$6, "Insufficient Reviews", IF(M1070 &gt;= Sheet3!$B$2, "Highly Reliable", IF(M1070 &gt;= Sheet3!$B$3, "Reliable", IF(M1070 &gt;= Sheet3!$B$4, "Mixed Reviews", "Low Reliability")))))</f>
        <v>Reliable</v>
      </c>
    </row>
    <row r="1071">
      <c r="A1071" s="3">
        <f t="shared" si="1"/>
        <v>1070</v>
      </c>
      <c r="B1071" s="9" t="s">
        <v>8162</v>
      </c>
      <c r="C1071" s="10">
        <v>39.4141059</v>
      </c>
      <c r="D1071" s="10">
        <v>-76.5979236</v>
      </c>
      <c r="E1071" s="9" t="s">
        <v>8163</v>
      </c>
      <c r="F1071" s="9" t="s">
        <v>8164</v>
      </c>
      <c r="G1071" s="9" t="s">
        <v>5306</v>
      </c>
      <c r="H1071" s="9" t="s">
        <v>8165</v>
      </c>
      <c r="I1071" s="9" t="s">
        <v>27</v>
      </c>
      <c r="J1071" s="9" t="s">
        <v>8166</v>
      </c>
      <c r="K1071" s="12" t="s">
        <v>8167</v>
      </c>
      <c r="L1071" s="9" t="s">
        <v>8168</v>
      </c>
      <c r="M1071" s="9">
        <v>73.45647869</v>
      </c>
      <c r="N1071" s="10">
        <v>72.71338485</v>
      </c>
      <c r="O1071" s="10" t="s">
        <v>8169</v>
      </c>
      <c r="P1071" s="9">
        <v>9082026.0</v>
      </c>
      <c r="Q1071" s="7" t="str">
        <f>IF(OR(ISBLANK(M1071), ISBLANK(N1071)), "", IF(N1071 &lt; Sheet3!$B$6, "Insufficient Reviews", IF(M1071 &gt;= Sheet3!$B$2, "Highly Reliable", IF(M1071 &gt;= Sheet3!$B$3, "Reliable", IF(M1071 &gt;= Sheet3!$B$4, "Mixed Reviews", "Low Reliability")))))</f>
        <v>Reliable</v>
      </c>
    </row>
    <row r="1072">
      <c r="A1072" s="3">
        <f t="shared" si="1"/>
        <v>1071</v>
      </c>
      <c r="B1072" s="9" t="s">
        <v>8170</v>
      </c>
      <c r="C1072" s="10">
        <v>39.3979287</v>
      </c>
      <c r="D1072" s="10">
        <v>-76.5948298</v>
      </c>
      <c r="E1072" s="9" t="s">
        <v>8171</v>
      </c>
      <c r="F1072" s="9" t="s">
        <v>8172</v>
      </c>
      <c r="G1072" s="9"/>
      <c r="H1072" s="9" t="s">
        <v>8173</v>
      </c>
      <c r="I1072" s="9" t="s">
        <v>35</v>
      </c>
      <c r="J1072" s="9" t="s">
        <v>8174</v>
      </c>
      <c r="K1072" s="12" t="s">
        <v>8175</v>
      </c>
      <c r="L1072" s="9" t="s">
        <v>8176</v>
      </c>
      <c r="M1072" s="9">
        <v>83.42595153</v>
      </c>
      <c r="N1072" s="10">
        <v>73.41288211</v>
      </c>
      <c r="O1072" s="10" t="s">
        <v>8177</v>
      </c>
      <c r="P1072" s="9">
        <v>9082026.0</v>
      </c>
      <c r="Q1072" s="7" t="str">
        <f>IF(OR(ISBLANK(M1072), ISBLANK(N1072)), "", IF(N1072 &lt; Sheet3!$B$6, "Insufficient Reviews", IF(M1072 &gt;= Sheet3!$B$2, "Highly Reliable", IF(M1072 &gt;= Sheet3!$B$3, "Reliable", IF(M1072 &gt;= Sheet3!$B$4, "Mixed Reviews", "Low Reliability")))))</f>
        <v>Highly Reliable</v>
      </c>
    </row>
    <row r="1073">
      <c r="A1073" s="3">
        <f t="shared" si="1"/>
        <v>1072</v>
      </c>
      <c r="B1073" s="9" t="s">
        <v>113</v>
      </c>
      <c r="C1073" s="10">
        <v>39.3248526</v>
      </c>
      <c r="D1073" s="10">
        <v>-76.6088767</v>
      </c>
      <c r="E1073" s="9" t="s">
        <v>114</v>
      </c>
      <c r="F1073" s="9" t="s">
        <v>115</v>
      </c>
      <c r="G1073" s="9"/>
      <c r="H1073" s="9" t="s">
        <v>117</v>
      </c>
      <c r="I1073" s="9" t="s">
        <v>71</v>
      </c>
      <c r="J1073" s="9" t="s">
        <v>8178</v>
      </c>
      <c r="K1073" s="12" t="s">
        <v>119</v>
      </c>
      <c r="L1073" s="9" t="s">
        <v>8179</v>
      </c>
      <c r="M1073" s="9">
        <v>84.68576978</v>
      </c>
      <c r="N1073" s="10">
        <v>51.31994215</v>
      </c>
      <c r="O1073" s="10" t="s">
        <v>8180</v>
      </c>
      <c r="P1073" s="9">
        <v>9082026.0</v>
      </c>
      <c r="Q1073" s="7" t="str">
        <f>IF(OR(ISBLANK(M1073), ISBLANK(N1073)), "", IF(N1073 &lt; Sheet3!$B$6, "Insufficient Reviews", IF(M1073 &gt;= Sheet3!$B$2, "Highly Reliable", IF(M1073 &gt;= Sheet3!$B$3, "Reliable", IF(M1073 &gt;= Sheet3!$B$4, "Mixed Reviews", "Low Reliability")))))</f>
        <v>Highly Reliable</v>
      </c>
    </row>
    <row r="1074">
      <c r="A1074" s="3">
        <f t="shared" si="1"/>
        <v>1073</v>
      </c>
      <c r="B1074" s="9" t="s">
        <v>8181</v>
      </c>
      <c r="C1074" s="10">
        <v>39.3778071</v>
      </c>
      <c r="D1074" s="10">
        <v>-76.5803589</v>
      </c>
      <c r="E1074" s="9" t="s">
        <v>8182</v>
      </c>
      <c r="F1074" s="9" t="s">
        <v>8183</v>
      </c>
      <c r="G1074" s="9" t="s">
        <v>8184</v>
      </c>
      <c r="H1074" s="9" t="s">
        <v>8185</v>
      </c>
      <c r="I1074" s="9" t="s">
        <v>71</v>
      </c>
      <c r="J1074" s="9" t="s">
        <v>8186</v>
      </c>
      <c r="K1074" s="12" t="s">
        <v>8187</v>
      </c>
      <c r="L1074" s="9" t="s">
        <v>8188</v>
      </c>
      <c r="M1074" s="9">
        <v>80.45548974</v>
      </c>
      <c r="N1074" s="10">
        <v>72.3332569</v>
      </c>
      <c r="O1074" s="10" t="s">
        <v>8189</v>
      </c>
      <c r="P1074" s="9">
        <v>9082026.0</v>
      </c>
      <c r="Q1074" s="7" t="str">
        <f>IF(OR(ISBLANK(M1074), ISBLANK(N1074)), "", IF(N1074 &lt; Sheet3!$B$6, "Insufficient Reviews", IF(M1074 &gt;= Sheet3!$B$2, "Highly Reliable", IF(M1074 &gt;= Sheet3!$B$3, "Reliable", IF(M1074 &gt;= Sheet3!$B$4, "Mixed Reviews", "Low Reliability")))))</f>
        <v>Reliable</v>
      </c>
    </row>
    <row r="1075">
      <c r="A1075" s="3">
        <f t="shared" si="1"/>
        <v>1074</v>
      </c>
      <c r="B1075" s="9" t="s">
        <v>8190</v>
      </c>
      <c r="C1075" s="10">
        <v>39.32258</v>
      </c>
      <c r="D1075" s="10">
        <v>-76.6168582</v>
      </c>
      <c r="E1075" s="9" t="s">
        <v>8191</v>
      </c>
      <c r="F1075" s="9" t="s">
        <v>8192</v>
      </c>
      <c r="G1075" s="9"/>
      <c r="H1075" s="9" t="s">
        <v>312</v>
      </c>
      <c r="I1075" s="9" t="s">
        <v>71</v>
      </c>
      <c r="J1075" s="9" t="s">
        <v>8193</v>
      </c>
      <c r="K1075" s="12" t="s">
        <v>8194</v>
      </c>
      <c r="L1075" s="9" t="s">
        <v>8195</v>
      </c>
      <c r="M1075" s="9">
        <v>81.37979991</v>
      </c>
      <c r="N1075" s="10">
        <v>74.87927</v>
      </c>
      <c r="O1075" s="10" t="s">
        <v>8196</v>
      </c>
      <c r="P1075" s="9">
        <v>9082026.0</v>
      </c>
      <c r="Q1075" s="7" t="str">
        <f>IF(OR(ISBLANK(M1075), ISBLANK(N1075)), "", IF(N1075 &lt; Sheet3!$B$6, "Insufficient Reviews", IF(M1075 &gt;= Sheet3!$B$2, "Highly Reliable", IF(M1075 &gt;= Sheet3!$B$3, "Reliable", IF(M1075 &gt;= Sheet3!$B$4, "Mixed Reviews", "Low Reliability")))))</f>
        <v>Reliable</v>
      </c>
    </row>
    <row r="1076">
      <c r="A1076" s="3">
        <f t="shared" si="1"/>
        <v>1075</v>
      </c>
      <c r="B1076" s="9" t="s">
        <v>8197</v>
      </c>
      <c r="C1076" s="10">
        <v>39.2528097</v>
      </c>
      <c r="D1076" s="10">
        <v>-76.7011121</v>
      </c>
      <c r="E1076" s="9" t="s">
        <v>8198</v>
      </c>
      <c r="F1076" s="9" t="s">
        <v>8199</v>
      </c>
      <c r="G1076" s="9" t="s">
        <v>8200</v>
      </c>
      <c r="H1076" s="9" t="s">
        <v>8201</v>
      </c>
      <c r="I1076" s="9" t="s">
        <v>71</v>
      </c>
      <c r="J1076" s="9" t="s">
        <v>8202</v>
      </c>
      <c r="K1076" s="12" t="s">
        <v>8203</v>
      </c>
      <c r="L1076" s="9" t="s">
        <v>8204</v>
      </c>
      <c r="M1076" s="10">
        <v>84.18892918</v>
      </c>
      <c r="N1076" s="10">
        <v>94.30242721</v>
      </c>
      <c r="O1076" s="9" t="s">
        <v>8205</v>
      </c>
      <c r="P1076" s="9">
        <v>9082026.0</v>
      </c>
      <c r="Q1076" s="7" t="str">
        <f>IF(OR(ISBLANK(M1076), ISBLANK(N1076)), "", IF(N1076 &lt; Sheet3!$B$6, "Insufficient Reviews", IF(M1076 &gt;= Sheet3!$B$2, "Highly Reliable", IF(M1076 &gt;= Sheet3!$B$3, "Reliable", IF(M1076 &gt;= Sheet3!$B$4, "Mixed Reviews", "Low Reliability")))))</f>
        <v>Highly Reliable</v>
      </c>
    </row>
    <row r="1077">
      <c r="A1077" s="3">
        <f t="shared" si="1"/>
        <v>1076</v>
      </c>
      <c r="B1077" s="9" t="s">
        <v>8206</v>
      </c>
      <c r="C1077" s="10">
        <v>39.3061393</v>
      </c>
      <c r="D1077" s="10">
        <v>-76.6089169</v>
      </c>
      <c r="E1077" s="9" t="s">
        <v>8207</v>
      </c>
      <c r="F1077" s="9" t="s">
        <v>8208</v>
      </c>
      <c r="G1077" s="11"/>
      <c r="H1077" s="11"/>
      <c r="I1077" s="9" t="s">
        <v>71</v>
      </c>
      <c r="J1077" s="9" t="s">
        <v>8209</v>
      </c>
      <c r="K1077" s="12" t="s">
        <v>8210</v>
      </c>
      <c r="L1077" s="9" t="s">
        <v>8211</v>
      </c>
      <c r="M1077" s="9">
        <v>78.20009156</v>
      </c>
      <c r="N1077" s="10">
        <v>44.25615667</v>
      </c>
      <c r="O1077" s="10" t="s">
        <v>8212</v>
      </c>
      <c r="P1077" s="9">
        <v>9082026.0</v>
      </c>
      <c r="Q1077" s="7" t="str">
        <f>IF(OR(ISBLANK(M1077), ISBLANK(N1077)), "", IF(N1077 &lt; Sheet3!$B$6, "Insufficient Reviews", IF(M1077 &gt;= Sheet3!$B$2, "Highly Reliable", IF(M1077 &gt;= Sheet3!$B$3, "Reliable", IF(M1077 &gt;= Sheet3!$B$4, "Mixed Reviews", "Low Reliability")))))</f>
        <v>Reliable</v>
      </c>
    </row>
    <row r="1078">
      <c r="A1078" s="3">
        <f t="shared" si="1"/>
        <v>1077</v>
      </c>
      <c r="B1078" s="9" t="s">
        <v>8213</v>
      </c>
      <c r="C1078" s="10">
        <v>39.355078</v>
      </c>
      <c r="D1078" s="10">
        <v>-76.5584412</v>
      </c>
      <c r="E1078" s="9" t="s">
        <v>8214</v>
      </c>
      <c r="F1078" s="9" t="s">
        <v>8215</v>
      </c>
      <c r="G1078" s="9"/>
      <c r="H1078" s="9" t="s">
        <v>8216</v>
      </c>
      <c r="I1078" s="9" t="s">
        <v>27</v>
      </c>
      <c r="J1078" s="9" t="s">
        <v>8217</v>
      </c>
      <c r="K1078" s="12" t="s">
        <v>8218</v>
      </c>
      <c r="L1078" s="9" t="s">
        <v>8219</v>
      </c>
      <c r="M1078" s="9">
        <v>69.91480584</v>
      </c>
      <c r="N1078" s="10">
        <v>66.74796614</v>
      </c>
      <c r="O1078" s="10" t="s">
        <v>8220</v>
      </c>
      <c r="P1078" s="9">
        <v>9082026.0</v>
      </c>
      <c r="Q1078" s="7" t="str">
        <f>IF(OR(ISBLANK(M1078), ISBLANK(N1078)), "", IF(N1078 &lt; Sheet3!$B$6, "Insufficient Reviews", IF(M1078 &gt;= Sheet3!$B$2, "Highly Reliable", IF(M1078 &gt;= Sheet3!$B$3, "Reliable", IF(M1078 &gt;= Sheet3!$B$4, "Mixed Reviews", "Low Reliability")))))</f>
        <v>Mixed Reviews</v>
      </c>
    </row>
    <row r="1079">
      <c r="A1079" s="3">
        <f t="shared" si="1"/>
        <v>1078</v>
      </c>
      <c r="B1079" s="9" t="s">
        <v>8221</v>
      </c>
      <c r="C1079" s="10">
        <v>39.312395</v>
      </c>
      <c r="D1079" s="10">
        <v>-76.5835456</v>
      </c>
      <c r="E1079" s="9" t="s">
        <v>8222</v>
      </c>
      <c r="F1079" s="9" t="s">
        <v>8223</v>
      </c>
      <c r="G1079" s="9"/>
      <c r="H1079" s="9" t="s">
        <v>8224</v>
      </c>
      <c r="I1079" s="9" t="s">
        <v>71</v>
      </c>
      <c r="J1079" s="9" t="s">
        <v>8225</v>
      </c>
      <c r="K1079" s="12" t="s">
        <v>8226</v>
      </c>
      <c r="L1079" s="9" t="s">
        <v>8227</v>
      </c>
      <c r="M1079" s="9">
        <v>81.88719166</v>
      </c>
      <c r="N1079" s="10">
        <v>63.46654453</v>
      </c>
      <c r="O1079" s="10" t="s">
        <v>8228</v>
      </c>
      <c r="P1079" s="9">
        <v>9082026.0</v>
      </c>
      <c r="Q1079" s="7" t="str">
        <f>IF(OR(ISBLANK(M1079), ISBLANK(N1079)), "", IF(N1079 &lt; Sheet3!$B$6, "Insufficient Reviews", IF(M1079 &gt;= Sheet3!$B$2, "Highly Reliable", IF(M1079 &gt;= Sheet3!$B$3, "Reliable", IF(M1079 &gt;= Sheet3!$B$4, "Mixed Reviews", "Low Reliability")))))</f>
        <v>Reliable</v>
      </c>
    </row>
    <row r="1080">
      <c r="A1080" s="3">
        <f t="shared" si="1"/>
        <v>1079</v>
      </c>
      <c r="B1080" s="9" t="s">
        <v>367</v>
      </c>
      <c r="C1080" s="10">
        <v>39.2526919</v>
      </c>
      <c r="D1080" s="10">
        <v>-76.650475</v>
      </c>
      <c r="E1080" s="9" t="s">
        <v>368</v>
      </c>
      <c r="F1080" s="9" t="s">
        <v>8229</v>
      </c>
      <c r="G1080" s="9" t="s">
        <v>8230</v>
      </c>
      <c r="H1080" s="9" t="s">
        <v>8231</v>
      </c>
      <c r="I1080" s="9" t="s">
        <v>71</v>
      </c>
      <c r="J1080" s="9" t="s">
        <v>8232</v>
      </c>
      <c r="K1080" s="9"/>
      <c r="L1080" s="9" t="s">
        <v>8233</v>
      </c>
      <c r="M1080" s="9">
        <v>69.04950552</v>
      </c>
      <c r="N1080" s="10">
        <v>47.42489611</v>
      </c>
      <c r="O1080" s="10" t="s">
        <v>8234</v>
      </c>
      <c r="P1080" s="9">
        <v>9082026.0</v>
      </c>
      <c r="Q1080" s="7" t="str">
        <f>IF(OR(ISBLANK(M1080), ISBLANK(N1080)), "", IF(N1080 &lt; Sheet3!$B$6, "Insufficient Reviews", IF(M1080 &gt;= Sheet3!$B$2, "Highly Reliable", IF(M1080 &gt;= Sheet3!$B$3, "Reliable", IF(M1080 &gt;= Sheet3!$B$4, "Mixed Reviews", "Low Reliability")))))</f>
        <v>Mixed Reviews</v>
      </c>
    </row>
    <row r="1081">
      <c r="A1081" s="3">
        <f t="shared" si="1"/>
        <v>1080</v>
      </c>
      <c r="B1081" s="9" t="s">
        <v>8235</v>
      </c>
      <c r="C1081" s="10">
        <v>39.3968995</v>
      </c>
      <c r="D1081" s="10">
        <v>-76.5130834</v>
      </c>
      <c r="E1081" s="9" t="s">
        <v>8236</v>
      </c>
      <c r="F1081" s="9" t="s">
        <v>8237</v>
      </c>
      <c r="G1081" s="9" t="s">
        <v>8238</v>
      </c>
      <c r="H1081" s="9" t="s">
        <v>8239</v>
      </c>
      <c r="I1081" s="9" t="s">
        <v>27</v>
      </c>
      <c r="J1081" s="9" t="s">
        <v>8240</v>
      </c>
      <c r="K1081" s="12" t="s">
        <v>8241</v>
      </c>
      <c r="L1081" s="9" t="s">
        <v>8242</v>
      </c>
      <c r="M1081" s="9">
        <v>72.87005962</v>
      </c>
      <c r="N1081" s="10">
        <v>54.3925287</v>
      </c>
      <c r="O1081" s="10" t="s">
        <v>8243</v>
      </c>
      <c r="P1081" s="9">
        <v>9082026.0</v>
      </c>
      <c r="Q1081" s="7" t="str">
        <f>IF(OR(ISBLANK(M1081), ISBLANK(N1081)), "", IF(N1081 &lt; Sheet3!$B$6, "Insufficient Reviews", IF(M1081 &gt;= Sheet3!$B$2, "Highly Reliable", IF(M1081 &gt;= Sheet3!$B$3, "Reliable", IF(M1081 &gt;= Sheet3!$B$4, "Mixed Reviews", "Low Reliability")))))</f>
        <v>Reliable</v>
      </c>
    </row>
    <row r="1082">
      <c r="A1082" s="3">
        <f t="shared" si="1"/>
        <v>1081</v>
      </c>
      <c r="B1082" s="9" t="s">
        <v>858</v>
      </c>
      <c r="C1082" s="10">
        <v>39.3490728</v>
      </c>
      <c r="D1082" s="10">
        <v>-76.5347667</v>
      </c>
      <c r="E1082" s="9" t="s">
        <v>859</v>
      </c>
      <c r="F1082" s="9" t="s">
        <v>860</v>
      </c>
      <c r="G1082" s="9" t="s">
        <v>8244</v>
      </c>
      <c r="H1082" s="9" t="s">
        <v>862</v>
      </c>
      <c r="I1082" s="9" t="s">
        <v>27</v>
      </c>
      <c r="J1082" s="9" t="s">
        <v>8245</v>
      </c>
      <c r="K1082" s="12" t="s">
        <v>864</v>
      </c>
      <c r="L1082" s="9" t="s">
        <v>8246</v>
      </c>
      <c r="M1082" s="9">
        <v>73.84095188</v>
      </c>
      <c r="N1082" s="10">
        <v>66.2728897</v>
      </c>
      <c r="O1082" s="10" t="s">
        <v>8247</v>
      </c>
      <c r="P1082" s="9">
        <v>9082026.0</v>
      </c>
      <c r="Q1082" s="7" t="str">
        <f>IF(OR(ISBLANK(M1082), ISBLANK(N1082)), "", IF(N1082 &lt; Sheet3!$B$6, "Insufficient Reviews", IF(M1082 &gt;= Sheet3!$B$2, "Highly Reliable", IF(M1082 &gt;= Sheet3!$B$3, "Reliable", IF(M1082 &gt;= Sheet3!$B$4, "Mixed Reviews", "Low Reliability")))))</f>
        <v>Reliable</v>
      </c>
    </row>
    <row r="1083">
      <c r="A1083" s="3">
        <f t="shared" si="1"/>
        <v>1082</v>
      </c>
      <c r="B1083" s="9" t="s">
        <v>8248</v>
      </c>
      <c r="C1083" s="10">
        <v>39.3323373</v>
      </c>
      <c r="D1083" s="10">
        <v>-76.5302207</v>
      </c>
      <c r="E1083" s="9" t="s">
        <v>8249</v>
      </c>
      <c r="F1083" s="9" t="s">
        <v>8250</v>
      </c>
      <c r="G1083" s="9"/>
      <c r="H1083" s="9" t="s">
        <v>8251</v>
      </c>
      <c r="I1083" s="9" t="s">
        <v>27</v>
      </c>
      <c r="J1083" s="9" t="s">
        <v>8252</v>
      </c>
      <c r="K1083" s="12" t="s">
        <v>8253</v>
      </c>
      <c r="L1083" s="9" t="s">
        <v>8254</v>
      </c>
      <c r="M1083" s="9">
        <v>80.73420652</v>
      </c>
      <c r="N1083" s="10">
        <v>94.00044928</v>
      </c>
      <c r="O1083" s="10" t="s">
        <v>8255</v>
      </c>
      <c r="P1083" s="9">
        <v>9082026.0</v>
      </c>
      <c r="Q1083" s="7" t="str">
        <f>IF(OR(ISBLANK(M1083), ISBLANK(N1083)), "", IF(N1083 &lt; Sheet3!$B$6, "Insufficient Reviews", IF(M1083 &gt;= Sheet3!$B$2, "Highly Reliable", IF(M1083 &gt;= Sheet3!$B$3, "Reliable", IF(M1083 &gt;= Sheet3!$B$4, "Mixed Reviews", "Low Reliability")))))</f>
        <v>Reliable</v>
      </c>
    </row>
    <row r="1084">
      <c r="A1084" s="3">
        <f t="shared" si="1"/>
        <v>1083</v>
      </c>
      <c r="B1084" s="9" t="s">
        <v>8256</v>
      </c>
      <c r="C1084" s="10">
        <v>39.2860491</v>
      </c>
      <c r="D1084" s="10">
        <v>-76.5619881</v>
      </c>
      <c r="E1084" s="9" t="s">
        <v>8257</v>
      </c>
      <c r="F1084" s="9" t="s">
        <v>8258</v>
      </c>
      <c r="G1084" s="9" t="s">
        <v>8259</v>
      </c>
      <c r="H1084" s="9" t="s">
        <v>26</v>
      </c>
      <c r="I1084" s="9" t="s">
        <v>71</v>
      </c>
      <c r="J1084" s="9" t="s">
        <v>8260</v>
      </c>
      <c r="K1084" s="12" t="s">
        <v>8261</v>
      </c>
      <c r="L1084" s="9" t="s">
        <v>8262</v>
      </c>
      <c r="M1084" s="9">
        <v>78.89879938</v>
      </c>
      <c r="N1084" s="10">
        <v>89.74039158</v>
      </c>
      <c r="O1084" s="10" t="s">
        <v>8263</v>
      </c>
      <c r="P1084" s="9">
        <v>9082026.0</v>
      </c>
      <c r="Q1084" s="7" t="str">
        <f>IF(OR(ISBLANK(M1084), ISBLANK(N1084)), "", IF(N1084 &lt; Sheet3!$B$6, "Insufficient Reviews", IF(M1084 &gt;= Sheet3!$B$2, "Highly Reliable", IF(M1084 &gt;= Sheet3!$B$3, "Reliable", IF(M1084 &gt;= Sheet3!$B$4, "Mixed Reviews", "Low Reliability")))))</f>
        <v>Reliable</v>
      </c>
    </row>
    <row r="1085">
      <c r="A1085" s="3">
        <f t="shared" si="1"/>
        <v>1084</v>
      </c>
      <c r="B1085" s="9" t="s">
        <v>8264</v>
      </c>
      <c r="C1085" s="10">
        <v>39.4093152</v>
      </c>
      <c r="D1085" s="10">
        <v>-76.4670016</v>
      </c>
      <c r="E1085" s="9" t="s">
        <v>8265</v>
      </c>
      <c r="F1085" s="9" t="s">
        <v>8266</v>
      </c>
      <c r="G1085" s="9" t="s">
        <v>8267</v>
      </c>
      <c r="H1085" s="9" t="s">
        <v>8268</v>
      </c>
      <c r="I1085" s="9" t="s">
        <v>71</v>
      </c>
      <c r="J1085" s="9" t="s">
        <v>8269</v>
      </c>
      <c r="K1085" s="12" t="s">
        <v>8270</v>
      </c>
      <c r="L1085" s="9" t="s">
        <v>8271</v>
      </c>
      <c r="M1085" s="9">
        <v>81.73927933</v>
      </c>
      <c r="N1085" s="10">
        <v>70.34432581</v>
      </c>
      <c r="O1085" s="10" t="s">
        <v>8272</v>
      </c>
      <c r="P1085" s="9">
        <v>9082026.0</v>
      </c>
      <c r="Q1085" s="7" t="str">
        <f>IF(OR(ISBLANK(M1085), ISBLANK(N1085)), "", IF(N1085 &lt; Sheet3!$B$6, "Insufficient Reviews", IF(M1085 &gt;= Sheet3!$B$2, "Highly Reliable", IF(M1085 &gt;= Sheet3!$B$3, "Reliable", IF(M1085 &gt;= Sheet3!$B$4, "Mixed Reviews", "Low Reliability")))))</f>
        <v>Reliable</v>
      </c>
    </row>
    <row r="1086">
      <c r="A1086" s="3">
        <f t="shared" si="1"/>
        <v>1085</v>
      </c>
      <c r="B1086" s="9" t="s">
        <v>8273</v>
      </c>
      <c r="C1086" s="10">
        <v>39.2837772</v>
      </c>
      <c r="D1086" s="10">
        <v>-76.5558324</v>
      </c>
      <c r="E1086" s="9" t="s">
        <v>8274</v>
      </c>
      <c r="F1086" s="9" t="s">
        <v>8275</v>
      </c>
      <c r="G1086" s="9" t="s">
        <v>8276</v>
      </c>
      <c r="H1086" s="9"/>
      <c r="I1086" s="9" t="s">
        <v>71</v>
      </c>
      <c r="J1086" s="9" t="s">
        <v>8277</v>
      </c>
      <c r="K1086" s="12" t="s">
        <v>8278</v>
      </c>
      <c r="L1086" s="9" t="s">
        <v>8279</v>
      </c>
      <c r="M1086" s="9">
        <v>71.91110653</v>
      </c>
      <c r="N1086" s="10">
        <v>64.11600861</v>
      </c>
      <c r="O1086" s="10" t="s">
        <v>8280</v>
      </c>
      <c r="P1086" s="9">
        <v>9082026.0</v>
      </c>
      <c r="Q1086" s="7" t="str">
        <f>IF(OR(ISBLANK(M1086), ISBLANK(N1086)), "", IF(N1086 &lt; Sheet3!$B$6, "Insufficient Reviews", IF(M1086 &gt;= Sheet3!$B$2, "Highly Reliable", IF(M1086 &gt;= Sheet3!$B$3, "Reliable", IF(M1086 &gt;= Sheet3!$B$4, "Mixed Reviews", "Low Reliability")))))</f>
        <v>Reliable</v>
      </c>
    </row>
    <row r="1087">
      <c r="A1087" s="3">
        <f t="shared" si="1"/>
        <v>1086</v>
      </c>
      <c r="B1087" s="9" t="s">
        <v>8281</v>
      </c>
      <c r="C1087" s="10">
        <v>39.2126862</v>
      </c>
      <c r="D1087" s="10">
        <v>-76.6260269</v>
      </c>
      <c r="E1087" s="9" t="s">
        <v>8282</v>
      </c>
      <c r="F1087" s="9" t="s">
        <v>8283</v>
      </c>
      <c r="G1087" s="9"/>
      <c r="H1087" s="9" t="s">
        <v>1476</v>
      </c>
      <c r="I1087" s="9" t="s">
        <v>71</v>
      </c>
      <c r="J1087" s="9" t="s">
        <v>8284</v>
      </c>
      <c r="K1087" s="12" t="s">
        <v>8285</v>
      </c>
      <c r="L1087" s="9" t="s">
        <v>8286</v>
      </c>
      <c r="M1087" s="9">
        <v>67.8</v>
      </c>
      <c r="N1087" s="10">
        <v>66.22108766</v>
      </c>
      <c r="O1087" s="10" t="s">
        <v>8287</v>
      </c>
      <c r="P1087" s="9">
        <v>9082026.0</v>
      </c>
      <c r="Q1087" s="7" t="str">
        <f>IF(OR(ISBLANK(M1087), ISBLANK(N1087)), "", IF(N1087 &lt; Sheet3!$B$6, "Insufficient Reviews", IF(M1087 &gt;= Sheet3!$B$2, "Highly Reliable", IF(M1087 &gt;= Sheet3!$B$3, "Reliable", IF(M1087 &gt;= Sheet3!$B$4, "Mixed Reviews", "Low Reliability")))))</f>
        <v>Mixed Reviews</v>
      </c>
    </row>
    <row r="1088">
      <c r="A1088" s="3">
        <f t="shared" si="1"/>
        <v>1087</v>
      </c>
      <c r="B1088" s="9" t="s">
        <v>8288</v>
      </c>
      <c r="C1088" s="10">
        <v>39.2816747</v>
      </c>
      <c r="D1088" s="10">
        <v>-76.5131353</v>
      </c>
      <c r="E1088" s="9" t="s">
        <v>8289</v>
      </c>
      <c r="F1088" s="9" t="s">
        <v>8290</v>
      </c>
      <c r="G1088" s="9"/>
      <c r="H1088" s="9" t="s">
        <v>8291</v>
      </c>
      <c r="I1088" s="9" t="s">
        <v>27</v>
      </c>
      <c r="J1088" s="9" t="s">
        <v>8292</v>
      </c>
      <c r="K1088" s="12" t="s">
        <v>8293</v>
      </c>
      <c r="L1088" s="9" t="s">
        <v>8294</v>
      </c>
      <c r="M1088" s="10">
        <v>71.42018117</v>
      </c>
      <c r="N1088" s="10">
        <v>60.25588641</v>
      </c>
      <c r="O1088" s="9" t="s">
        <v>8295</v>
      </c>
      <c r="P1088" s="9">
        <v>9082026.0</v>
      </c>
      <c r="Q1088" s="7" t="str">
        <f>IF(OR(ISBLANK(M1088), ISBLANK(N1088)), "", IF(N1088 &lt; Sheet3!$B$6, "Insufficient Reviews", IF(M1088 &gt;= Sheet3!$B$2, "Highly Reliable", IF(M1088 &gt;= Sheet3!$B$3, "Reliable", IF(M1088 &gt;= Sheet3!$B$4, "Mixed Reviews", "Low Reliability")))))</f>
        <v>Reliable</v>
      </c>
    </row>
    <row r="1089">
      <c r="A1089" s="3">
        <f t="shared" si="1"/>
        <v>1088</v>
      </c>
      <c r="B1089" s="9" t="s">
        <v>8296</v>
      </c>
      <c r="C1089" s="10">
        <v>39.3491291</v>
      </c>
      <c r="D1089" s="10">
        <v>-76.4515658</v>
      </c>
      <c r="E1089" s="9" t="s">
        <v>8297</v>
      </c>
      <c r="F1089" s="9" t="s">
        <v>8298</v>
      </c>
      <c r="G1089" s="9" t="s">
        <v>8299</v>
      </c>
      <c r="H1089" s="9"/>
      <c r="I1089" s="9" t="s">
        <v>35</v>
      </c>
      <c r="J1089" s="9" t="s">
        <v>8300</v>
      </c>
      <c r="K1089" s="12" t="s">
        <v>8301</v>
      </c>
      <c r="L1089" s="9" t="s">
        <v>8302</v>
      </c>
      <c r="M1089" s="9">
        <v>82.12996727</v>
      </c>
      <c r="N1089" s="10">
        <v>72.24116946</v>
      </c>
      <c r="O1089" s="10" t="s">
        <v>8303</v>
      </c>
      <c r="P1089" s="9">
        <v>9082026.0</v>
      </c>
      <c r="Q1089" s="7" t="str">
        <f>IF(OR(ISBLANK(M1089), ISBLANK(N1089)), "", IF(N1089 &lt; Sheet3!$B$6, "Insufficient Reviews", IF(M1089 &gt;= Sheet3!$B$2, "Highly Reliable", IF(M1089 &gt;= Sheet3!$B$3, "Reliable", IF(M1089 &gt;= Sheet3!$B$4, "Mixed Reviews", "Low Reliability")))))</f>
        <v>Highly Reliable</v>
      </c>
    </row>
    <row r="1090">
      <c r="A1090" s="3">
        <f t="shared" si="1"/>
        <v>1089</v>
      </c>
      <c r="B1090" s="9" t="s">
        <v>8304</v>
      </c>
      <c r="C1090" s="10">
        <v>39.3083611</v>
      </c>
      <c r="D1090" s="10">
        <v>-76.4768295</v>
      </c>
      <c r="E1090" s="9" t="s">
        <v>8305</v>
      </c>
      <c r="F1090" s="9" t="s">
        <v>8306</v>
      </c>
      <c r="G1090" s="9"/>
      <c r="H1090" s="9" t="s">
        <v>8307</v>
      </c>
      <c r="I1090" s="9" t="s">
        <v>71</v>
      </c>
      <c r="J1090" s="9" t="s">
        <v>8308</v>
      </c>
      <c r="K1090" s="12" t="s">
        <v>8285</v>
      </c>
      <c r="L1090" s="9" t="s">
        <v>8309</v>
      </c>
      <c r="M1090" s="9">
        <v>76.2634736</v>
      </c>
      <c r="N1090" s="10">
        <v>68.2336491</v>
      </c>
      <c r="O1090" s="10" t="s">
        <v>8310</v>
      </c>
      <c r="P1090" s="9">
        <v>9082026.0</v>
      </c>
      <c r="Q1090" s="7" t="str">
        <f>IF(OR(ISBLANK(M1090), ISBLANK(N1090)), "", IF(N1090 &lt; Sheet3!$B$6, "Insufficient Reviews", IF(M1090 &gt;= Sheet3!$B$2, "Highly Reliable", IF(M1090 &gt;= Sheet3!$B$3, "Reliable", IF(M1090 &gt;= Sheet3!$B$4, "Mixed Reviews", "Low Reliability")))))</f>
        <v>Reliable</v>
      </c>
    </row>
    <row r="1091">
      <c r="A1091" s="3">
        <f t="shared" si="1"/>
        <v>1090</v>
      </c>
      <c r="B1091" s="9" t="s">
        <v>8311</v>
      </c>
      <c r="C1091" s="10">
        <v>39.2683227</v>
      </c>
      <c r="D1091" s="10">
        <v>-76.492817</v>
      </c>
      <c r="E1091" s="9" t="s">
        <v>8312</v>
      </c>
      <c r="F1091" s="9" t="s">
        <v>8313</v>
      </c>
      <c r="G1091" s="9"/>
      <c r="H1091" s="9" t="s">
        <v>26</v>
      </c>
      <c r="I1091" s="9" t="s">
        <v>27</v>
      </c>
      <c r="J1091" s="9" t="s">
        <v>8314</v>
      </c>
      <c r="K1091" s="12" t="s">
        <v>8315</v>
      </c>
      <c r="L1091" s="9" t="s">
        <v>8316</v>
      </c>
      <c r="M1091" s="10">
        <v>76.75594105</v>
      </c>
      <c r="N1091" s="10">
        <v>73.70506976</v>
      </c>
      <c r="O1091" s="9" t="s">
        <v>8317</v>
      </c>
      <c r="P1091" s="9">
        <v>9082026.0</v>
      </c>
      <c r="Q1091" s="7" t="str">
        <f>IF(OR(ISBLANK(M1091), ISBLANK(N1091)), "", IF(N1091 &lt; Sheet3!$B$6, "Insufficient Reviews", IF(M1091 &gt;= Sheet3!$B$2, "Highly Reliable", IF(M1091 &gt;= Sheet3!$B$3, "Reliable", IF(M1091 &gt;= Sheet3!$B$4, "Mixed Reviews", "Low Reliability")))))</f>
        <v>Reliable</v>
      </c>
    </row>
    <row r="1092">
      <c r="A1092" s="3">
        <f t="shared" si="1"/>
        <v>1091</v>
      </c>
      <c r="B1092" s="9" t="s">
        <v>8318</v>
      </c>
      <c r="C1092" s="10">
        <v>39.3416112</v>
      </c>
      <c r="D1092" s="10">
        <v>-76.4492065</v>
      </c>
      <c r="E1092" s="9" t="s">
        <v>8319</v>
      </c>
      <c r="F1092" s="9" t="s">
        <v>8320</v>
      </c>
      <c r="G1092" s="9"/>
      <c r="H1092" s="9" t="s">
        <v>8321</v>
      </c>
      <c r="I1092" s="9" t="s">
        <v>35</v>
      </c>
      <c r="J1092" s="9" t="s">
        <v>8322</v>
      </c>
      <c r="K1092" s="12" t="s">
        <v>8323</v>
      </c>
      <c r="L1092" s="9" t="s">
        <v>8324</v>
      </c>
      <c r="M1092" s="9">
        <v>81.362725</v>
      </c>
      <c r="N1092" s="10">
        <v>69.06480064</v>
      </c>
      <c r="O1092" s="10" t="s">
        <v>1003</v>
      </c>
      <c r="P1092" s="9">
        <v>9082026.0</v>
      </c>
      <c r="Q1092" s="7" t="str">
        <f>IF(OR(ISBLANK(M1092), ISBLANK(N1092)), "", IF(N1092 &lt; Sheet3!$B$6, "Insufficient Reviews", IF(M1092 &gt;= Sheet3!$B$2, "Highly Reliable", IF(M1092 &gt;= Sheet3!$B$3, "Reliable", IF(M1092 &gt;= Sheet3!$B$4, "Mixed Reviews", "Low Reliability")))))</f>
        <v>Reliable</v>
      </c>
    </row>
    <row r="1093">
      <c r="A1093" s="3">
        <f t="shared" si="1"/>
        <v>1092</v>
      </c>
      <c r="B1093" s="9" t="s">
        <v>8325</v>
      </c>
      <c r="C1093" s="10">
        <v>39.4354679</v>
      </c>
      <c r="D1093" s="10">
        <v>-76.4012234</v>
      </c>
      <c r="E1093" s="9" t="s">
        <v>8326</v>
      </c>
      <c r="F1093" s="9" t="s">
        <v>8327</v>
      </c>
      <c r="G1093" s="9" t="s">
        <v>8328</v>
      </c>
      <c r="H1093" s="9" t="s">
        <v>8329</v>
      </c>
      <c r="I1093" s="9" t="s">
        <v>71</v>
      </c>
      <c r="J1093" s="9" t="s">
        <v>8330</v>
      </c>
      <c r="K1093" s="12" t="s">
        <v>8331</v>
      </c>
      <c r="L1093" s="9" t="s">
        <v>8332</v>
      </c>
      <c r="M1093" s="9">
        <v>72.60024263</v>
      </c>
      <c r="N1093" s="10">
        <v>54.62116114</v>
      </c>
      <c r="O1093" s="10" t="s">
        <v>8333</v>
      </c>
      <c r="P1093" s="9">
        <v>9082026.0</v>
      </c>
      <c r="Q1093" s="7" t="str">
        <f>IF(OR(ISBLANK(M1093), ISBLANK(N1093)), "", IF(N1093 &lt; Sheet3!$B$6, "Insufficient Reviews", IF(M1093 &gt;= Sheet3!$B$2, "Highly Reliable", IF(M1093 &gt;= Sheet3!$B$3, "Reliable", IF(M1093 &gt;= Sheet3!$B$4, "Mixed Reviews", "Low Reliability")))))</f>
        <v>Reliable</v>
      </c>
    </row>
    <row r="1094">
      <c r="A1094" s="3">
        <f t="shared" si="1"/>
        <v>1093</v>
      </c>
      <c r="B1094" s="9" t="s">
        <v>8334</v>
      </c>
      <c r="C1094" s="10">
        <v>39.315396</v>
      </c>
      <c r="D1094" s="10">
        <v>-76.4498965</v>
      </c>
      <c r="E1094" s="9" t="s">
        <v>8335</v>
      </c>
      <c r="F1094" s="9" t="s">
        <v>8336</v>
      </c>
      <c r="G1094" s="9"/>
      <c r="H1094" s="9" t="s">
        <v>53</v>
      </c>
      <c r="I1094" s="9" t="s">
        <v>27</v>
      </c>
      <c r="J1094" s="9" t="s">
        <v>8337</v>
      </c>
      <c r="K1094" s="9"/>
      <c r="L1094" s="9" t="s">
        <v>8338</v>
      </c>
      <c r="M1094" s="9">
        <v>73.50896771</v>
      </c>
      <c r="N1094" s="10">
        <v>55.25801953</v>
      </c>
      <c r="O1094" s="10" t="s">
        <v>8339</v>
      </c>
      <c r="P1094" s="9">
        <v>9082026.0</v>
      </c>
      <c r="Q1094" s="7" t="str">
        <f>IF(OR(ISBLANK(M1094), ISBLANK(N1094)), "", IF(N1094 &lt; Sheet3!$B$6, "Insufficient Reviews", IF(M1094 &gt;= Sheet3!$B$2, "Highly Reliable", IF(M1094 &gt;= Sheet3!$B$3, "Reliable", IF(M1094 &gt;= Sheet3!$B$4, "Mixed Reviews", "Low Reliability")))))</f>
        <v>Reliable</v>
      </c>
    </row>
    <row r="1095">
      <c r="A1095" s="3">
        <f t="shared" si="1"/>
        <v>1094</v>
      </c>
      <c r="B1095" s="9" t="s">
        <v>8340</v>
      </c>
      <c r="C1095" s="10">
        <v>39.2460056</v>
      </c>
      <c r="D1095" s="10">
        <v>-76.5082479</v>
      </c>
      <c r="E1095" s="9" t="s">
        <v>8341</v>
      </c>
      <c r="F1095" s="9" t="s">
        <v>8342</v>
      </c>
      <c r="G1095" s="9"/>
      <c r="H1095" s="9" t="s">
        <v>8343</v>
      </c>
      <c r="I1095" s="9" t="s">
        <v>35</v>
      </c>
      <c r="J1095" s="9" t="s">
        <v>8344</v>
      </c>
      <c r="K1095" s="12" t="s">
        <v>8345</v>
      </c>
      <c r="L1095" s="9" t="s">
        <v>8346</v>
      </c>
      <c r="M1095" s="9">
        <v>78.12158072</v>
      </c>
      <c r="N1095" s="10">
        <v>61.39047863</v>
      </c>
      <c r="O1095" s="10" t="s">
        <v>8347</v>
      </c>
      <c r="P1095" s="9">
        <v>9082026.0</v>
      </c>
      <c r="Q1095" s="7" t="str">
        <f>IF(OR(ISBLANK(M1095), ISBLANK(N1095)), "", IF(N1095 &lt; Sheet3!$B$6, "Insufficient Reviews", IF(M1095 &gt;= Sheet3!$B$2, "Highly Reliable", IF(M1095 &gt;= Sheet3!$B$3, "Reliable", IF(M1095 &gt;= Sheet3!$B$4, "Mixed Reviews", "Low Reliability")))))</f>
        <v>Reliable</v>
      </c>
    </row>
    <row r="1096">
      <c r="A1096" s="3">
        <f t="shared" si="1"/>
        <v>1095</v>
      </c>
      <c r="B1096" s="9" t="s">
        <v>8348</v>
      </c>
      <c r="C1096" s="10">
        <v>39.105503</v>
      </c>
      <c r="D1096" s="10">
        <v>-77.1487655</v>
      </c>
      <c r="E1096" s="9" t="s">
        <v>8349</v>
      </c>
      <c r="F1096" s="9" t="s">
        <v>8350</v>
      </c>
      <c r="G1096" s="9" t="s">
        <v>8351</v>
      </c>
      <c r="H1096" s="9" t="s">
        <v>7458</v>
      </c>
      <c r="I1096" s="9" t="s">
        <v>71</v>
      </c>
      <c r="J1096" s="9" t="s">
        <v>8352</v>
      </c>
      <c r="K1096" s="12" t="s">
        <v>8353</v>
      </c>
      <c r="L1096" s="9" t="s">
        <v>8354</v>
      </c>
      <c r="M1096" s="9">
        <v>81.38141252</v>
      </c>
      <c r="N1096" s="10">
        <v>70.451848</v>
      </c>
      <c r="O1096" s="10" t="s">
        <v>8355</v>
      </c>
      <c r="P1096" s="9">
        <v>9082026.0</v>
      </c>
      <c r="Q1096" s="7" t="str">
        <f>IF(OR(ISBLANK(M1096), ISBLANK(N1096)), "", IF(N1096 &lt; Sheet3!$B$6, "Insufficient Reviews", IF(M1096 &gt;= Sheet3!$B$2, "Highly Reliable", IF(M1096 &gt;= Sheet3!$B$3, "Reliable", IF(M1096 &gt;= Sheet3!$B$4, "Mixed Reviews", "Low Reliability")))))</f>
        <v>Reliable</v>
      </c>
    </row>
    <row r="1097">
      <c r="A1097" s="3">
        <f t="shared" si="1"/>
        <v>1096</v>
      </c>
      <c r="B1097" s="9" t="s">
        <v>8356</v>
      </c>
      <c r="C1097" s="10">
        <v>39.2407698</v>
      </c>
      <c r="D1097" s="10">
        <v>-76.4493916</v>
      </c>
      <c r="E1097" s="9" t="s">
        <v>8357</v>
      </c>
      <c r="F1097" s="9" t="s">
        <v>8358</v>
      </c>
      <c r="G1097" s="9" t="s">
        <v>8359</v>
      </c>
      <c r="H1097" s="9" t="s">
        <v>8360</v>
      </c>
      <c r="I1097" s="9" t="s">
        <v>27</v>
      </c>
      <c r="J1097" s="9" t="s">
        <v>8361</v>
      </c>
      <c r="K1097" s="12" t="s">
        <v>8362</v>
      </c>
      <c r="L1097" s="9" t="s">
        <v>8363</v>
      </c>
      <c r="M1097" s="9">
        <v>77.5145863</v>
      </c>
      <c r="N1097" s="10">
        <v>61.13499797</v>
      </c>
      <c r="O1097" s="10" t="s">
        <v>8364</v>
      </c>
      <c r="P1097" s="9">
        <v>9082026.0</v>
      </c>
      <c r="Q1097" s="7" t="str">
        <f>IF(OR(ISBLANK(M1097), ISBLANK(N1097)), "", IF(N1097 &lt; Sheet3!$B$6, "Insufficient Reviews", IF(M1097 &gt;= Sheet3!$B$2, "Highly Reliable", IF(M1097 &gt;= Sheet3!$B$3, "Reliable", IF(M1097 &gt;= Sheet3!$B$4, "Mixed Reviews", "Low Reliability")))))</f>
        <v>Reliable</v>
      </c>
    </row>
    <row r="1098">
      <c r="A1098" s="3">
        <f t="shared" si="1"/>
        <v>1097</v>
      </c>
      <c r="B1098" s="9" t="s">
        <v>1276</v>
      </c>
      <c r="C1098" s="10">
        <v>39.3620479</v>
      </c>
      <c r="D1098" s="10">
        <v>-76.3659217</v>
      </c>
      <c r="E1098" s="9" t="s">
        <v>1277</v>
      </c>
      <c r="F1098" s="9" t="s">
        <v>8365</v>
      </c>
      <c r="G1098" s="9"/>
      <c r="H1098" s="11"/>
      <c r="I1098" s="9" t="s">
        <v>27</v>
      </c>
      <c r="J1098" s="9" t="s">
        <v>8366</v>
      </c>
      <c r="K1098" s="9"/>
      <c r="L1098" s="9" t="s">
        <v>8367</v>
      </c>
      <c r="M1098" s="9">
        <v>69.64135398</v>
      </c>
      <c r="N1098" s="10">
        <v>43.1110296</v>
      </c>
      <c r="O1098" s="10" t="s">
        <v>8368</v>
      </c>
      <c r="P1098" s="9">
        <v>9082026.0</v>
      </c>
      <c r="Q1098" s="7" t="str">
        <f>IF(OR(ISBLANK(M1098), ISBLANK(N1098)), "", IF(N1098 &lt; Sheet3!$B$6, "Insufficient Reviews", IF(M1098 &gt;= Sheet3!$B$2, "Highly Reliable", IF(M1098 &gt;= Sheet3!$B$3, "Reliable", IF(M1098 &gt;= Sheet3!$B$4, "Mixed Reviews", "Low Reliability")))))</f>
        <v>Mixed Reviews</v>
      </c>
    </row>
    <row r="1099">
      <c r="A1099" s="3">
        <f t="shared" si="1"/>
        <v>1098</v>
      </c>
      <c r="B1099" s="9" t="s">
        <v>8369</v>
      </c>
      <c r="C1099" s="10">
        <v>39.5941303</v>
      </c>
      <c r="D1099" s="10">
        <v>-76.3227574</v>
      </c>
      <c r="E1099" s="9" t="s">
        <v>8370</v>
      </c>
      <c r="F1099" s="9" t="s">
        <v>8371</v>
      </c>
      <c r="G1099" s="9" t="s">
        <v>8372</v>
      </c>
      <c r="H1099" s="9" t="s">
        <v>8373</v>
      </c>
      <c r="I1099" s="9" t="s">
        <v>71</v>
      </c>
      <c r="J1099" s="9" t="s">
        <v>8374</v>
      </c>
      <c r="K1099" s="12" t="s">
        <v>8375</v>
      </c>
      <c r="L1099" s="9" t="s">
        <v>8376</v>
      </c>
      <c r="M1099" s="9">
        <v>80.77518548</v>
      </c>
      <c r="N1099" s="10">
        <v>69.76608039</v>
      </c>
      <c r="O1099" s="10" t="s">
        <v>8377</v>
      </c>
      <c r="P1099" s="9">
        <v>9082026.0</v>
      </c>
      <c r="Q1099" s="7" t="str">
        <f>IF(OR(ISBLANK(M1099), ISBLANK(N1099)), "", IF(N1099 &lt; Sheet3!$B$6, "Insufficient Reviews", IF(M1099 &gt;= Sheet3!$B$2, "Highly Reliable", IF(M1099 &gt;= Sheet3!$B$3, "Reliable", IF(M1099 &gt;= Sheet3!$B$4, "Mixed Reviews", "Low Reliability")))))</f>
        <v>Reliable</v>
      </c>
    </row>
    <row r="1100">
      <c r="A1100" s="3">
        <f t="shared" si="1"/>
        <v>1099</v>
      </c>
      <c r="B1100" s="9" t="s">
        <v>8378</v>
      </c>
      <c r="C1100" s="10">
        <v>38.96575</v>
      </c>
      <c r="D1100" s="10">
        <v>-76.950446</v>
      </c>
      <c r="E1100" s="9" t="s">
        <v>8379</v>
      </c>
      <c r="F1100" s="9" t="s">
        <v>8380</v>
      </c>
      <c r="G1100" s="9" t="s">
        <v>8381</v>
      </c>
      <c r="H1100" s="9" t="s">
        <v>8382</v>
      </c>
      <c r="I1100" s="9" t="s">
        <v>35</v>
      </c>
      <c r="J1100" s="9" t="s">
        <v>8383</v>
      </c>
      <c r="K1100" s="9"/>
      <c r="L1100" s="9" t="s">
        <v>8384</v>
      </c>
      <c r="M1100" s="9">
        <v>61.55624635</v>
      </c>
      <c r="N1100" s="10">
        <v>37.16150814</v>
      </c>
      <c r="O1100" s="10" t="s">
        <v>8385</v>
      </c>
      <c r="P1100" s="9">
        <v>9082026.0</v>
      </c>
      <c r="Q1100" s="7" t="str">
        <f>IF(OR(ISBLANK(M1100), ISBLANK(N1100)), "", IF(N1100 &lt; Sheet3!$B$6, "Insufficient Reviews", IF(M1100 &gt;= Sheet3!$B$2, "Highly Reliable", IF(M1100 &gt;= Sheet3!$B$3, "Reliable", IF(M1100 &gt;= Sheet3!$B$4, "Mixed Reviews", "Low Reliability")))))</f>
        <v>Insufficient Reviews</v>
      </c>
    </row>
    <row r="1101">
      <c r="A1101" s="3">
        <f t="shared" si="1"/>
        <v>1100</v>
      </c>
      <c r="B1101" s="9" t="s">
        <v>1488</v>
      </c>
      <c r="C1101" s="10">
        <v>39.5097603</v>
      </c>
      <c r="D1101" s="10">
        <v>-76.1658297</v>
      </c>
      <c r="E1101" s="9" t="s">
        <v>1489</v>
      </c>
      <c r="F1101" s="9" t="s">
        <v>1490</v>
      </c>
      <c r="G1101" s="9" t="s">
        <v>8386</v>
      </c>
      <c r="H1101" s="9" t="s">
        <v>1492</v>
      </c>
      <c r="I1101" s="9" t="s">
        <v>71</v>
      </c>
      <c r="J1101" s="9" t="s">
        <v>8387</v>
      </c>
      <c r="K1101" s="12" t="s">
        <v>1494</v>
      </c>
      <c r="L1101" s="9" t="s">
        <v>8388</v>
      </c>
      <c r="M1101" s="9">
        <v>81.1555976</v>
      </c>
      <c r="N1101" s="10">
        <v>69.42277935</v>
      </c>
      <c r="O1101" s="10" t="s">
        <v>8389</v>
      </c>
      <c r="P1101" s="9">
        <v>9082026.0</v>
      </c>
      <c r="Q1101" s="7" t="str">
        <f>IF(OR(ISBLANK(M1101), ISBLANK(N1101)), "", IF(N1101 &lt; Sheet3!$B$6, "Insufficient Reviews", IF(M1101 &gt;= Sheet3!$B$2, "Highly Reliable", IF(M1101 &gt;= Sheet3!$B$3, "Reliable", IF(M1101 &gt;= Sheet3!$B$4, "Mixed Reviews", "Low Reliability")))))</f>
        <v>Reliable</v>
      </c>
    </row>
    <row r="1102">
      <c r="A1102" s="3">
        <f t="shared" si="1"/>
        <v>1101</v>
      </c>
      <c r="B1102" s="9" t="s">
        <v>8390</v>
      </c>
      <c r="C1102" s="10">
        <v>38.9768854</v>
      </c>
      <c r="D1102" s="10">
        <v>-76.5017602</v>
      </c>
      <c r="E1102" s="9" t="s">
        <v>8391</v>
      </c>
      <c r="F1102" s="9" t="s">
        <v>8392</v>
      </c>
      <c r="G1102" s="9" t="s">
        <v>8393</v>
      </c>
      <c r="H1102" s="9" t="s">
        <v>8394</v>
      </c>
      <c r="I1102" s="9" t="s">
        <v>71</v>
      </c>
      <c r="J1102" s="9" t="s">
        <v>8395</v>
      </c>
      <c r="K1102" s="12" t="s">
        <v>8285</v>
      </c>
      <c r="L1102" s="9" t="s">
        <v>8396</v>
      </c>
      <c r="M1102" s="9">
        <v>83.38589498</v>
      </c>
      <c r="N1102" s="10">
        <v>72.2926759</v>
      </c>
      <c r="O1102" s="10" t="s">
        <v>8397</v>
      </c>
      <c r="P1102" s="9">
        <v>9082026.0</v>
      </c>
      <c r="Q1102" s="7" t="str">
        <f>IF(OR(ISBLANK(M1102), ISBLANK(N1102)), "", IF(N1102 &lt; Sheet3!$B$6, "Insufficient Reviews", IF(M1102 &gt;= Sheet3!$B$2, "Highly Reliable", IF(M1102 &gt;= Sheet3!$B$3, "Reliable", IF(M1102 &gt;= Sheet3!$B$4, "Mixed Reviews", "Low Reliability")))))</f>
        <v>Highly Reliable</v>
      </c>
    </row>
    <row r="1103">
      <c r="A1103" s="3">
        <f t="shared" si="1"/>
        <v>1102</v>
      </c>
      <c r="B1103" s="9" t="s">
        <v>8398</v>
      </c>
      <c r="C1103" s="10">
        <v>38.9147075</v>
      </c>
      <c r="D1103" s="10">
        <v>-77.0207862</v>
      </c>
      <c r="E1103" s="9" t="s">
        <v>8399</v>
      </c>
      <c r="F1103" s="9" t="s">
        <v>8400</v>
      </c>
      <c r="G1103" s="9" t="s">
        <v>4136</v>
      </c>
      <c r="H1103" s="9" t="s">
        <v>8401</v>
      </c>
      <c r="I1103" s="9" t="s">
        <v>27</v>
      </c>
      <c r="J1103" s="9" t="s">
        <v>8402</v>
      </c>
      <c r="K1103" s="12" t="s">
        <v>8403</v>
      </c>
      <c r="L1103" s="9" t="s">
        <v>8404</v>
      </c>
      <c r="M1103" s="9">
        <v>69.63546894</v>
      </c>
      <c r="N1103" s="10">
        <v>70.0158408</v>
      </c>
      <c r="O1103" s="10" t="s">
        <v>8405</v>
      </c>
      <c r="P1103" s="9">
        <v>9082026.0</v>
      </c>
      <c r="Q1103" s="7" t="str">
        <f>IF(OR(ISBLANK(M1103), ISBLANK(N1103)), "", IF(N1103 &lt; Sheet3!$B$6, "Insufficient Reviews", IF(M1103 &gt;= Sheet3!$B$2, "Highly Reliable", IF(M1103 &gt;= Sheet3!$B$3, "Reliable", IF(M1103 &gt;= Sheet3!$B$4, "Mixed Reviews", "Low Reliability")))))</f>
        <v>Mixed Reviews</v>
      </c>
    </row>
    <row r="1104">
      <c r="A1104" s="3">
        <f t="shared" si="1"/>
        <v>1103</v>
      </c>
      <c r="B1104" s="9" t="s">
        <v>8406</v>
      </c>
      <c r="C1104" s="10">
        <v>39.5525463</v>
      </c>
      <c r="D1104" s="10">
        <v>-76.1000076</v>
      </c>
      <c r="E1104" s="9" t="s">
        <v>8407</v>
      </c>
      <c r="F1104" s="9" t="s">
        <v>8408</v>
      </c>
      <c r="G1104" s="9" t="s">
        <v>8409</v>
      </c>
      <c r="H1104" s="9" t="s">
        <v>8373</v>
      </c>
      <c r="I1104" s="9" t="s">
        <v>81</v>
      </c>
      <c r="J1104" s="9" t="s">
        <v>8410</v>
      </c>
      <c r="K1104" s="9"/>
      <c r="L1104" s="9" t="s">
        <v>8411</v>
      </c>
      <c r="M1104" s="9">
        <v>71.95314786</v>
      </c>
      <c r="N1104" s="10">
        <v>49.88543191</v>
      </c>
      <c r="O1104" s="10" t="s">
        <v>8412</v>
      </c>
      <c r="P1104" s="9">
        <v>9082026.0</v>
      </c>
      <c r="Q1104" s="7" t="str">
        <f>IF(OR(ISBLANK(M1104), ISBLANK(N1104)), "", IF(N1104 &lt; Sheet3!$B$6, "Insufficient Reviews", IF(M1104 &gt;= Sheet3!$B$2, "Highly Reliable", IF(M1104 &gt;= Sheet3!$B$3, "Reliable", IF(M1104 &gt;= Sheet3!$B$4, "Mixed Reviews", "Low Reliability")))))</f>
        <v>Reliable</v>
      </c>
    </row>
    <row r="1105">
      <c r="A1105" s="3">
        <f t="shared" si="1"/>
        <v>1104</v>
      </c>
      <c r="B1105" s="9" t="s">
        <v>1031</v>
      </c>
      <c r="C1105" s="10">
        <v>39.3476525</v>
      </c>
      <c r="D1105" s="10">
        <v>-76.7675649</v>
      </c>
      <c r="E1105" s="9" t="s">
        <v>1032</v>
      </c>
      <c r="F1105" s="9" t="s">
        <v>8413</v>
      </c>
      <c r="G1105" s="9" t="s">
        <v>8414</v>
      </c>
      <c r="H1105" s="9" t="s">
        <v>8415</v>
      </c>
      <c r="I1105" s="9" t="s">
        <v>71</v>
      </c>
      <c r="J1105" s="9" t="s">
        <v>8416</v>
      </c>
      <c r="K1105" s="12" t="s">
        <v>8417</v>
      </c>
      <c r="L1105" s="9" t="s">
        <v>8418</v>
      </c>
      <c r="M1105" s="9">
        <v>78.03044562</v>
      </c>
      <c r="N1105" s="10">
        <v>72.80665405</v>
      </c>
      <c r="O1105" s="10" t="s">
        <v>8419</v>
      </c>
      <c r="P1105" s="9">
        <v>9082026.0</v>
      </c>
      <c r="Q1105" s="7" t="str">
        <f>IF(OR(ISBLANK(M1105), ISBLANK(N1105)), "", IF(N1105 &lt; Sheet3!$B$6, "Insufficient Reviews", IF(M1105 &gt;= Sheet3!$B$2, "Highly Reliable", IF(M1105 &gt;= Sheet3!$B$3, "Reliable", IF(M1105 &gt;= Sheet3!$B$4, "Mixed Reviews", "Low Reliability")))))</f>
        <v>Reliable</v>
      </c>
    </row>
    <row r="1106">
      <c r="A1106" s="3">
        <f t="shared" si="1"/>
        <v>1105</v>
      </c>
      <c r="B1106" s="9" t="s">
        <v>8420</v>
      </c>
      <c r="C1106" s="10">
        <v>39.2131591</v>
      </c>
      <c r="D1106" s="10">
        <v>-76.0649985</v>
      </c>
      <c r="E1106" s="9" t="s">
        <v>8421</v>
      </c>
      <c r="F1106" s="9" t="s">
        <v>8422</v>
      </c>
      <c r="G1106" s="9"/>
      <c r="H1106" s="9" t="s">
        <v>8423</v>
      </c>
      <c r="I1106" s="9" t="s">
        <v>27</v>
      </c>
      <c r="J1106" s="9" t="s">
        <v>8424</v>
      </c>
      <c r="K1106" s="12" t="s">
        <v>8425</v>
      </c>
      <c r="L1106" s="9" t="s">
        <v>8426</v>
      </c>
      <c r="M1106" s="9">
        <v>74.89748864</v>
      </c>
      <c r="N1106" s="10">
        <v>62.92832558</v>
      </c>
      <c r="O1106" s="10" t="s">
        <v>8427</v>
      </c>
      <c r="P1106" s="9">
        <v>9082026.0</v>
      </c>
      <c r="Q1106" s="7" t="str">
        <f>IF(OR(ISBLANK(M1106), ISBLANK(N1106)), "", IF(N1106 &lt; Sheet3!$B$6, "Insufficient Reviews", IF(M1106 &gt;= Sheet3!$B$2, "Highly Reliable", IF(M1106 &gt;= Sheet3!$B$3, "Reliable", IF(M1106 &gt;= Sheet3!$B$4, "Mixed Reviews", "Low Reliability")))))</f>
        <v>Reliable</v>
      </c>
    </row>
    <row r="1107">
      <c r="A1107" s="3">
        <f t="shared" si="1"/>
        <v>1106</v>
      </c>
      <c r="B1107" s="9" t="s">
        <v>8428</v>
      </c>
      <c r="C1107" s="10">
        <v>38.5320318</v>
      </c>
      <c r="D1107" s="10">
        <v>-76.7867375</v>
      </c>
      <c r="E1107" s="9" t="s">
        <v>8429</v>
      </c>
      <c r="F1107" s="9" t="s">
        <v>8430</v>
      </c>
      <c r="G1107" s="9"/>
      <c r="H1107" s="9" t="s">
        <v>26</v>
      </c>
      <c r="I1107" s="9" t="s">
        <v>203</v>
      </c>
      <c r="J1107" s="9" t="s">
        <v>8431</v>
      </c>
      <c r="K1107" s="12" t="s">
        <v>8432</v>
      </c>
      <c r="L1107" s="9" t="s">
        <v>8433</v>
      </c>
      <c r="M1107" s="9">
        <v>76.5</v>
      </c>
      <c r="N1107" s="10">
        <v>37.90283464</v>
      </c>
      <c r="O1107" s="10" t="s">
        <v>5611</v>
      </c>
      <c r="P1107" s="9">
        <v>9082026.0</v>
      </c>
      <c r="Q1107" s="7" t="str">
        <f>IF(OR(ISBLANK(M1107), ISBLANK(N1107)), "", IF(N1107 &lt; Sheet3!$B$6, "Insufficient Reviews", IF(M1107 &gt;= Sheet3!$B$2, "Highly Reliable", IF(M1107 &gt;= Sheet3!$B$3, "Reliable", IF(M1107 &gt;= Sheet3!$B$4, "Mixed Reviews", "Low Reliability")))))</f>
        <v>Insufficient Reviews</v>
      </c>
    </row>
    <row r="1108">
      <c r="A1108" s="3">
        <f t="shared" si="1"/>
        <v>1107</v>
      </c>
      <c r="B1108" s="9" t="s">
        <v>8434</v>
      </c>
      <c r="C1108" s="10">
        <v>38.2591052</v>
      </c>
      <c r="D1108" s="10">
        <v>-76.470181</v>
      </c>
      <c r="E1108" s="9" t="s">
        <v>8435</v>
      </c>
      <c r="F1108" s="9" t="s">
        <v>8436</v>
      </c>
      <c r="G1108" s="9"/>
      <c r="H1108" s="9" t="s">
        <v>8437</v>
      </c>
      <c r="I1108" s="9" t="s">
        <v>27</v>
      </c>
      <c r="J1108" s="9" t="s">
        <v>8438</v>
      </c>
      <c r="K1108" s="12" t="s">
        <v>8439</v>
      </c>
      <c r="L1108" s="9" t="s">
        <v>8440</v>
      </c>
      <c r="M1108" s="9">
        <v>66.6138132</v>
      </c>
      <c r="N1108" s="10">
        <v>52.04951383</v>
      </c>
      <c r="O1108" s="10" t="s">
        <v>8441</v>
      </c>
      <c r="P1108" s="9">
        <v>9082026.0</v>
      </c>
      <c r="Q1108" s="7" t="str">
        <f>IF(OR(ISBLANK(M1108), ISBLANK(N1108)), "", IF(N1108 &lt; Sheet3!$B$6, "Insufficient Reviews", IF(M1108 &gt;= Sheet3!$B$2, "Highly Reliable", IF(M1108 &gt;= Sheet3!$B$3, "Reliable", IF(M1108 &gt;= Sheet3!$B$4, "Mixed Reviews", "Low Reliability")))))</f>
        <v>Mixed Reviews</v>
      </c>
    </row>
    <row r="1109">
      <c r="A1109" s="3">
        <f t="shared" si="1"/>
        <v>1108</v>
      </c>
      <c r="B1109" s="9" t="s">
        <v>8442</v>
      </c>
      <c r="C1109" s="10">
        <v>39.4849923</v>
      </c>
      <c r="D1109" s="10">
        <v>-79.03686</v>
      </c>
      <c r="E1109" s="9" t="s">
        <v>8443</v>
      </c>
      <c r="F1109" s="9" t="s">
        <v>8444</v>
      </c>
      <c r="G1109" s="9" t="s">
        <v>8445</v>
      </c>
      <c r="H1109" s="9" t="s">
        <v>8446</v>
      </c>
      <c r="I1109" s="9" t="s">
        <v>27</v>
      </c>
      <c r="J1109" s="9" t="s">
        <v>8447</v>
      </c>
      <c r="K1109" s="9"/>
      <c r="L1109" s="9" t="s">
        <v>8448</v>
      </c>
      <c r="M1109" s="9">
        <v>75.43916801</v>
      </c>
      <c r="N1109" s="10">
        <v>47.86057737</v>
      </c>
      <c r="O1109" s="10" t="s">
        <v>8449</v>
      </c>
      <c r="P1109" s="9">
        <v>9082026.0</v>
      </c>
      <c r="Q1109" s="7" t="str">
        <f>IF(OR(ISBLANK(M1109), ISBLANK(N1109)), "", IF(N1109 &lt; Sheet3!$B$6, "Insufficient Reviews", IF(M1109 &gt;= Sheet3!$B$2, "Highly Reliable", IF(M1109 &gt;= Sheet3!$B$3, "Reliable", IF(M1109 &gt;= Sheet3!$B$4, "Mixed Reviews", "Low Reliability")))))</f>
        <v>Reliable</v>
      </c>
    </row>
    <row r="1110">
      <c r="A1110" s="3">
        <f t="shared" si="1"/>
        <v>1109</v>
      </c>
      <c r="B1110" s="9" t="s">
        <v>8450</v>
      </c>
      <c r="C1110" s="10">
        <v>41.6742052</v>
      </c>
      <c r="D1110" s="10">
        <v>-93.5575138</v>
      </c>
      <c r="E1110" s="9" t="s">
        <v>8451</v>
      </c>
      <c r="F1110" s="9" t="s">
        <v>8452</v>
      </c>
      <c r="G1110" s="11"/>
      <c r="H1110" s="9" t="s">
        <v>8453</v>
      </c>
      <c r="I1110" s="9" t="s">
        <v>71</v>
      </c>
      <c r="J1110" s="9" t="s">
        <v>8454</v>
      </c>
      <c r="K1110" s="12" t="s">
        <v>8455</v>
      </c>
      <c r="L1110" s="9" t="s">
        <v>8456</v>
      </c>
      <c r="M1110" s="9">
        <v>64.68830314</v>
      </c>
      <c r="N1110" s="10">
        <v>70.69412764</v>
      </c>
      <c r="O1110" s="10" t="s">
        <v>8457</v>
      </c>
      <c r="P1110" s="9">
        <v>9082026.0</v>
      </c>
      <c r="Q1110" s="7" t="str">
        <f>IF(OR(ISBLANK(M1110), ISBLANK(N1110)), "", IF(N1110 &lt; Sheet3!$B$6, "Insufficient Reviews", IF(M1110 &gt;= Sheet3!$B$2, "Highly Reliable", IF(M1110 &gt;= Sheet3!$B$3, "Reliable", IF(M1110 &gt;= Sheet3!$B$4, "Mixed Reviews", "Low Reliability")))))</f>
        <v>Mixed Reviews</v>
      </c>
    </row>
    <row r="1111">
      <c r="A1111" s="3">
        <f t="shared" si="1"/>
        <v>1110</v>
      </c>
      <c r="B1111" s="9" t="s">
        <v>8458</v>
      </c>
      <c r="C1111" s="10">
        <v>42.5442002</v>
      </c>
      <c r="D1111" s="10">
        <v>-114.4445424</v>
      </c>
      <c r="E1111" s="9" t="s">
        <v>8459</v>
      </c>
      <c r="F1111" s="9" t="s">
        <v>8460</v>
      </c>
      <c r="G1111" s="9" t="s">
        <v>8461</v>
      </c>
      <c r="H1111" s="9" t="s">
        <v>8462</v>
      </c>
      <c r="I1111" s="9" t="s">
        <v>91</v>
      </c>
      <c r="J1111" s="9" t="s">
        <v>8463</v>
      </c>
      <c r="K1111" s="12" t="s">
        <v>8464</v>
      </c>
      <c r="L1111" s="9" t="s">
        <v>8465</v>
      </c>
      <c r="M1111" s="9">
        <v>63.40639537</v>
      </c>
      <c r="N1111" s="10">
        <v>70.97158384</v>
      </c>
      <c r="O1111" s="10" t="s">
        <v>8466</v>
      </c>
      <c r="P1111" s="9">
        <v>9082026.0</v>
      </c>
      <c r="Q1111" s="7" t="str">
        <f>IF(OR(ISBLANK(M1111), ISBLANK(N1111)), "", IF(N1111 &lt; Sheet3!$B$6, "Insufficient Reviews", IF(M1111 &gt;= Sheet3!$B$2, "Highly Reliable", IF(M1111 &gt;= Sheet3!$B$3, "Reliable", IF(M1111 &gt;= Sheet3!$B$4, "Mixed Reviews", "Low Reliability")))))</f>
        <v>Mixed Reviews</v>
      </c>
    </row>
    <row r="1112">
      <c r="A1112" s="3">
        <f t="shared" si="1"/>
        <v>1111</v>
      </c>
      <c r="B1112" s="9" t="s">
        <v>8467</v>
      </c>
      <c r="C1112" s="10">
        <v>39.2553977</v>
      </c>
      <c r="D1112" s="10">
        <v>-76.6836726</v>
      </c>
      <c r="E1112" s="9" t="s">
        <v>8468</v>
      </c>
      <c r="F1112" s="9" t="s">
        <v>8469</v>
      </c>
      <c r="G1112" s="9" t="s">
        <v>8470</v>
      </c>
      <c r="H1112" s="9" t="s">
        <v>8471</v>
      </c>
      <c r="I1112" s="9" t="s">
        <v>71</v>
      </c>
      <c r="J1112" s="9" t="s">
        <v>8472</v>
      </c>
      <c r="K1112" s="12" t="s">
        <v>8473</v>
      </c>
      <c r="L1112" s="9" t="s">
        <v>8474</v>
      </c>
      <c r="M1112" s="9">
        <v>81.78858206</v>
      </c>
      <c r="N1112" s="10">
        <v>53.5284101</v>
      </c>
      <c r="O1112" s="10" t="s">
        <v>8475</v>
      </c>
      <c r="P1112" s="9">
        <v>9082026.0</v>
      </c>
      <c r="Q1112" s="7" t="str">
        <f>IF(OR(ISBLANK(M1112), ISBLANK(N1112)), "", IF(N1112 &lt; Sheet3!$B$6, "Insufficient Reviews", IF(M1112 &gt;= Sheet3!$B$2, "Highly Reliable", IF(M1112 &gt;= Sheet3!$B$3, "Reliable", IF(M1112 &gt;= Sheet3!$B$4, "Mixed Reviews", "Low Reliability")))))</f>
        <v>Reliable</v>
      </c>
    </row>
    <row r="1113">
      <c r="A1113" s="3">
        <f t="shared" si="1"/>
        <v>1112</v>
      </c>
      <c r="B1113" s="9" t="s">
        <v>8476</v>
      </c>
      <c r="C1113" s="10">
        <v>39.400479</v>
      </c>
      <c r="D1113" s="10">
        <v>-76.607928</v>
      </c>
      <c r="E1113" s="9" t="s">
        <v>8477</v>
      </c>
      <c r="F1113" s="9" t="s">
        <v>8478</v>
      </c>
      <c r="G1113" s="9"/>
      <c r="H1113" s="9" t="s">
        <v>62</v>
      </c>
      <c r="I1113" s="9" t="s">
        <v>27</v>
      </c>
      <c r="J1113" s="9" t="s">
        <v>8479</v>
      </c>
      <c r="K1113" s="12" t="s">
        <v>8480</v>
      </c>
      <c r="L1113" s="9" t="s">
        <v>8481</v>
      </c>
      <c r="M1113" s="9">
        <v>53.71415123</v>
      </c>
      <c r="N1113" s="10">
        <v>70.18409785</v>
      </c>
      <c r="O1113" s="10" t="s">
        <v>8482</v>
      </c>
      <c r="P1113" s="9">
        <v>9082026.0</v>
      </c>
      <c r="Q1113" s="7" t="str">
        <f>IF(OR(ISBLANK(M1113), ISBLANK(N1113)), "", IF(N1113 &lt; Sheet3!$B$6, "Insufficient Reviews", IF(M1113 &gt;= Sheet3!$B$2, "Highly Reliable", IF(M1113 &gt;= Sheet3!$B$3, "Reliable", IF(M1113 &gt;= Sheet3!$B$4, "Mixed Reviews", "Low Reliability")))))</f>
        <v>Low Reliability</v>
      </c>
    </row>
    <row r="1114">
      <c r="A1114" s="3">
        <f t="shared" si="1"/>
        <v>1113</v>
      </c>
      <c r="B1114" s="9" t="s">
        <v>8483</v>
      </c>
      <c r="C1114" s="10">
        <v>39.2755879</v>
      </c>
      <c r="D1114" s="10">
        <v>-76.8037731</v>
      </c>
      <c r="E1114" s="9" t="s">
        <v>8484</v>
      </c>
      <c r="F1114" s="9" t="s">
        <v>8485</v>
      </c>
      <c r="G1114" s="9" t="s">
        <v>8486</v>
      </c>
      <c r="H1114" s="9" t="s">
        <v>303</v>
      </c>
      <c r="I1114" s="9" t="s">
        <v>27</v>
      </c>
      <c r="J1114" s="9" t="s">
        <v>8487</v>
      </c>
      <c r="K1114" s="12" t="s">
        <v>8488</v>
      </c>
      <c r="L1114" s="9" t="s">
        <v>8489</v>
      </c>
      <c r="M1114" s="9">
        <v>62.01038974</v>
      </c>
      <c r="N1114" s="10">
        <v>54.18305479</v>
      </c>
      <c r="O1114" s="10" t="s">
        <v>8490</v>
      </c>
      <c r="P1114" s="9">
        <v>9082026.0</v>
      </c>
      <c r="Q1114" s="7" t="str">
        <f>IF(OR(ISBLANK(M1114), ISBLANK(N1114)), "", IF(N1114 &lt; Sheet3!$B$6, "Insufficient Reviews", IF(M1114 &gt;= Sheet3!$B$2, "Highly Reliable", IF(M1114 &gt;= Sheet3!$B$3, "Reliable", IF(M1114 &gt;= Sheet3!$B$4, "Mixed Reviews", "Low Reliability")))))</f>
        <v>Mixed Reviews</v>
      </c>
    </row>
    <row r="1115">
      <c r="A1115" s="3">
        <f t="shared" si="1"/>
        <v>1114</v>
      </c>
      <c r="B1115" s="9" t="s">
        <v>8491</v>
      </c>
      <c r="C1115" s="10">
        <v>39.2880994</v>
      </c>
      <c r="D1115" s="10">
        <v>-76.6167868</v>
      </c>
      <c r="E1115" s="9" t="s">
        <v>8492</v>
      </c>
      <c r="F1115" s="9" t="s">
        <v>8493</v>
      </c>
      <c r="G1115" s="9" t="s">
        <v>8494</v>
      </c>
      <c r="H1115" s="9"/>
      <c r="I1115" s="9" t="s">
        <v>482</v>
      </c>
      <c r="J1115" s="9" t="s">
        <v>8495</v>
      </c>
      <c r="K1115" s="12" t="s">
        <v>8496</v>
      </c>
      <c r="L1115" s="9" t="s">
        <v>8497</v>
      </c>
      <c r="M1115" s="10">
        <v>27.0</v>
      </c>
      <c r="N1115" s="10">
        <v>35.6627623</v>
      </c>
      <c r="O1115" s="9" t="s">
        <v>6212</v>
      </c>
      <c r="P1115" s="9">
        <v>9082026.0</v>
      </c>
      <c r="Q1115" s="7" t="str">
        <f>IF(OR(ISBLANK(M1115), ISBLANK(N1115)), "", IF(N1115 &lt; Sheet3!$B$6, "Insufficient Reviews", IF(M1115 &gt;= Sheet3!$B$2, "Highly Reliable", IF(M1115 &gt;= Sheet3!$B$3, "Reliable", IF(M1115 &gt;= Sheet3!$B$4, "Mixed Reviews", "Low Reliability")))))</f>
        <v>Insufficient Reviews</v>
      </c>
    </row>
    <row r="1116">
      <c r="A1116" s="3">
        <f t="shared" si="1"/>
        <v>1115</v>
      </c>
      <c r="B1116" s="9" t="s">
        <v>8498</v>
      </c>
      <c r="C1116" s="10">
        <v>39.2881562</v>
      </c>
      <c r="D1116" s="10">
        <v>-76.6167255</v>
      </c>
      <c r="E1116" s="9" t="s">
        <v>8499</v>
      </c>
      <c r="F1116" s="9" t="s">
        <v>8500</v>
      </c>
      <c r="G1116" s="9" t="s">
        <v>6980</v>
      </c>
      <c r="H1116" s="9" t="s">
        <v>8501</v>
      </c>
      <c r="I1116" s="9" t="s">
        <v>482</v>
      </c>
      <c r="J1116" s="9" t="s">
        <v>8502</v>
      </c>
      <c r="K1116" s="12" t="s">
        <v>8503</v>
      </c>
      <c r="L1116" s="9" t="s">
        <v>8504</v>
      </c>
      <c r="M1116" s="9">
        <v>45.24014733</v>
      </c>
      <c r="N1116" s="10">
        <v>68.73714776</v>
      </c>
      <c r="O1116" s="10" t="s">
        <v>8505</v>
      </c>
      <c r="P1116" s="9">
        <v>9082026.0</v>
      </c>
      <c r="Q1116" s="7" t="str">
        <f>IF(OR(ISBLANK(M1116), ISBLANK(N1116)), "", IF(N1116 &lt; Sheet3!$B$6, "Insufficient Reviews", IF(M1116 &gt;= Sheet3!$B$2, "Highly Reliable", IF(M1116 &gt;= Sheet3!$B$3, "Reliable", IF(M1116 &gt;= Sheet3!$B$4, "Mixed Reviews", "Low Reliability")))))</f>
        <v>Low Reliability</v>
      </c>
    </row>
    <row r="1117">
      <c r="A1117" s="3">
        <f t="shared" si="1"/>
        <v>1116</v>
      </c>
      <c r="B1117" s="9" t="s">
        <v>5665</v>
      </c>
      <c r="C1117" s="10">
        <v>39.2871726</v>
      </c>
      <c r="D1117" s="10">
        <v>-76.6154507</v>
      </c>
      <c r="E1117" s="9" t="s">
        <v>8506</v>
      </c>
      <c r="F1117" s="9" t="s">
        <v>8507</v>
      </c>
      <c r="G1117" s="9" t="s">
        <v>8508</v>
      </c>
      <c r="H1117" s="9" t="s">
        <v>532</v>
      </c>
      <c r="I1117" s="9" t="s">
        <v>203</v>
      </c>
      <c r="J1117" s="9" t="s">
        <v>8509</v>
      </c>
      <c r="K1117" s="12" t="s">
        <v>8510</v>
      </c>
      <c r="L1117" s="9" t="s">
        <v>8511</v>
      </c>
      <c r="M1117" s="9">
        <v>43.83173918</v>
      </c>
      <c r="N1117" s="10">
        <v>68.68323766</v>
      </c>
      <c r="O1117" s="10" t="s">
        <v>8512</v>
      </c>
      <c r="P1117" s="9">
        <v>9082026.0</v>
      </c>
      <c r="Q1117" s="7" t="str">
        <f>IF(OR(ISBLANK(M1117), ISBLANK(N1117)), "", IF(N1117 &lt; Sheet3!$B$6, "Insufficient Reviews", IF(M1117 &gt;= Sheet3!$B$2, "Highly Reliable", IF(M1117 &gt;= Sheet3!$B$3, "Reliable", IF(M1117 &gt;= Sheet3!$B$4, "Mixed Reviews", "Low Reliability")))))</f>
        <v>Low Reliability</v>
      </c>
    </row>
    <row r="1118">
      <c r="A1118" s="3">
        <f t="shared" si="1"/>
        <v>1117</v>
      </c>
      <c r="B1118" s="9" t="s">
        <v>8513</v>
      </c>
      <c r="C1118" s="10">
        <v>39.2909754</v>
      </c>
      <c r="D1118" s="10">
        <v>-76.6083534</v>
      </c>
      <c r="E1118" s="9" t="s">
        <v>8514</v>
      </c>
      <c r="F1118" s="9" t="s">
        <v>8515</v>
      </c>
      <c r="G1118" s="9" t="s">
        <v>8516</v>
      </c>
      <c r="H1118" s="9"/>
      <c r="I1118" s="9" t="s">
        <v>482</v>
      </c>
      <c r="J1118" s="9" t="s">
        <v>8517</v>
      </c>
      <c r="K1118" s="12" t="s">
        <v>8518</v>
      </c>
      <c r="L1118" s="9" t="s">
        <v>8519</v>
      </c>
      <c r="M1118" s="10">
        <v>87.72833486</v>
      </c>
      <c r="N1118" s="10">
        <v>78.0444145</v>
      </c>
      <c r="O1118" s="9" t="s">
        <v>8520</v>
      </c>
      <c r="P1118" s="9">
        <v>9082026.0</v>
      </c>
      <c r="Q1118" s="7" t="str">
        <f>IF(OR(ISBLANK(M1118), ISBLANK(N1118)), "", IF(N1118 &lt; Sheet3!$B$6, "Insufficient Reviews", IF(M1118 &gt;= Sheet3!$B$2, "Highly Reliable", IF(M1118 &gt;= Sheet3!$B$3, "Reliable", IF(M1118 &gt;= Sheet3!$B$4, "Mixed Reviews", "Low Reliability")))))</f>
        <v>Highly Reliable</v>
      </c>
    </row>
    <row r="1119">
      <c r="A1119" s="3">
        <f t="shared" si="1"/>
        <v>1118</v>
      </c>
      <c r="B1119" s="9" t="s">
        <v>8521</v>
      </c>
      <c r="C1119" s="10">
        <v>39.2689712</v>
      </c>
      <c r="D1119" s="10">
        <v>-76.6101057</v>
      </c>
      <c r="E1119" s="9" t="s">
        <v>8522</v>
      </c>
      <c r="F1119" s="9" t="s">
        <v>8523</v>
      </c>
      <c r="G1119" s="9"/>
      <c r="H1119" s="9" t="s">
        <v>43</v>
      </c>
      <c r="I1119" s="9" t="s">
        <v>27</v>
      </c>
      <c r="J1119" s="9" t="s">
        <v>8524</v>
      </c>
      <c r="K1119" s="9"/>
      <c r="L1119" s="9" t="s">
        <v>8525</v>
      </c>
      <c r="M1119" s="9">
        <v>77.28086674</v>
      </c>
      <c r="N1119" s="10">
        <v>55.32656858</v>
      </c>
      <c r="O1119" s="10" t="s">
        <v>8526</v>
      </c>
      <c r="P1119" s="9">
        <v>9082026.0</v>
      </c>
      <c r="Q1119" s="7" t="str">
        <f>IF(OR(ISBLANK(M1119), ISBLANK(N1119)), "", IF(N1119 &lt; Sheet3!$B$6, "Insufficient Reviews", IF(M1119 &gt;= Sheet3!$B$2, "Highly Reliable", IF(M1119 &gt;= Sheet3!$B$3, "Reliable", IF(M1119 &gt;= Sheet3!$B$4, "Mixed Reviews", "Low Reliability")))))</f>
        <v>Reliable</v>
      </c>
    </row>
    <row r="1120">
      <c r="A1120" s="3">
        <f t="shared" si="1"/>
        <v>1119</v>
      </c>
      <c r="B1120" s="9" t="s">
        <v>8527</v>
      </c>
      <c r="C1120" s="10">
        <v>38.9980135</v>
      </c>
      <c r="D1120" s="10">
        <v>-77.0264475</v>
      </c>
      <c r="E1120" s="9" t="s">
        <v>8528</v>
      </c>
      <c r="F1120" s="9" t="s">
        <v>8529</v>
      </c>
      <c r="G1120" s="9"/>
      <c r="H1120" s="9" t="s">
        <v>62</v>
      </c>
      <c r="I1120" s="9" t="s">
        <v>482</v>
      </c>
      <c r="J1120" s="9" t="s">
        <v>8530</v>
      </c>
      <c r="K1120" s="12" t="s">
        <v>8531</v>
      </c>
      <c r="L1120" s="9" t="s">
        <v>8532</v>
      </c>
      <c r="M1120" s="10">
        <v>73.45307964</v>
      </c>
      <c r="N1120" s="10">
        <v>89.34826136</v>
      </c>
      <c r="O1120" s="9" t="s">
        <v>8533</v>
      </c>
      <c r="P1120" s="9">
        <v>9082026.0</v>
      </c>
      <c r="Q1120" s="7" t="str">
        <f>IF(OR(ISBLANK(M1120), ISBLANK(N1120)), "", IF(N1120 &lt; Sheet3!$B$6, "Insufficient Reviews", IF(M1120 &gt;= Sheet3!$B$2, "Highly Reliable", IF(M1120 &gt;= Sheet3!$B$3, "Reliable", IF(M1120 &gt;= Sheet3!$B$4, "Mixed Reviews", "Low Reliability")))))</f>
        <v>Reliable</v>
      </c>
    </row>
    <row r="1121">
      <c r="A1121" s="3">
        <f t="shared" si="1"/>
        <v>1120</v>
      </c>
      <c r="B1121" s="9" t="s">
        <v>8534</v>
      </c>
      <c r="C1121" s="10">
        <v>38.9041168</v>
      </c>
      <c r="D1121" s="10">
        <v>-77.0471365</v>
      </c>
      <c r="E1121" s="9" t="s">
        <v>8535</v>
      </c>
      <c r="F1121" s="9" t="s">
        <v>8536</v>
      </c>
      <c r="G1121" s="9" t="s">
        <v>8537</v>
      </c>
      <c r="H1121" s="9" t="s">
        <v>126</v>
      </c>
      <c r="I1121" s="9" t="s">
        <v>482</v>
      </c>
      <c r="J1121" s="9" t="s">
        <v>8538</v>
      </c>
      <c r="K1121" s="12" t="s">
        <v>8539</v>
      </c>
      <c r="L1121" s="9" t="s">
        <v>8540</v>
      </c>
      <c r="M1121" s="9">
        <v>55.48745316</v>
      </c>
      <c r="N1121" s="10">
        <v>62.59355261</v>
      </c>
      <c r="O1121" s="10" t="s">
        <v>8541</v>
      </c>
      <c r="P1121" s="9">
        <v>9082026.0</v>
      </c>
      <c r="Q1121" s="7" t="str">
        <f>IF(OR(ISBLANK(M1121), ISBLANK(N1121)), "", IF(N1121 &lt; Sheet3!$B$6, "Insufficient Reviews", IF(M1121 &gt;= Sheet3!$B$2, "Highly Reliable", IF(M1121 &gt;= Sheet3!$B$3, "Reliable", IF(M1121 &gt;= Sheet3!$B$4, "Mixed Reviews", "Low Reliability")))))</f>
        <v>Low Reliability</v>
      </c>
    </row>
    <row r="1122">
      <c r="A1122" s="3">
        <f t="shared" si="1"/>
        <v>1121</v>
      </c>
      <c r="B1122" s="9" t="s">
        <v>8542</v>
      </c>
      <c r="C1122" s="10">
        <v>44.254929</v>
      </c>
      <c r="D1122" s="10">
        <v>-72.5734638</v>
      </c>
      <c r="E1122" s="9" t="s">
        <v>8543</v>
      </c>
      <c r="F1122" s="9" t="s">
        <v>8544</v>
      </c>
      <c r="G1122" s="9"/>
      <c r="H1122" s="9" t="s">
        <v>62</v>
      </c>
      <c r="I1122" s="9" t="s">
        <v>27</v>
      </c>
      <c r="J1122" s="9" t="s">
        <v>8545</v>
      </c>
      <c r="K1122" s="12" t="s">
        <v>8546</v>
      </c>
      <c r="L1122" s="9" t="s">
        <v>8547</v>
      </c>
      <c r="M1122" s="10">
        <v>20.5</v>
      </c>
      <c r="N1122" s="10">
        <v>31.83333333</v>
      </c>
      <c r="O1122" s="9" t="s">
        <v>634</v>
      </c>
      <c r="P1122" s="9">
        <v>9082026.0</v>
      </c>
      <c r="Q1122" s="7" t="str">
        <f>IF(OR(ISBLANK(M1122), ISBLANK(N1122)), "", IF(N1122 &lt; Sheet3!$B$6, "Insufficient Reviews", IF(M1122 &gt;= Sheet3!$B$2, "Highly Reliable", IF(M1122 &gt;= Sheet3!$B$3, "Reliable", IF(M1122 &gt;= Sheet3!$B$4, "Mixed Reviews", "Low Reliability")))))</f>
        <v>Insufficient Reviews</v>
      </c>
    </row>
    <row r="1123">
      <c r="A1123" s="3">
        <f t="shared" si="1"/>
        <v>1122</v>
      </c>
      <c r="B1123" s="9" t="s">
        <v>8548</v>
      </c>
      <c r="C1123" s="10">
        <v>39.5711522</v>
      </c>
      <c r="D1123" s="10">
        <v>-76.9874377</v>
      </c>
      <c r="E1123" s="9" t="s">
        <v>8549</v>
      </c>
      <c r="F1123" s="9" t="s">
        <v>8550</v>
      </c>
      <c r="G1123" s="9"/>
      <c r="H1123" s="9" t="s">
        <v>43</v>
      </c>
      <c r="I1123" s="9" t="s">
        <v>27</v>
      </c>
      <c r="J1123" s="9" t="s">
        <v>8551</v>
      </c>
      <c r="K1123" s="12" t="s">
        <v>8552</v>
      </c>
      <c r="L1123" s="9" t="s">
        <v>8553</v>
      </c>
      <c r="M1123" s="9">
        <v>45.8768075</v>
      </c>
      <c r="N1123" s="10">
        <v>49.93645139</v>
      </c>
      <c r="O1123" s="10" t="s">
        <v>8554</v>
      </c>
      <c r="P1123" s="9">
        <v>9082026.0</v>
      </c>
      <c r="Q1123" s="7" t="str">
        <f>IF(OR(ISBLANK(M1123), ISBLANK(N1123)), "", IF(N1123 &lt; Sheet3!$B$6, "Insufficient Reviews", IF(M1123 &gt;= Sheet3!$B$2, "Highly Reliable", IF(M1123 &gt;= Sheet3!$B$3, "Reliable", IF(M1123 &gt;= Sheet3!$B$4, "Mixed Reviews", "Low Reliability")))))</f>
        <v>Low Reliability</v>
      </c>
    </row>
    <row r="1124">
      <c r="A1124" s="3">
        <f t="shared" si="1"/>
        <v>1123</v>
      </c>
      <c r="B1124" s="9" t="s">
        <v>8555</v>
      </c>
      <c r="C1124" s="10">
        <v>39.4010009</v>
      </c>
      <c r="D1124" s="10">
        <v>-76.6058175</v>
      </c>
      <c r="E1124" s="9" t="s">
        <v>8556</v>
      </c>
      <c r="F1124" s="9" t="s">
        <v>8557</v>
      </c>
      <c r="G1124" s="9"/>
      <c r="H1124" s="9" t="s">
        <v>26</v>
      </c>
      <c r="I1124" s="9" t="s">
        <v>180</v>
      </c>
      <c r="J1124" s="9" t="s">
        <v>8558</v>
      </c>
      <c r="K1124" s="12" t="s">
        <v>8559</v>
      </c>
      <c r="L1124" s="9" t="s">
        <v>8560</v>
      </c>
      <c r="M1124" s="9">
        <v>68.93016006</v>
      </c>
      <c r="N1124" s="10">
        <v>70.34474999</v>
      </c>
      <c r="O1124" s="10" t="s">
        <v>1471</v>
      </c>
      <c r="P1124" s="9">
        <v>9082026.0</v>
      </c>
      <c r="Q1124" s="7" t="str">
        <f>IF(OR(ISBLANK(M1124), ISBLANK(N1124)), "", IF(N1124 &lt; Sheet3!$B$6, "Insufficient Reviews", IF(M1124 &gt;= Sheet3!$B$2, "Highly Reliable", IF(M1124 &gt;= Sheet3!$B$3, "Reliable", IF(M1124 &gt;= Sheet3!$B$4, "Mixed Reviews", "Low Reliability")))))</f>
        <v>Mixed Reviews</v>
      </c>
    </row>
    <row r="1125">
      <c r="A1125" s="3">
        <f t="shared" si="1"/>
        <v>1124</v>
      </c>
      <c r="B1125" s="9" t="s">
        <v>8561</v>
      </c>
      <c r="C1125" s="10">
        <v>39.3443921</v>
      </c>
      <c r="D1125" s="10">
        <v>-76.7096134</v>
      </c>
      <c r="E1125" s="9" t="s">
        <v>8562</v>
      </c>
      <c r="F1125" s="9" t="s">
        <v>8563</v>
      </c>
      <c r="G1125" s="11"/>
      <c r="H1125" s="9" t="s">
        <v>135</v>
      </c>
      <c r="I1125" s="9" t="s">
        <v>27</v>
      </c>
      <c r="J1125" s="9" t="s">
        <v>8564</v>
      </c>
      <c r="K1125" s="12" t="s">
        <v>8565</v>
      </c>
      <c r="L1125" s="9" t="s">
        <v>8566</v>
      </c>
      <c r="M1125" s="10">
        <v>68.76917862</v>
      </c>
      <c r="N1125" s="10">
        <v>66.58328282</v>
      </c>
      <c r="O1125" s="9" t="s">
        <v>8567</v>
      </c>
      <c r="P1125" s="9">
        <v>9082026.0</v>
      </c>
      <c r="Q1125" s="7" t="str">
        <f>IF(OR(ISBLANK(M1125), ISBLANK(N1125)), "", IF(N1125 &lt; Sheet3!$B$6, "Insufficient Reviews", IF(M1125 &gt;= Sheet3!$B$2, "Highly Reliable", IF(M1125 &gt;= Sheet3!$B$3, "Reliable", IF(M1125 &gt;= Sheet3!$B$4, "Mixed Reviews", "Low Reliability")))))</f>
        <v>Mixed Reviews</v>
      </c>
    </row>
    <row r="1126">
      <c r="A1126" s="3">
        <f t="shared" si="1"/>
        <v>1125</v>
      </c>
      <c r="B1126" s="9" t="s">
        <v>8568</v>
      </c>
      <c r="C1126" s="10">
        <v>39.3458164</v>
      </c>
      <c r="D1126" s="10">
        <v>-76.7011488</v>
      </c>
      <c r="E1126" s="9" t="s">
        <v>8569</v>
      </c>
      <c r="F1126" s="9" t="s">
        <v>8570</v>
      </c>
      <c r="G1126" s="9"/>
      <c r="H1126" s="11"/>
      <c r="I1126" s="9" t="s">
        <v>27</v>
      </c>
      <c r="J1126" s="9" t="s">
        <v>8571</v>
      </c>
      <c r="K1126" s="9"/>
      <c r="L1126" s="9" t="s">
        <v>8572</v>
      </c>
      <c r="M1126" s="9">
        <v>38.93370056</v>
      </c>
      <c r="N1126" s="10">
        <v>36.01271999</v>
      </c>
      <c r="O1126" s="10" t="s">
        <v>8573</v>
      </c>
      <c r="P1126" s="9">
        <v>9082026.0</v>
      </c>
      <c r="Q1126" s="7" t="str">
        <f>IF(OR(ISBLANK(M1126), ISBLANK(N1126)), "", IF(N1126 &lt; Sheet3!$B$6, "Insufficient Reviews", IF(M1126 &gt;= Sheet3!$B$2, "Highly Reliable", IF(M1126 &gt;= Sheet3!$B$3, "Reliable", IF(M1126 &gt;= Sheet3!$B$4, "Mixed Reviews", "Low Reliability")))))</f>
        <v>Insufficient Reviews</v>
      </c>
    </row>
    <row r="1127">
      <c r="A1127" s="3">
        <f t="shared" si="1"/>
        <v>1126</v>
      </c>
      <c r="B1127" s="9" t="s">
        <v>8574</v>
      </c>
      <c r="C1127" s="10">
        <v>39.4004962</v>
      </c>
      <c r="D1127" s="10">
        <v>-76.6082173</v>
      </c>
      <c r="E1127" s="9" t="s">
        <v>8575</v>
      </c>
      <c r="F1127" s="9" t="s">
        <v>8576</v>
      </c>
      <c r="G1127" s="9"/>
      <c r="H1127" s="9" t="s">
        <v>2775</v>
      </c>
      <c r="I1127" s="9" t="s">
        <v>27</v>
      </c>
      <c r="J1127" s="9" t="s">
        <v>8577</v>
      </c>
      <c r="K1127" s="12" t="s">
        <v>8578</v>
      </c>
      <c r="L1127" s="9" t="s">
        <v>8579</v>
      </c>
      <c r="M1127" s="10">
        <v>69.3</v>
      </c>
      <c r="N1127" s="10">
        <v>43.97233595</v>
      </c>
      <c r="O1127" s="9" t="s">
        <v>8580</v>
      </c>
      <c r="P1127" s="9">
        <v>9082026.0</v>
      </c>
      <c r="Q1127" s="7" t="str">
        <f>IF(OR(ISBLANK(M1127), ISBLANK(N1127)), "", IF(N1127 &lt; Sheet3!$B$6, "Insufficient Reviews", IF(M1127 &gt;= Sheet3!$B$2, "Highly Reliable", IF(M1127 &gt;= Sheet3!$B$3, "Reliable", IF(M1127 &gt;= Sheet3!$B$4, "Mixed Reviews", "Low Reliability")))))</f>
        <v>Mixed Reviews</v>
      </c>
    </row>
    <row r="1128">
      <c r="A1128" s="3">
        <f t="shared" si="1"/>
        <v>1127</v>
      </c>
      <c r="B1128" s="9" t="s">
        <v>8581</v>
      </c>
      <c r="C1128" s="10">
        <v>39.3978015</v>
      </c>
      <c r="D1128" s="10">
        <v>-76.6063298</v>
      </c>
      <c r="E1128" s="9" t="s">
        <v>8582</v>
      </c>
      <c r="F1128" s="9" t="s">
        <v>8583</v>
      </c>
      <c r="G1128" s="9" t="s">
        <v>8584</v>
      </c>
      <c r="H1128" s="9" t="s">
        <v>26</v>
      </c>
      <c r="I1128" s="9" t="s">
        <v>27</v>
      </c>
      <c r="J1128" s="9" t="s">
        <v>8585</v>
      </c>
      <c r="K1128" s="12" t="s">
        <v>8586</v>
      </c>
      <c r="L1128" s="9" t="s">
        <v>8587</v>
      </c>
      <c r="M1128" s="9">
        <v>51.72481539</v>
      </c>
      <c r="N1128" s="10">
        <v>67.95980423</v>
      </c>
      <c r="O1128" s="10" t="s">
        <v>8588</v>
      </c>
      <c r="P1128" s="9">
        <v>9082026.0</v>
      </c>
      <c r="Q1128" s="7" t="str">
        <f>IF(OR(ISBLANK(M1128), ISBLANK(N1128)), "", IF(N1128 &lt; Sheet3!$B$6, "Insufficient Reviews", IF(M1128 &gt;= Sheet3!$B$2, "Highly Reliable", IF(M1128 &gt;= Sheet3!$B$3, "Reliable", IF(M1128 &gt;= Sheet3!$B$4, "Mixed Reviews", "Low Reliability")))))</f>
        <v>Low Reliability</v>
      </c>
    </row>
    <row r="1129">
      <c r="A1129" s="3">
        <f t="shared" si="1"/>
        <v>1128</v>
      </c>
      <c r="B1129" s="9" t="s">
        <v>8589</v>
      </c>
      <c r="C1129" s="10">
        <v>39.332485</v>
      </c>
      <c r="D1129" s="10">
        <v>-76.640197</v>
      </c>
      <c r="E1129" s="9" t="s">
        <v>8590</v>
      </c>
      <c r="F1129" s="9" t="s">
        <v>8591</v>
      </c>
      <c r="G1129" s="9"/>
      <c r="H1129" s="9" t="s">
        <v>126</v>
      </c>
      <c r="I1129" s="9" t="s">
        <v>27</v>
      </c>
      <c r="J1129" s="9" t="s">
        <v>8592</v>
      </c>
      <c r="K1129" s="12" t="s">
        <v>8593</v>
      </c>
      <c r="L1129" s="9" t="s">
        <v>8594</v>
      </c>
      <c r="M1129" s="9">
        <v>65.69267336</v>
      </c>
      <c r="N1129" s="10">
        <v>91.69665999</v>
      </c>
      <c r="O1129" s="10" t="s">
        <v>8595</v>
      </c>
      <c r="P1129" s="9">
        <v>9082026.0</v>
      </c>
      <c r="Q1129" s="7" t="str">
        <f>IF(OR(ISBLANK(M1129), ISBLANK(N1129)), "", IF(N1129 &lt; Sheet3!$B$6, "Insufficient Reviews", IF(M1129 &gt;= Sheet3!$B$2, "Highly Reliable", IF(M1129 &gt;= Sheet3!$B$3, "Reliable", IF(M1129 &gt;= Sheet3!$B$4, "Mixed Reviews", "Low Reliability")))))</f>
        <v>Mixed Reviews</v>
      </c>
    </row>
    <row r="1130">
      <c r="A1130" s="3">
        <f t="shared" si="1"/>
        <v>1129</v>
      </c>
      <c r="B1130" s="9" t="s">
        <v>8596</v>
      </c>
      <c r="C1130" s="10">
        <v>39.3309213</v>
      </c>
      <c r="D1130" s="10">
        <v>-76.6423039</v>
      </c>
      <c r="E1130" s="9" t="s">
        <v>8597</v>
      </c>
      <c r="F1130" s="9" t="s">
        <v>8598</v>
      </c>
      <c r="G1130" s="9" t="s">
        <v>8599</v>
      </c>
      <c r="H1130" s="9" t="s">
        <v>5313</v>
      </c>
      <c r="I1130" s="9" t="s">
        <v>27</v>
      </c>
      <c r="J1130" s="9" t="s">
        <v>8600</v>
      </c>
      <c r="K1130" s="12" t="s">
        <v>8601</v>
      </c>
      <c r="L1130" s="9" t="s">
        <v>8602</v>
      </c>
      <c r="M1130" s="9">
        <v>68.10798209</v>
      </c>
      <c r="N1130" s="10">
        <v>82.97319909</v>
      </c>
      <c r="O1130" s="10" t="s">
        <v>8603</v>
      </c>
      <c r="P1130" s="9">
        <v>9082026.0</v>
      </c>
      <c r="Q1130" s="7" t="str">
        <f>IF(OR(ISBLANK(M1130), ISBLANK(N1130)), "", IF(N1130 &lt; Sheet3!$B$6, "Insufficient Reviews", IF(M1130 &gt;= Sheet3!$B$2, "Highly Reliable", IF(M1130 &gt;= Sheet3!$B$3, "Reliable", IF(M1130 &gt;= Sheet3!$B$4, "Mixed Reviews", "Low Reliability")))))</f>
        <v>Mixed Reviews</v>
      </c>
    </row>
    <row r="1131">
      <c r="A1131" s="3">
        <f t="shared" si="1"/>
        <v>1130</v>
      </c>
      <c r="B1131" s="9" t="s">
        <v>8604</v>
      </c>
      <c r="C1131" s="10">
        <v>39.3082724</v>
      </c>
      <c r="D1131" s="10">
        <v>-76.6118693</v>
      </c>
      <c r="E1131" s="9" t="s">
        <v>8605</v>
      </c>
      <c r="F1131" s="9" t="s">
        <v>8606</v>
      </c>
      <c r="G1131" s="9"/>
      <c r="H1131" s="11"/>
      <c r="I1131" s="9" t="s">
        <v>27</v>
      </c>
      <c r="J1131" s="9" t="s">
        <v>8607</v>
      </c>
      <c r="K1131" s="12" t="s">
        <v>8608</v>
      </c>
      <c r="L1131" s="9" t="s">
        <v>8609</v>
      </c>
      <c r="M1131" s="9">
        <v>77.32156792</v>
      </c>
      <c r="N1131" s="10">
        <v>45.41047424</v>
      </c>
      <c r="O1131" s="10" t="s">
        <v>8610</v>
      </c>
      <c r="P1131" s="9">
        <v>9082026.0</v>
      </c>
      <c r="Q1131" s="7" t="str">
        <f>IF(OR(ISBLANK(M1131), ISBLANK(N1131)), "", IF(N1131 &lt; Sheet3!$B$6, "Insufficient Reviews", IF(M1131 &gt;= Sheet3!$B$2, "Highly Reliable", IF(M1131 &gt;= Sheet3!$B$3, "Reliable", IF(M1131 &gt;= Sheet3!$B$4, "Mixed Reviews", "Low Reliability")))))</f>
        <v>Reliable</v>
      </c>
    </row>
    <row r="1132">
      <c r="A1132" s="3">
        <f t="shared" si="1"/>
        <v>1131</v>
      </c>
      <c r="B1132" s="9" t="s">
        <v>8611</v>
      </c>
      <c r="C1132" s="10">
        <v>39.328525</v>
      </c>
      <c r="D1132" s="10">
        <v>-76.6274659</v>
      </c>
      <c r="E1132" s="9" t="s">
        <v>8612</v>
      </c>
      <c r="F1132" s="9" t="s">
        <v>8613</v>
      </c>
      <c r="G1132" s="9" t="s">
        <v>8614</v>
      </c>
      <c r="H1132" s="9" t="s">
        <v>7212</v>
      </c>
      <c r="I1132" s="9" t="s">
        <v>27</v>
      </c>
      <c r="J1132" s="9" t="s">
        <v>8615</v>
      </c>
      <c r="K1132" s="12" t="s">
        <v>8616</v>
      </c>
      <c r="L1132" s="9" t="s">
        <v>8617</v>
      </c>
      <c r="M1132" s="9">
        <v>69.90625319</v>
      </c>
      <c r="N1132" s="10">
        <v>53.39444259</v>
      </c>
      <c r="O1132" s="10" t="s">
        <v>8618</v>
      </c>
      <c r="P1132" s="9">
        <v>9082026.0</v>
      </c>
      <c r="Q1132" s="7" t="str">
        <f>IF(OR(ISBLANK(M1132), ISBLANK(N1132)), "", IF(N1132 &lt; Sheet3!$B$6, "Insufficient Reviews", IF(M1132 &gt;= Sheet3!$B$2, "Highly Reliable", IF(M1132 &gt;= Sheet3!$B$3, "Reliable", IF(M1132 &gt;= Sheet3!$B$4, "Mixed Reviews", "Low Reliability")))))</f>
        <v>Mixed Reviews</v>
      </c>
    </row>
    <row r="1133">
      <c r="A1133" s="3">
        <f t="shared" si="1"/>
        <v>1132</v>
      </c>
      <c r="B1133" s="9" t="s">
        <v>8619</v>
      </c>
      <c r="C1133" s="10">
        <v>39.3563969</v>
      </c>
      <c r="D1133" s="10">
        <v>-76.5902228</v>
      </c>
      <c r="E1133" s="9" t="s">
        <v>8620</v>
      </c>
      <c r="F1133" s="9" t="s">
        <v>8621</v>
      </c>
      <c r="G1133" s="9" t="s">
        <v>8622</v>
      </c>
      <c r="H1133" s="9" t="s">
        <v>8623</v>
      </c>
      <c r="I1133" s="9" t="s">
        <v>27</v>
      </c>
      <c r="J1133" s="9" t="s">
        <v>8624</v>
      </c>
      <c r="K1133" s="12" t="s">
        <v>8625</v>
      </c>
      <c r="L1133" s="9" t="s">
        <v>8626</v>
      </c>
      <c r="M1133" s="9">
        <v>73.84370834</v>
      </c>
      <c r="N1133" s="10">
        <v>73.60993564</v>
      </c>
      <c r="O1133" s="10" t="s">
        <v>8627</v>
      </c>
      <c r="P1133" s="9">
        <v>9082026.0</v>
      </c>
      <c r="Q1133" s="7" t="str">
        <f>IF(OR(ISBLANK(M1133), ISBLANK(N1133)), "", IF(N1133 &lt; Sheet3!$B$6, "Insufficient Reviews", IF(M1133 &gt;= Sheet3!$B$2, "Highly Reliable", IF(M1133 &gt;= Sheet3!$B$3, "Reliable", IF(M1133 &gt;= Sheet3!$B$4, "Mixed Reviews", "Low Reliability")))))</f>
        <v>Reliable</v>
      </c>
    </row>
    <row r="1134">
      <c r="A1134" s="3">
        <f t="shared" si="1"/>
        <v>1133</v>
      </c>
      <c r="B1134" s="9" t="s">
        <v>8628</v>
      </c>
      <c r="C1134" s="10">
        <v>39.3194648</v>
      </c>
      <c r="D1134" s="10">
        <v>-76.6195623</v>
      </c>
      <c r="E1134" s="9" t="s">
        <v>8629</v>
      </c>
      <c r="F1134" s="9" t="s">
        <v>8630</v>
      </c>
      <c r="G1134" s="9" t="s">
        <v>8631</v>
      </c>
      <c r="H1134" s="9" t="s">
        <v>126</v>
      </c>
      <c r="I1134" s="9" t="s">
        <v>27</v>
      </c>
      <c r="J1134" s="9" t="s">
        <v>8632</v>
      </c>
      <c r="K1134" s="12" t="s">
        <v>8633</v>
      </c>
      <c r="L1134" s="9" t="s">
        <v>8634</v>
      </c>
      <c r="M1134" s="9">
        <v>39.81395156</v>
      </c>
      <c r="N1134" s="10">
        <v>51.40539667</v>
      </c>
      <c r="O1134" s="10" t="s">
        <v>8635</v>
      </c>
      <c r="P1134" s="9">
        <v>9082026.0</v>
      </c>
      <c r="Q1134" s="7" t="str">
        <f>IF(OR(ISBLANK(M1134), ISBLANK(N1134)), "", IF(N1134 &lt; Sheet3!$B$6, "Insufficient Reviews", IF(M1134 &gt;= Sheet3!$B$2, "Highly Reliable", IF(M1134 &gt;= Sheet3!$B$3, "Reliable", IF(M1134 &gt;= Sheet3!$B$4, "Mixed Reviews", "Low Reliability")))))</f>
        <v>Low Reliability</v>
      </c>
    </row>
    <row r="1135">
      <c r="A1135" s="3">
        <f t="shared" si="1"/>
        <v>1134</v>
      </c>
      <c r="B1135" s="9" t="s">
        <v>8636</v>
      </c>
      <c r="C1135" s="10">
        <v>39.3193785</v>
      </c>
      <c r="D1135" s="10">
        <v>-76.619678</v>
      </c>
      <c r="E1135" s="9" t="s">
        <v>8637</v>
      </c>
      <c r="F1135" s="9" t="s">
        <v>8638</v>
      </c>
      <c r="G1135" s="9"/>
      <c r="H1135" s="9" t="s">
        <v>126</v>
      </c>
      <c r="I1135" s="9" t="s">
        <v>27</v>
      </c>
      <c r="J1135" s="9" t="s">
        <v>8639</v>
      </c>
      <c r="K1135" s="12" t="s">
        <v>8640</v>
      </c>
      <c r="L1135" s="9" t="s">
        <v>8641</v>
      </c>
      <c r="M1135" s="9">
        <v>73.08402656</v>
      </c>
      <c r="N1135" s="10">
        <v>69.79186351</v>
      </c>
      <c r="O1135" s="10" t="s">
        <v>8642</v>
      </c>
      <c r="P1135" s="9">
        <v>9082026.0</v>
      </c>
      <c r="Q1135" s="7" t="str">
        <f>IF(OR(ISBLANK(M1135), ISBLANK(N1135)), "", IF(N1135 &lt; Sheet3!$B$6, "Insufficient Reviews", IF(M1135 &gt;= Sheet3!$B$2, "Highly Reliable", IF(M1135 &gt;= Sheet3!$B$3, "Reliable", IF(M1135 &gt;= Sheet3!$B$4, "Mixed Reviews", "Low Reliability")))))</f>
        <v>Reliable</v>
      </c>
    </row>
    <row r="1136">
      <c r="A1136" s="3">
        <f t="shared" si="1"/>
        <v>1135</v>
      </c>
      <c r="B1136" s="9" t="s">
        <v>8643</v>
      </c>
      <c r="C1136" s="10">
        <v>39.305836</v>
      </c>
      <c r="D1136" s="10">
        <v>-76.615878</v>
      </c>
      <c r="E1136" s="9" t="s">
        <v>8644</v>
      </c>
      <c r="F1136" s="9" t="s">
        <v>8645</v>
      </c>
      <c r="G1136" s="9"/>
      <c r="H1136" s="11"/>
      <c r="I1136" s="9" t="s">
        <v>203</v>
      </c>
      <c r="J1136" s="9" t="s">
        <v>8646</v>
      </c>
      <c r="K1136" s="12" t="s">
        <v>8647</v>
      </c>
      <c r="L1136" s="9" t="s">
        <v>8648</v>
      </c>
      <c r="M1136" s="10">
        <v>77.91007053</v>
      </c>
      <c r="N1136" s="10">
        <v>66.34927059</v>
      </c>
      <c r="O1136" s="9" t="s">
        <v>8649</v>
      </c>
      <c r="P1136" s="9">
        <v>9082026.0</v>
      </c>
      <c r="Q1136" s="7" t="str">
        <f>IF(OR(ISBLANK(M1136), ISBLANK(N1136)), "", IF(N1136 &lt; Sheet3!$B$6, "Insufficient Reviews", IF(M1136 &gt;= Sheet3!$B$2, "Highly Reliable", IF(M1136 &gt;= Sheet3!$B$3, "Reliable", IF(M1136 &gt;= Sheet3!$B$4, "Mixed Reviews", "Low Reliability")))))</f>
        <v>Reliable</v>
      </c>
    </row>
    <row r="1137">
      <c r="A1137" s="3">
        <f t="shared" si="1"/>
        <v>1136</v>
      </c>
      <c r="B1137" s="9" t="s">
        <v>8650</v>
      </c>
      <c r="C1137" s="10">
        <v>39.2894604</v>
      </c>
      <c r="D1137" s="10">
        <v>-76.622768</v>
      </c>
      <c r="E1137" s="9" t="s">
        <v>8651</v>
      </c>
      <c r="F1137" s="9" t="s">
        <v>8652</v>
      </c>
      <c r="G1137" s="9"/>
      <c r="H1137" s="9" t="s">
        <v>8653</v>
      </c>
      <c r="I1137" s="9" t="s">
        <v>203</v>
      </c>
      <c r="J1137" s="9" t="s">
        <v>8654</v>
      </c>
      <c r="K1137" s="12" t="s">
        <v>8655</v>
      </c>
      <c r="L1137" s="9" t="s">
        <v>8656</v>
      </c>
      <c r="M1137" s="9">
        <v>69.70506307</v>
      </c>
      <c r="N1137" s="10">
        <v>64.67993113</v>
      </c>
      <c r="O1137" s="10" t="s">
        <v>8657</v>
      </c>
      <c r="P1137" s="9">
        <v>9082026.0</v>
      </c>
      <c r="Q1137" s="7" t="str">
        <f>IF(OR(ISBLANK(M1137), ISBLANK(N1137)), "", IF(N1137 &lt; Sheet3!$B$6, "Insufficient Reviews", IF(M1137 &gt;= Sheet3!$B$2, "Highly Reliable", IF(M1137 &gt;= Sheet3!$B$3, "Reliable", IF(M1137 &gt;= Sheet3!$B$4, "Mixed Reviews", "Low Reliability")))))</f>
        <v>Mixed Reviews</v>
      </c>
    </row>
    <row r="1138">
      <c r="A1138" s="3">
        <f t="shared" si="1"/>
        <v>1137</v>
      </c>
      <c r="B1138" s="9" t="s">
        <v>8658</v>
      </c>
      <c r="C1138" s="10">
        <v>39.2913577</v>
      </c>
      <c r="D1138" s="10">
        <v>-76.6132526</v>
      </c>
      <c r="E1138" s="9" t="s">
        <v>8659</v>
      </c>
      <c r="F1138" s="9" t="s">
        <v>8660</v>
      </c>
      <c r="G1138" s="9"/>
      <c r="H1138" s="9" t="s">
        <v>8661</v>
      </c>
      <c r="I1138" s="9" t="s">
        <v>180</v>
      </c>
      <c r="J1138" s="9" t="s">
        <v>8662</v>
      </c>
      <c r="K1138" s="12" t="s">
        <v>8552</v>
      </c>
      <c r="L1138" s="9" t="s">
        <v>8663</v>
      </c>
      <c r="M1138" s="9">
        <v>51.55980335</v>
      </c>
      <c r="N1138" s="10">
        <v>63.76980025</v>
      </c>
      <c r="O1138" s="10" t="s">
        <v>8664</v>
      </c>
      <c r="P1138" s="9">
        <v>9082026.0</v>
      </c>
      <c r="Q1138" s="7" t="str">
        <f>IF(OR(ISBLANK(M1138), ISBLANK(N1138)), "", IF(N1138 &lt; Sheet3!$B$6, "Insufficient Reviews", IF(M1138 &gt;= Sheet3!$B$2, "Highly Reliable", IF(M1138 &gt;= Sheet3!$B$3, "Reliable", IF(M1138 &gt;= Sheet3!$B$4, "Mixed Reviews", "Low Reliability")))))</f>
        <v>Low Reliability</v>
      </c>
    </row>
    <row r="1139">
      <c r="A1139" s="3">
        <f t="shared" si="1"/>
        <v>1138</v>
      </c>
      <c r="B1139" s="9" t="s">
        <v>8665</v>
      </c>
      <c r="C1139" s="10">
        <v>39.2913042</v>
      </c>
      <c r="D1139" s="10">
        <v>-76.6149817</v>
      </c>
      <c r="E1139" s="9" t="s">
        <v>8666</v>
      </c>
      <c r="F1139" s="9" t="s">
        <v>8667</v>
      </c>
      <c r="G1139" s="9" t="s">
        <v>8668</v>
      </c>
      <c r="H1139" s="9" t="s">
        <v>126</v>
      </c>
      <c r="I1139" s="9" t="s">
        <v>27</v>
      </c>
      <c r="J1139" s="9" t="s">
        <v>8669</v>
      </c>
      <c r="K1139" s="12" t="s">
        <v>8670</v>
      </c>
      <c r="L1139" s="9" t="s">
        <v>8671</v>
      </c>
      <c r="M1139" s="9">
        <v>68.81890039</v>
      </c>
      <c r="N1139" s="10">
        <v>92.51081312</v>
      </c>
      <c r="O1139" s="10" t="s">
        <v>8672</v>
      </c>
      <c r="P1139" s="9">
        <v>9082026.0</v>
      </c>
      <c r="Q1139" s="7" t="str">
        <f>IF(OR(ISBLANK(M1139), ISBLANK(N1139)), "", IF(N1139 &lt; Sheet3!$B$6, "Insufficient Reviews", IF(M1139 &gt;= Sheet3!$B$2, "Highly Reliable", IF(M1139 &gt;= Sheet3!$B$3, "Reliable", IF(M1139 &gt;= Sheet3!$B$4, "Mixed Reviews", "Low Reliability")))))</f>
        <v>Mixed Reviews</v>
      </c>
    </row>
    <row r="1140">
      <c r="A1140" s="3">
        <f t="shared" si="1"/>
        <v>1139</v>
      </c>
      <c r="B1140" s="9" t="s">
        <v>8673</v>
      </c>
      <c r="C1140" s="10">
        <v>39.2901208</v>
      </c>
      <c r="D1140" s="10">
        <v>-76.6148303</v>
      </c>
      <c r="E1140" s="9" t="s">
        <v>7062</v>
      </c>
      <c r="F1140" s="9" t="s">
        <v>8674</v>
      </c>
      <c r="G1140" s="9"/>
      <c r="H1140" s="9" t="s">
        <v>8675</v>
      </c>
      <c r="I1140" s="9" t="s">
        <v>180</v>
      </c>
      <c r="J1140" s="9" t="s">
        <v>8676</v>
      </c>
      <c r="K1140" s="12" t="s">
        <v>7066</v>
      </c>
      <c r="L1140" s="9" t="s">
        <v>8677</v>
      </c>
      <c r="M1140" s="9">
        <v>75.85010982</v>
      </c>
      <c r="N1140" s="10">
        <v>68.9762366</v>
      </c>
      <c r="O1140" s="10" t="s">
        <v>8678</v>
      </c>
      <c r="P1140" s="9">
        <v>9082026.0</v>
      </c>
      <c r="Q1140" s="7" t="str">
        <f>IF(OR(ISBLANK(M1140), ISBLANK(N1140)), "", IF(N1140 &lt; Sheet3!$B$6, "Insufficient Reviews", IF(M1140 &gt;= Sheet3!$B$2, "Highly Reliable", IF(M1140 &gt;= Sheet3!$B$3, "Reliable", IF(M1140 &gt;= Sheet3!$B$4, "Mixed Reviews", "Low Reliability")))))</f>
        <v>Reliable</v>
      </c>
    </row>
    <row r="1141">
      <c r="A1141" s="3">
        <f t="shared" si="1"/>
        <v>1140</v>
      </c>
      <c r="B1141" s="9" t="s">
        <v>8679</v>
      </c>
      <c r="C1141" s="10">
        <v>39.290898</v>
      </c>
      <c r="D1141" s="10">
        <v>-76.6111913</v>
      </c>
      <c r="E1141" s="9" t="s">
        <v>8680</v>
      </c>
      <c r="F1141" s="9" t="s">
        <v>8681</v>
      </c>
      <c r="G1141" s="9" t="s">
        <v>4186</v>
      </c>
      <c r="H1141" s="11"/>
      <c r="I1141" s="9" t="s">
        <v>27</v>
      </c>
      <c r="J1141" s="9" t="s">
        <v>8682</v>
      </c>
      <c r="K1141" s="9"/>
      <c r="L1141" s="9" t="s">
        <v>8683</v>
      </c>
      <c r="M1141" s="9">
        <v>55.63039647</v>
      </c>
      <c r="N1141" s="10">
        <v>55.35196843</v>
      </c>
      <c r="O1141" s="10" t="s">
        <v>8684</v>
      </c>
      <c r="P1141" s="9">
        <v>9082026.0</v>
      </c>
      <c r="Q1141" s="7" t="str">
        <f>IF(OR(ISBLANK(M1141), ISBLANK(N1141)), "", IF(N1141 &lt; Sheet3!$B$6, "Insufficient Reviews", IF(M1141 &gt;= Sheet3!$B$2, "Highly Reliable", IF(M1141 &gt;= Sheet3!$B$3, "Reliable", IF(M1141 &gt;= Sheet3!$B$4, "Mixed Reviews", "Low Reliability")))))</f>
        <v>Low Reliability</v>
      </c>
    </row>
    <row r="1142">
      <c r="A1142" s="3">
        <f t="shared" si="1"/>
        <v>1141</v>
      </c>
      <c r="B1142" s="9" t="s">
        <v>8685</v>
      </c>
      <c r="C1142" s="10">
        <v>39.2898818</v>
      </c>
      <c r="D1142" s="10">
        <v>-76.6128438</v>
      </c>
      <c r="E1142" s="9" t="s">
        <v>8686</v>
      </c>
      <c r="F1142" s="9" t="s">
        <v>8687</v>
      </c>
      <c r="G1142" s="9" t="s">
        <v>8688</v>
      </c>
      <c r="H1142" s="9" t="s">
        <v>8689</v>
      </c>
      <c r="I1142" s="9" t="s">
        <v>27</v>
      </c>
      <c r="J1142" s="9" t="s">
        <v>8690</v>
      </c>
      <c r="K1142" s="12" t="s">
        <v>8691</v>
      </c>
      <c r="L1142" s="9" t="s">
        <v>8692</v>
      </c>
      <c r="M1142" s="9">
        <v>71.52055266</v>
      </c>
      <c r="N1142" s="10">
        <v>82.52994734</v>
      </c>
      <c r="O1142" s="10" t="s">
        <v>8693</v>
      </c>
      <c r="P1142" s="9">
        <v>9082026.0</v>
      </c>
      <c r="Q1142" s="7" t="str">
        <f>IF(OR(ISBLANK(M1142), ISBLANK(N1142)), "", IF(N1142 &lt; Sheet3!$B$6, "Insufficient Reviews", IF(M1142 &gt;= Sheet3!$B$2, "Highly Reliable", IF(M1142 &gt;= Sheet3!$B$3, "Reliable", IF(M1142 &gt;= Sheet3!$B$4, "Mixed Reviews", "Low Reliability")))))</f>
        <v>Reliable</v>
      </c>
    </row>
    <row r="1143">
      <c r="A1143" s="3">
        <f t="shared" si="1"/>
        <v>1142</v>
      </c>
      <c r="B1143" s="9" t="s">
        <v>8694</v>
      </c>
      <c r="C1143" s="10">
        <v>39.294058</v>
      </c>
      <c r="D1143" s="10">
        <v>-76.6081411</v>
      </c>
      <c r="E1143" s="9" t="s">
        <v>8695</v>
      </c>
      <c r="F1143" s="9" t="s">
        <v>8696</v>
      </c>
      <c r="G1143" s="9"/>
      <c r="H1143" s="11"/>
      <c r="I1143" s="9" t="s">
        <v>35</v>
      </c>
      <c r="J1143" s="9" t="s">
        <v>8697</v>
      </c>
      <c r="K1143" s="12" t="s">
        <v>8698</v>
      </c>
      <c r="L1143" s="9" t="s">
        <v>8699</v>
      </c>
      <c r="M1143" s="9">
        <v>27.0</v>
      </c>
      <c r="N1143" s="10">
        <v>35.6627623</v>
      </c>
      <c r="O1143" s="10" t="s">
        <v>8700</v>
      </c>
      <c r="P1143" s="9">
        <v>9082026.0</v>
      </c>
      <c r="Q1143" s="7" t="str">
        <f>IF(OR(ISBLANK(M1143), ISBLANK(N1143)), "", IF(N1143 &lt; Sheet3!$B$6, "Insufficient Reviews", IF(M1143 &gt;= Sheet3!$B$2, "Highly Reliable", IF(M1143 &gt;= Sheet3!$B$3, "Reliable", IF(M1143 &gt;= Sheet3!$B$4, "Mixed Reviews", "Low Reliability")))))</f>
        <v>Insufficient Reviews</v>
      </c>
    </row>
    <row r="1144">
      <c r="A1144" s="3">
        <f t="shared" si="1"/>
        <v>1143</v>
      </c>
      <c r="B1144" s="9" t="s">
        <v>8701</v>
      </c>
      <c r="C1144" s="10">
        <v>39.3356579</v>
      </c>
      <c r="D1144" s="10">
        <v>-76.5483422</v>
      </c>
      <c r="E1144" s="9" t="s">
        <v>8702</v>
      </c>
      <c r="F1144" s="9" t="s">
        <v>8703</v>
      </c>
      <c r="G1144" s="9" t="s">
        <v>8704</v>
      </c>
      <c r="H1144" s="9" t="s">
        <v>53</v>
      </c>
      <c r="I1144" s="9" t="s">
        <v>35</v>
      </c>
      <c r="J1144" s="9" t="s">
        <v>8705</v>
      </c>
      <c r="K1144" s="12" t="s">
        <v>8706</v>
      </c>
      <c r="L1144" s="9" t="s">
        <v>8707</v>
      </c>
      <c r="M1144" s="9">
        <v>80.00977288</v>
      </c>
      <c r="N1144" s="10">
        <v>90.50921093</v>
      </c>
      <c r="O1144" s="10" t="s">
        <v>8708</v>
      </c>
      <c r="P1144" s="9">
        <v>9082026.0</v>
      </c>
      <c r="Q1144" s="7" t="str">
        <f>IF(OR(ISBLANK(M1144), ISBLANK(N1144)), "", IF(N1144 &lt; Sheet3!$B$6, "Insufficient Reviews", IF(M1144 &gt;= Sheet3!$B$2, "Highly Reliable", IF(M1144 &gt;= Sheet3!$B$3, "Reliable", IF(M1144 &gt;= Sheet3!$B$4, "Mixed Reviews", "Low Reliability")))))</f>
        <v>Reliable</v>
      </c>
    </row>
    <row r="1145">
      <c r="A1145" s="3">
        <f t="shared" si="1"/>
        <v>1144</v>
      </c>
      <c r="B1145" s="9" t="s">
        <v>8709</v>
      </c>
      <c r="C1145" s="10">
        <v>39.0825612</v>
      </c>
      <c r="D1145" s="10">
        <v>-77.1515804</v>
      </c>
      <c r="E1145" s="9" t="s">
        <v>8710</v>
      </c>
      <c r="F1145" s="9" t="s">
        <v>8711</v>
      </c>
      <c r="G1145" s="9" t="s">
        <v>8712</v>
      </c>
      <c r="H1145" s="9" t="s">
        <v>26</v>
      </c>
      <c r="I1145" s="9" t="s">
        <v>27</v>
      </c>
      <c r="J1145" s="9" t="s">
        <v>8713</v>
      </c>
      <c r="K1145" s="12" t="s">
        <v>8714</v>
      </c>
      <c r="L1145" s="9" t="s">
        <v>8715</v>
      </c>
      <c r="M1145" s="9">
        <v>52.59765302</v>
      </c>
      <c r="N1145" s="10">
        <v>68.16685153</v>
      </c>
      <c r="O1145" s="10" t="s">
        <v>8716</v>
      </c>
      <c r="P1145" s="9">
        <v>9082026.0</v>
      </c>
      <c r="Q1145" s="7" t="str">
        <f>IF(OR(ISBLANK(M1145), ISBLANK(N1145)), "", IF(N1145 &lt; Sheet3!$B$6, "Insufficient Reviews", IF(M1145 &gt;= Sheet3!$B$2, "Highly Reliable", IF(M1145 &gt;= Sheet3!$B$3, "Reliable", IF(M1145 &gt;= Sheet3!$B$4, "Mixed Reviews", "Low Reliability")))))</f>
        <v>Low Reliability</v>
      </c>
    </row>
    <row r="1146">
      <c r="A1146" s="3">
        <f t="shared" si="1"/>
        <v>1145</v>
      </c>
      <c r="B1146" s="9" t="s">
        <v>8717</v>
      </c>
      <c r="C1146" s="10">
        <v>38.9978363</v>
      </c>
      <c r="D1146" s="10">
        <v>-77.0009366</v>
      </c>
      <c r="E1146" s="9" t="s">
        <v>8718</v>
      </c>
      <c r="F1146" s="9" t="s">
        <v>8719</v>
      </c>
      <c r="G1146" s="9"/>
      <c r="H1146" s="9" t="s">
        <v>8720</v>
      </c>
      <c r="I1146" s="9" t="s">
        <v>35</v>
      </c>
      <c r="J1146" s="9" t="s">
        <v>8721</v>
      </c>
      <c r="K1146" s="12" t="s">
        <v>8722</v>
      </c>
      <c r="L1146" s="9" t="s">
        <v>8723</v>
      </c>
      <c r="M1146" s="9">
        <v>73.2</v>
      </c>
      <c r="N1146" s="10">
        <v>71.5</v>
      </c>
      <c r="O1146" s="10" t="s">
        <v>8149</v>
      </c>
      <c r="P1146" s="9">
        <v>9082026.0</v>
      </c>
      <c r="Q1146" s="7" t="str">
        <f>IF(OR(ISBLANK(M1146), ISBLANK(N1146)), "", IF(N1146 &lt; Sheet3!$B$6, "Insufficient Reviews", IF(M1146 &gt;= Sheet3!$B$2, "Highly Reliable", IF(M1146 &gt;= Sheet3!$B$3, "Reliable", IF(M1146 &gt;= Sheet3!$B$4, "Mixed Reviews", "Low Reliability")))))</f>
        <v>Reliable</v>
      </c>
    </row>
    <row r="1147">
      <c r="A1147" s="3">
        <f t="shared" si="1"/>
        <v>1146</v>
      </c>
      <c r="B1147" s="9" t="s">
        <v>8724</v>
      </c>
      <c r="C1147" s="10">
        <v>38.974165</v>
      </c>
      <c r="D1147" s="10">
        <v>-77.0139609</v>
      </c>
      <c r="E1147" s="9" t="s">
        <v>8725</v>
      </c>
      <c r="F1147" s="9" t="s">
        <v>8726</v>
      </c>
      <c r="G1147" s="11"/>
      <c r="H1147" s="9" t="s">
        <v>126</v>
      </c>
      <c r="I1147" s="9" t="s">
        <v>27</v>
      </c>
      <c r="J1147" s="9" t="s">
        <v>8727</v>
      </c>
      <c r="K1147" s="12" t="s">
        <v>8728</v>
      </c>
      <c r="L1147" s="9" t="s">
        <v>8729</v>
      </c>
      <c r="M1147" s="9">
        <v>77.14963964</v>
      </c>
      <c r="N1147" s="10">
        <v>61.36389817</v>
      </c>
      <c r="O1147" s="10" t="s">
        <v>8730</v>
      </c>
      <c r="P1147" s="9">
        <v>9082026.0</v>
      </c>
      <c r="Q1147" s="7" t="str">
        <f>IF(OR(ISBLANK(M1147), ISBLANK(N1147)), "", IF(N1147 &lt; Sheet3!$B$6, "Insufficient Reviews", IF(M1147 &gt;= Sheet3!$B$2, "Highly Reliable", IF(M1147 &gt;= Sheet3!$B$3, "Reliable", IF(M1147 &gt;= Sheet3!$B$4, "Mixed Reviews", "Low Reliability")))))</f>
        <v>Reliable</v>
      </c>
    </row>
    <row r="1148">
      <c r="A1148" s="3">
        <f t="shared" si="1"/>
        <v>1147</v>
      </c>
      <c r="B1148" s="9" t="s">
        <v>8731</v>
      </c>
      <c r="C1148" s="10">
        <v>38.984775</v>
      </c>
      <c r="D1148" s="10">
        <v>-77.0922</v>
      </c>
      <c r="E1148" s="9" t="s">
        <v>8732</v>
      </c>
      <c r="F1148" s="9" t="s">
        <v>8733</v>
      </c>
      <c r="G1148" s="9" t="s">
        <v>8734</v>
      </c>
      <c r="H1148" s="9" t="s">
        <v>90</v>
      </c>
      <c r="I1148" s="9" t="s">
        <v>27</v>
      </c>
      <c r="J1148" s="9" t="s">
        <v>8735</v>
      </c>
      <c r="K1148" s="12" t="s">
        <v>8736</v>
      </c>
      <c r="L1148" s="9" t="s">
        <v>8737</v>
      </c>
      <c r="M1148" s="9">
        <v>76.5</v>
      </c>
      <c r="N1148" s="10">
        <v>37.90283464</v>
      </c>
      <c r="O1148" s="10" t="s">
        <v>1351</v>
      </c>
      <c r="P1148" s="9">
        <v>9082026.0</v>
      </c>
      <c r="Q1148" s="7" t="str">
        <f>IF(OR(ISBLANK(M1148), ISBLANK(N1148)), "", IF(N1148 &lt; Sheet3!$B$6, "Insufficient Reviews", IF(M1148 &gt;= Sheet3!$B$2, "Highly Reliable", IF(M1148 &gt;= Sheet3!$B$3, "Reliable", IF(M1148 &gt;= Sheet3!$B$4, "Mixed Reviews", "Low Reliability")))))</f>
        <v>Insufficient Reviews</v>
      </c>
    </row>
    <row r="1149">
      <c r="A1149" s="3">
        <f t="shared" si="1"/>
        <v>1148</v>
      </c>
      <c r="B1149" s="9" t="s">
        <v>8738</v>
      </c>
      <c r="C1149" s="10">
        <v>38.9764706</v>
      </c>
      <c r="D1149" s="10">
        <v>-76.5205885</v>
      </c>
      <c r="E1149" s="9" t="s">
        <v>8739</v>
      </c>
      <c r="F1149" s="9" t="s">
        <v>8740</v>
      </c>
      <c r="G1149" s="11"/>
      <c r="H1149" s="9" t="s">
        <v>43</v>
      </c>
      <c r="I1149" s="9" t="s">
        <v>27</v>
      </c>
      <c r="J1149" s="9" t="s">
        <v>8741</v>
      </c>
      <c r="K1149" s="9"/>
      <c r="L1149" s="9" t="s">
        <v>8742</v>
      </c>
      <c r="M1149" s="9">
        <v>71.05711607</v>
      </c>
      <c r="N1149" s="10">
        <v>44.84237707</v>
      </c>
      <c r="O1149" s="10" t="s">
        <v>8743</v>
      </c>
      <c r="P1149" s="9">
        <v>9082026.0</v>
      </c>
      <c r="Q1149" s="7" t="str">
        <f>IF(OR(ISBLANK(M1149), ISBLANK(N1149)), "", IF(N1149 &lt; Sheet3!$B$6, "Insufficient Reviews", IF(M1149 &gt;= Sheet3!$B$2, "Highly Reliable", IF(M1149 &gt;= Sheet3!$B$3, "Reliable", IF(M1149 &gt;= Sheet3!$B$4, "Mixed Reviews", "Low Reliability")))))</f>
        <v>Reliable</v>
      </c>
    </row>
    <row r="1150">
      <c r="A1150" s="3">
        <f t="shared" si="1"/>
        <v>1149</v>
      </c>
      <c r="B1150" s="9" t="s">
        <v>8744</v>
      </c>
      <c r="C1150" s="10">
        <v>38.9005224</v>
      </c>
      <c r="D1150" s="10">
        <v>-77.0078606</v>
      </c>
      <c r="E1150" s="9" t="s">
        <v>8745</v>
      </c>
      <c r="F1150" s="9" t="s">
        <v>8746</v>
      </c>
      <c r="G1150" s="11"/>
      <c r="H1150" s="9" t="s">
        <v>126</v>
      </c>
      <c r="I1150" s="9" t="s">
        <v>81</v>
      </c>
      <c r="J1150" s="9" t="s">
        <v>8747</v>
      </c>
      <c r="K1150" s="12" t="s">
        <v>8748</v>
      </c>
      <c r="L1150" s="9" t="s">
        <v>8749</v>
      </c>
      <c r="M1150" s="9">
        <v>13.5</v>
      </c>
      <c r="N1150" s="10">
        <v>31.83333333</v>
      </c>
      <c r="O1150" s="10" t="s">
        <v>634</v>
      </c>
      <c r="P1150" s="9">
        <v>9082026.0</v>
      </c>
      <c r="Q1150" s="7" t="str">
        <f>IF(OR(ISBLANK(M1150), ISBLANK(N1150)), "", IF(N1150 &lt; Sheet3!$B$6, "Insufficient Reviews", IF(M1150 &gt;= Sheet3!$B$2, "Highly Reliable", IF(M1150 &gt;= Sheet3!$B$3, "Reliable", IF(M1150 &gt;= Sheet3!$B$4, "Mixed Reviews", "Low Reliability")))))</f>
        <v>Insufficient Reviews</v>
      </c>
    </row>
    <row r="1151">
      <c r="A1151" s="3">
        <f t="shared" si="1"/>
        <v>1150</v>
      </c>
      <c r="B1151" s="9" t="s">
        <v>8750</v>
      </c>
      <c r="C1151" s="10">
        <v>38.9021167</v>
      </c>
      <c r="D1151" s="10">
        <v>-77.0349798</v>
      </c>
      <c r="E1151" s="9" t="s">
        <v>8751</v>
      </c>
      <c r="F1151" s="9" t="s">
        <v>8752</v>
      </c>
      <c r="G1151" s="9" t="s">
        <v>8753</v>
      </c>
      <c r="H1151" s="9" t="s">
        <v>126</v>
      </c>
      <c r="I1151" s="9" t="s">
        <v>27</v>
      </c>
      <c r="J1151" s="9" t="s">
        <v>8754</v>
      </c>
      <c r="K1151" s="12" t="s">
        <v>8755</v>
      </c>
      <c r="L1151" s="9" t="s">
        <v>8756</v>
      </c>
      <c r="M1151" s="9">
        <v>60.08861715</v>
      </c>
      <c r="N1151" s="10">
        <v>53.31010719</v>
      </c>
      <c r="O1151" s="10" t="s">
        <v>8757</v>
      </c>
      <c r="P1151" s="9">
        <v>9082026.0</v>
      </c>
      <c r="Q1151" s="7" t="str">
        <f>IF(OR(ISBLANK(M1151), ISBLANK(N1151)), "", IF(N1151 &lt; Sheet3!$B$6, "Insufficient Reviews", IF(M1151 &gt;= Sheet3!$B$2, "Highly Reliable", IF(M1151 &gt;= Sheet3!$B$3, "Reliable", IF(M1151 &gt;= Sheet3!$B$4, "Mixed Reviews", "Low Reliability")))))</f>
        <v>Mixed Reviews</v>
      </c>
    </row>
    <row r="1152">
      <c r="A1152" s="3">
        <f t="shared" si="1"/>
        <v>1151</v>
      </c>
      <c r="B1152" s="9" t="s">
        <v>8758</v>
      </c>
      <c r="C1152" s="10">
        <v>38.9027889</v>
      </c>
      <c r="D1152" s="10">
        <v>-77.0376428</v>
      </c>
      <c r="E1152" s="9" t="s">
        <v>8759</v>
      </c>
      <c r="F1152" s="9" t="s">
        <v>8760</v>
      </c>
      <c r="G1152" s="9"/>
      <c r="H1152" s="11"/>
      <c r="I1152" s="9" t="s">
        <v>27</v>
      </c>
      <c r="J1152" s="9" t="s">
        <v>8761</v>
      </c>
      <c r="K1152" s="12" t="s">
        <v>8762</v>
      </c>
      <c r="L1152" s="9" t="s">
        <v>8763</v>
      </c>
      <c r="M1152" s="9">
        <v>67.83646634</v>
      </c>
      <c r="N1152" s="10">
        <v>50.07135526</v>
      </c>
      <c r="O1152" s="10" t="s">
        <v>8764</v>
      </c>
      <c r="P1152" s="9">
        <v>9082026.0</v>
      </c>
      <c r="Q1152" s="7" t="str">
        <f>IF(OR(ISBLANK(M1152), ISBLANK(N1152)), "", IF(N1152 &lt; Sheet3!$B$6, "Insufficient Reviews", IF(M1152 &gt;= Sheet3!$B$2, "Highly Reliable", IF(M1152 &gt;= Sheet3!$B$3, "Reliable", IF(M1152 &gt;= Sheet3!$B$4, "Mixed Reviews", "Low Reliability")))))</f>
        <v>Mixed Reviews</v>
      </c>
    </row>
    <row r="1153">
      <c r="A1153" s="3">
        <f t="shared" si="1"/>
        <v>1152</v>
      </c>
      <c r="B1153" s="9" t="s">
        <v>8765</v>
      </c>
      <c r="C1153" s="10">
        <v>38.8964861</v>
      </c>
      <c r="D1153" s="10">
        <v>-77.0305695</v>
      </c>
      <c r="E1153" s="9" t="s">
        <v>8766</v>
      </c>
      <c r="F1153" s="9" t="s">
        <v>8767</v>
      </c>
      <c r="G1153" s="9"/>
      <c r="H1153" s="9" t="s">
        <v>126</v>
      </c>
      <c r="I1153" s="9" t="s">
        <v>81</v>
      </c>
      <c r="J1153" s="9" t="s">
        <v>8768</v>
      </c>
      <c r="K1153" s="12" t="s">
        <v>8769</v>
      </c>
      <c r="L1153" s="9" t="s">
        <v>8770</v>
      </c>
      <c r="M1153" s="9">
        <v>77.94597233</v>
      </c>
      <c r="N1153" s="10">
        <v>56.57348368</v>
      </c>
      <c r="O1153" s="10" t="s">
        <v>8771</v>
      </c>
      <c r="P1153" s="9">
        <v>9082026.0</v>
      </c>
      <c r="Q1153" s="7" t="str">
        <f>IF(OR(ISBLANK(M1153), ISBLANK(N1153)), "", IF(N1153 &lt; Sheet3!$B$6, "Insufficient Reviews", IF(M1153 &gt;= Sheet3!$B$2, "Highly Reliable", IF(M1153 &gt;= Sheet3!$B$3, "Reliable", IF(M1153 &gt;= Sheet3!$B$4, "Mixed Reviews", "Low Reliability")))))</f>
        <v>Reliable</v>
      </c>
    </row>
    <row r="1154">
      <c r="A1154" s="3">
        <f t="shared" si="1"/>
        <v>1153</v>
      </c>
      <c r="B1154" s="9" t="s">
        <v>8772</v>
      </c>
      <c r="C1154" s="10">
        <v>38.8938426</v>
      </c>
      <c r="D1154" s="10">
        <v>-77.0249919</v>
      </c>
      <c r="E1154" s="9" t="s">
        <v>8773</v>
      </c>
      <c r="F1154" s="9" t="s">
        <v>8774</v>
      </c>
      <c r="G1154" s="11"/>
      <c r="H1154" s="9" t="s">
        <v>90</v>
      </c>
      <c r="I1154" s="9" t="s">
        <v>180</v>
      </c>
      <c r="J1154" s="9" t="s">
        <v>8775</v>
      </c>
      <c r="K1154" s="12" t="s">
        <v>8776</v>
      </c>
      <c r="L1154" s="9" t="s">
        <v>8777</v>
      </c>
      <c r="M1154" s="9">
        <v>46.80392336</v>
      </c>
      <c r="N1154" s="10">
        <v>48.32537787</v>
      </c>
      <c r="O1154" s="10" t="s">
        <v>8778</v>
      </c>
      <c r="P1154" s="9">
        <v>9082026.0</v>
      </c>
      <c r="Q1154" s="7" t="str">
        <f>IF(OR(ISBLANK(M1154), ISBLANK(N1154)), "", IF(N1154 &lt; Sheet3!$B$6, "Insufficient Reviews", IF(M1154 &gt;= Sheet3!$B$2, "Highly Reliable", IF(M1154 &gt;= Sheet3!$B$3, "Reliable", IF(M1154 &gt;= Sheet3!$B$4, "Mixed Reviews", "Low Reliability")))))</f>
        <v>Low Reliability</v>
      </c>
    </row>
    <row r="1155">
      <c r="A1155" s="3">
        <f t="shared" si="1"/>
        <v>1154</v>
      </c>
      <c r="B1155" s="9" t="s">
        <v>8779</v>
      </c>
      <c r="C1155" s="10">
        <v>38.8180012</v>
      </c>
      <c r="D1155" s="10">
        <v>-76.7569121</v>
      </c>
      <c r="E1155" s="9" t="s">
        <v>8780</v>
      </c>
      <c r="F1155" s="9" t="s">
        <v>8781</v>
      </c>
      <c r="G1155" s="9"/>
      <c r="H1155" s="11"/>
      <c r="I1155" s="9" t="s">
        <v>27</v>
      </c>
      <c r="J1155" s="9" t="s">
        <v>8782</v>
      </c>
      <c r="K1155" s="12" t="s">
        <v>8783</v>
      </c>
      <c r="L1155" s="9" t="s">
        <v>8784</v>
      </c>
      <c r="M1155" s="9">
        <v>61.49334098</v>
      </c>
      <c r="N1155" s="10">
        <v>75.39914264</v>
      </c>
      <c r="O1155" s="10" t="s">
        <v>8785</v>
      </c>
      <c r="P1155" s="9">
        <v>9082026.0</v>
      </c>
      <c r="Q1155" s="7" t="str">
        <f>IF(OR(ISBLANK(M1155), ISBLANK(N1155)), "", IF(N1155 &lt; Sheet3!$B$6, "Insufficient Reviews", IF(M1155 &gt;= Sheet3!$B$2, "Highly Reliable", IF(M1155 &gt;= Sheet3!$B$3, "Reliable", IF(M1155 &gt;= Sheet3!$B$4, "Mixed Reviews", "Low Reliability")))))</f>
        <v>Mixed Reviews</v>
      </c>
    </row>
    <row r="1156">
      <c r="A1156" s="3">
        <f t="shared" si="1"/>
        <v>1155</v>
      </c>
      <c r="B1156" s="9" t="s">
        <v>8786</v>
      </c>
      <c r="C1156" s="10">
        <v>39.642517</v>
      </c>
      <c r="D1156" s="10">
        <v>-77.722207</v>
      </c>
      <c r="E1156" s="9" t="s">
        <v>8787</v>
      </c>
      <c r="F1156" s="9" t="s">
        <v>8788</v>
      </c>
      <c r="G1156" s="9"/>
      <c r="H1156" s="9" t="s">
        <v>43</v>
      </c>
      <c r="I1156" s="9" t="s">
        <v>27</v>
      </c>
      <c r="J1156" s="9" t="s">
        <v>8789</v>
      </c>
      <c r="K1156" s="12" t="s">
        <v>8552</v>
      </c>
      <c r="L1156" s="9" t="s">
        <v>8790</v>
      </c>
      <c r="M1156" s="9">
        <v>61.11414548</v>
      </c>
      <c r="N1156" s="10">
        <v>60.93801938</v>
      </c>
      <c r="O1156" s="10" t="s">
        <v>8791</v>
      </c>
      <c r="P1156" s="9">
        <v>9082026.0</v>
      </c>
      <c r="Q1156" s="7" t="str">
        <f>IF(OR(ISBLANK(M1156), ISBLANK(N1156)), "", IF(N1156 &lt; Sheet3!$B$6, "Insufficient Reviews", IF(M1156 &gt;= Sheet3!$B$2, "Highly Reliable", IF(M1156 &gt;= Sheet3!$B$3, "Reliable", IF(M1156 &gt;= Sheet3!$B$4, "Mixed Reviews", "Low Reliability")))))</f>
        <v>Mixed Reviews</v>
      </c>
    </row>
    <row r="1157">
      <c r="A1157" s="3">
        <f t="shared" si="1"/>
        <v>1156</v>
      </c>
      <c r="B1157" s="9" t="s">
        <v>8792</v>
      </c>
      <c r="C1157" s="10">
        <v>39.6085122</v>
      </c>
      <c r="D1157" s="10">
        <v>-75.8269758</v>
      </c>
      <c r="E1157" s="9" t="s">
        <v>8793</v>
      </c>
      <c r="F1157" s="9" t="s">
        <v>8794</v>
      </c>
      <c r="G1157" s="9"/>
      <c r="H1157" s="9" t="s">
        <v>26</v>
      </c>
      <c r="I1157" s="9" t="s">
        <v>35</v>
      </c>
      <c r="J1157" s="9" t="s">
        <v>8795</v>
      </c>
      <c r="K1157" s="12" t="s">
        <v>8796</v>
      </c>
      <c r="L1157" s="9" t="s">
        <v>8797</v>
      </c>
      <c r="M1157" s="9">
        <v>80.96161257</v>
      </c>
      <c r="N1157" s="10">
        <v>46.83717068</v>
      </c>
      <c r="O1157" s="10" t="s">
        <v>8798</v>
      </c>
      <c r="P1157" s="9">
        <v>9082026.0</v>
      </c>
      <c r="Q1157" s="7" t="str">
        <f>IF(OR(ISBLANK(M1157), ISBLANK(N1157)), "", IF(N1157 &lt; Sheet3!$B$6, "Insufficient Reviews", IF(M1157 &gt;= Sheet3!$B$2, "Highly Reliable", IF(M1157 &gt;= Sheet3!$B$3, "Reliable", IF(M1157 &gt;= Sheet3!$B$4, "Mixed Reviews", "Low Reliability")))))</f>
        <v>Reliable</v>
      </c>
    </row>
    <row r="1158">
      <c r="A1158" s="3">
        <f t="shared" si="1"/>
        <v>1157</v>
      </c>
      <c r="B1158" s="9" t="s">
        <v>8799</v>
      </c>
      <c r="C1158" s="10">
        <v>38.7787337</v>
      </c>
      <c r="D1158" s="10">
        <v>-76.0828669</v>
      </c>
      <c r="E1158" s="9" t="s">
        <v>8800</v>
      </c>
      <c r="F1158" s="9" t="s">
        <v>8801</v>
      </c>
      <c r="G1158" s="9"/>
      <c r="H1158" s="11"/>
      <c r="I1158" s="9" t="s">
        <v>27</v>
      </c>
      <c r="J1158" s="9" t="s">
        <v>8802</v>
      </c>
      <c r="K1158" s="12" t="s">
        <v>8552</v>
      </c>
      <c r="L1158" s="9" t="s">
        <v>8803</v>
      </c>
      <c r="M1158" s="9">
        <v>15.0</v>
      </c>
      <c r="N1158" s="10">
        <v>31.83333333</v>
      </c>
      <c r="O1158" s="10" t="s">
        <v>634</v>
      </c>
      <c r="P1158" s="9">
        <v>9082026.0</v>
      </c>
      <c r="Q1158" s="7" t="str">
        <f>IF(OR(ISBLANK(M1158), ISBLANK(N1158)), "", IF(N1158 &lt; Sheet3!$B$6, "Insufficient Reviews", IF(M1158 &gt;= Sheet3!$B$2, "Highly Reliable", IF(M1158 &gt;= Sheet3!$B$3, "Reliable", IF(M1158 &gt;= Sheet3!$B$4, "Mixed Reviews", "Low Reliability")))))</f>
        <v>Insufficient Reviews</v>
      </c>
    </row>
    <row r="1159">
      <c r="A1159" s="3">
        <f t="shared" si="1"/>
        <v>1158</v>
      </c>
      <c r="B1159" s="9" t="s">
        <v>8804</v>
      </c>
      <c r="C1159" s="10">
        <v>38.885706</v>
      </c>
      <c r="D1159" s="10">
        <v>-75.8314639</v>
      </c>
      <c r="E1159" s="9" t="s">
        <v>8805</v>
      </c>
      <c r="F1159" s="9" t="s">
        <v>8806</v>
      </c>
      <c r="G1159" s="9" t="s">
        <v>8807</v>
      </c>
      <c r="H1159" s="9" t="s">
        <v>303</v>
      </c>
      <c r="I1159" s="9" t="s">
        <v>27</v>
      </c>
      <c r="J1159" s="9" t="s">
        <v>8808</v>
      </c>
      <c r="K1159" s="12" t="s">
        <v>8552</v>
      </c>
      <c r="L1159" s="9" t="s">
        <v>8809</v>
      </c>
      <c r="M1159" s="9">
        <v>72.49961339</v>
      </c>
      <c r="N1159" s="10">
        <v>56.96577816</v>
      </c>
      <c r="O1159" s="10" t="s">
        <v>8810</v>
      </c>
      <c r="P1159" s="9">
        <v>9082026.0</v>
      </c>
      <c r="Q1159" s="7" t="str">
        <f>IF(OR(ISBLANK(M1159), ISBLANK(N1159)), "", IF(N1159 &lt; Sheet3!$B$6, "Insufficient Reviews", IF(M1159 &gt;= Sheet3!$B$2, "Highly Reliable", IF(M1159 &gt;= Sheet3!$B$3, "Reliable", IF(M1159 &gt;= Sheet3!$B$4, "Mixed Reviews", "Low Reliability")))))</f>
        <v>Reliable</v>
      </c>
    </row>
    <row r="1160">
      <c r="A1160" s="3">
        <f t="shared" si="1"/>
        <v>1159</v>
      </c>
      <c r="B1160" s="9" t="s">
        <v>8811</v>
      </c>
      <c r="C1160" s="10">
        <v>38.5703393</v>
      </c>
      <c r="D1160" s="10">
        <v>-76.0761612</v>
      </c>
      <c r="E1160" s="9" t="s">
        <v>8812</v>
      </c>
      <c r="F1160" s="9" t="s">
        <v>8813</v>
      </c>
      <c r="G1160" s="11"/>
      <c r="H1160" s="9" t="s">
        <v>26</v>
      </c>
      <c r="I1160" s="9" t="s">
        <v>27</v>
      </c>
      <c r="J1160" s="9" t="s">
        <v>8814</v>
      </c>
      <c r="K1160" s="12" t="s">
        <v>8815</v>
      </c>
      <c r="L1160" s="9" t="s">
        <v>8816</v>
      </c>
      <c r="M1160" s="9">
        <v>69.35304926</v>
      </c>
      <c r="N1160" s="10">
        <v>59.00799489</v>
      </c>
      <c r="O1160" s="10" t="s">
        <v>8817</v>
      </c>
      <c r="P1160" s="9">
        <v>9082026.0</v>
      </c>
      <c r="Q1160" s="7" t="str">
        <f>IF(OR(ISBLANK(M1160), ISBLANK(N1160)), "", IF(N1160 &lt; Sheet3!$B$6, "Insufficient Reviews", IF(M1160 &gt;= Sheet3!$B$2, "Highly Reliable", IF(M1160 &gt;= Sheet3!$B$3, "Reliable", IF(M1160 &gt;= Sheet3!$B$4, "Mixed Reviews", "Low Reliability")))))</f>
        <v>Mixed Reviews</v>
      </c>
    </row>
    <row r="1161">
      <c r="A1161" s="3">
        <f t="shared" si="1"/>
        <v>1160</v>
      </c>
      <c r="B1161" s="9" t="s">
        <v>8818</v>
      </c>
      <c r="C1161" s="10">
        <v>38.3029279</v>
      </c>
      <c r="D1161" s="10">
        <v>-76.6294411</v>
      </c>
      <c r="E1161" s="9" t="s">
        <v>8819</v>
      </c>
      <c r="F1161" s="9" t="s">
        <v>8813</v>
      </c>
      <c r="G1161" s="11"/>
      <c r="H1161" s="9" t="s">
        <v>26</v>
      </c>
      <c r="I1161" s="9" t="s">
        <v>27</v>
      </c>
      <c r="J1161" s="9" t="s">
        <v>8820</v>
      </c>
      <c r="K1161" s="12" t="s">
        <v>8821</v>
      </c>
      <c r="L1161" s="9" t="s">
        <v>8822</v>
      </c>
      <c r="M1161" s="9">
        <v>31.03349132</v>
      </c>
      <c r="N1161" s="10">
        <v>47.79182885</v>
      </c>
      <c r="O1161" s="10" t="s">
        <v>8823</v>
      </c>
      <c r="P1161" s="9">
        <v>9082026.0</v>
      </c>
      <c r="Q1161" s="7" t="str">
        <f>IF(OR(ISBLANK(M1161), ISBLANK(N1161)), "", IF(N1161 &lt; Sheet3!$B$6, "Insufficient Reviews", IF(M1161 &gt;= Sheet3!$B$2, "Highly Reliable", IF(M1161 &gt;= Sheet3!$B$3, "Reliable", IF(M1161 &gt;= Sheet3!$B$4, "Mixed Reviews", "Low Reliability")))))</f>
        <v>Low Reliability</v>
      </c>
    </row>
    <row r="1162">
      <c r="A1162" s="3">
        <f t="shared" si="1"/>
        <v>1161</v>
      </c>
      <c r="B1162" s="9" t="s">
        <v>8824</v>
      </c>
      <c r="C1162" s="10">
        <v>38.3666522</v>
      </c>
      <c r="D1162" s="10">
        <v>-75.5975826</v>
      </c>
      <c r="E1162" s="9" t="s">
        <v>8825</v>
      </c>
      <c r="F1162" s="9" t="s">
        <v>8813</v>
      </c>
      <c r="G1162" s="11"/>
      <c r="H1162" s="11"/>
      <c r="I1162" s="9" t="s">
        <v>27</v>
      </c>
      <c r="J1162" s="9" t="s">
        <v>8826</v>
      </c>
      <c r="K1162" s="12" t="s">
        <v>8552</v>
      </c>
      <c r="L1162" s="9" t="s">
        <v>8827</v>
      </c>
      <c r="M1162" s="9">
        <v>46.1654792</v>
      </c>
      <c r="N1162" s="10">
        <v>51.0142834</v>
      </c>
      <c r="O1162" s="10" t="s">
        <v>8828</v>
      </c>
      <c r="P1162" s="9">
        <v>9082026.0</v>
      </c>
      <c r="Q1162" s="7" t="str">
        <f>IF(OR(ISBLANK(M1162), ISBLANK(N1162)), "", IF(N1162 &lt; Sheet3!$B$6, "Insufficient Reviews", IF(M1162 &gt;= Sheet3!$B$2, "Highly Reliable", IF(M1162 &gt;= Sheet3!$B$3, "Reliable", IF(M1162 &gt;= Sheet3!$B$4, "Mixed Reviews", "Low Reliability")))))</f>
        <v>Low Reliability</v>
      </c>
    </row>
    <row r="1163">
      <c r="A1163" s="3">
        <f t="shared" si="1"/>
        <v>1162</v>
      </c>
      <c r="B1163" s="9" t="s">
        <v>8829</v>
      </c>
      <c r="C1163" s="10">
        <v>39.651776</v>
      </c>
      <c r="D1163" s="10">
        <v>-78.7634966</v>
      </c>
      <c r="E1163" s="9" t="s">
        <v>8830</v>
      </c>
      <c r="F1163" s="9" t="s">
        <v>8711</v>
      </c>
      <c r="G1163" s="9"/>
      <c r="H1163" s="9" t="s">
        <v>26</v>
      </c>
      <c r="I1163" s="9" t="s">
        <v>27</v>
      </c>
      <c r="J1163" s="9" t="s">
        <v>8831</v>
      </c>
      <c r="K1163" s="12" t="s">
        <v>8832</v>
      </c>
      <c r="L1163" s="9" t="s">
        <v>8833</v>
      </c>
      <c r="M1163" s="9">
        <v>53.4292279</v>
      </c>
      <c r="N1163" s="10">
        <v>50.01049309</v>
      </c>
      <c r="O1163" s="10" t="s">
        <v>8834</v>
      </c>
      <c r="P1163" s="9">
        <v>9082026.0</v>
      </c>
      <c r="Q1163" s="7" t="str">
        <f>IF(OR(ISBLANK(M1163), ISBLANK(N1163)), "", IF(N1163 &lt; Sheet3!$B$6, "Insufficient Reviews", IF(M1163 &gt;= Sheet3!$B$2, "Highly Reliable", IF(M1163 &gt;= Sheet3!$B$3, "Reliable", IF(M1163 &gt;= Sheet3!$B$4, "Mixed Reviews", "Low Reliability")))))</f>
        <v>Low Reliability</v>
      </c>
    </row>
    <row r="1164">
      <c r="A1164" s="3">
        <f t="shared" si="1"/>
        <v>1163</v>
      </c>
      <c r="B1164" s="9" t="s">
        <v>8835</v>
      </c>
      <c r="C1164" s="10">
        <v>38.2047675</v>
      </c>
      <c r="D1164" s="10">
        <v>-75.6933733</v>
      </c>
      <c r="E1164" s="9" t="s">
        <v>8836</v>
      </c>
      <c r="F1164" s="9" t="s">
        <v>8813</v>
      </c>
      <c r="G1164" s="11"/>
      <c r="H1164" s="11"/>
      <c r="I1164" s="9" t="s">
        <v>27</v>
      </c>
      <c r="J1164" s="9" t="s">
        <v>8837</v>
      </c>
      <c r="K1164" s="12" t="s">
        <v>8838</v>
      </c>
      <c r="L1164" s="9" t="s">
        <v>8839</v>
      </c>
      <c r="M1164" s="9">
        <v>39.0</v>
      </c>
      <c r="N1164" s="10">
        <v>35.6627623</v>
      </c>
      <c r="O1164" s="10" t="s">
        <v>6212</v>
      </c>
      <c r="P1164" s="9">
        <v>9082026.0</v>
      </c>
      <c r="Q1164" s="7" t="str">
        <f>IF(OR(ISBLANK(M1164), ISBLANK(N1164)), "", IF(N1164 &lt; Sheet3!$B$6, "Insufficient Reviews", IF(M1164 &gt;= Sheet3!$B$2, "Highly Reliable", IF(M1164 &gt;= Sheet3!$B$3, "Reliable", IF(M1164 &gt;= Sheet3!$B$4, "Mixed Reviews", "Low Reliability")))))</f>
        <v>Insufficient Reviews</v>
      </c>
    </row>
    <row r="1165">
      <c r="A1165" s="3">
        <f t="shared" si="1"/>
        <v>1164</v>
      </c>
      <c r="B1165" s="9" t="s">
        <v>8840</v>
      </c>
      <c r="C1165" s="10">
        <v>38.1775515</v>
      </c>
      <c r="D1165" s="10">
        <v>-75.3935501</v>
      </c>
      <c r="E1165" s="9" t="s">
        <v>8841</v>
      </c>
      <c r="F1165" s="9" t="s">
        <v>8842</v>
      </c>
      <c r="G1165" s="9"/>
      <c r="H1165" s="9" t="s">
        <v>43</v>
      </c>
      <c r="I1165" s="9" t="s">
        <v>27</v>
      </c>
      <c r="J1165" s="9" t="s">
        <v>8843</v>
      </c>
      <c r="K1165" s="9"/>
      <c r="L1165" s="9" t="s">
        <v>8844</v>
      </c>
      <c r="M1165" s="9">
        <v>50.28641556</v>
      </c>
      <c r="N1165" s="10">
        <v>37.08312839</v>
      </c>
      <c r="O1165" s="10" t="s">
        <v>8845</v>
      </c>
      <c r="P1165" s="9">
        <v>9082026.0</v>
      </c>
      <c r="Q1165" s="7" t="str">
        <f>IF(OR(ISBLANK(M1165), ISBLANK(N1165)), "", IF(N1165 &lt; Sheet3!$B$6, "Insufficient Reviews", IF(M1165 &gt;= Sheet3!$B$2, "Highly Reliable", IF(M1165 &gt;= Sheet3!$B$3, "Reliable", IF(M1165 &gt;= Sheet3!$B$4, "Mixed Reviews", "Low Reliability")))))</f>
        <v>Insufficient Reviews</v>
      </c>
    </row>
    <row r="1166">
      <c r="A1166" s="3">
        <f t="shared" si="1"/>
        <v>1165</v>
      </c>
      <c r="B1166" s="9" t="s">
        <v>8846</v>
      </c>
      <c r="C1166" s="10">
        <v>39.4188197</v>
      </c>
      <c r="D1166" s="10">
        <v>-79.4013629</v>
      </c>
      <c r="E1166" s="9" t="s">
        <v>8847</v>
      </c>
      <c r="F1166" s="9" t="s">
        <v>8813</v>
      </c>
      <c r="G1166" s="11"/>
      <c r="H1166" s="9" t="s">
        <v>303</v>
      </c>
      <c r="I1166" s="9" t="s">
        <v>27</v>
      </c>
      <c r="J1166" s="9" t="s">
        <v>8848</v>
      </c>
      <c r="K1166" s="9"/>
      <c r="L1166" s="9" t="s">
        <v>8849</v>
      </c>
      <c r="M1166" s="9">
        <v>59.32664053</v>
      </c>
      <c r="N1166" s="10">
        <v>37.89236634</v>
      </c>
      <c r="O1166" s="10" t="s">
        <v>8850</v>
      </c>
      <c r="P1166" s="9">
        <v>9082026.0</v>
      </c>
      <c r="Q1166" s="7" t="str">
        <f>IF(OR(ISBLANK(M1166), ISBLANK(N1166)), "", IF(N1166 &lt; Sheet3!$B$6, "Insufficient Reviews", IF(M1166 &gt;= Sheet3!$B$2, "Highly Reliable", IF(M1166 &gt;= Sheet3!$B$3, "Reliable", IF(M1166 &gt;= Sheet3!$B$4, "Mixed Reviews", "Low Reliability")))))</f>
        <v>Insufficient Reviews</v>
      </c>
    </row>
    <row r="1167">
      <c r="A1167" s="3">
        <f t="shared" si="1"/>
        <v>1166</v>
      </c>
      <c r="B1167" s="9" t="s">
        <v>8851</v>
      </c>
      <c r="C1167" s="10">
        <v>37.852463</v>
      </c>
      <c r="D1167" s="10">
        <v>-122.269299</v>
      </c>
      <c r="E1167" s="9" t="s">
        <v>8852</v>
      </c>
      <c r="F1167" s="9" t="s">
        <v>8853</v>
      </c>
      <c r="G1167" s="9"/>
      <c r="H1167" s="9" t="s">
        <v>126</v>
      </c>
      <c r="I1167" s="9" t="s">
        <v>27</v>
      </c>
      <c r="J1167" s="9" t="s">
        <v>8854</v>
      </c>
      <c r="K1167" s="12" t="s">
        <v>8855</v>
      </c>
      <c r="L1167" s="9" t="s">
        <v>8856</v>
      </c>
      <c r="M1167" s="9">
        <v>65.72577801</v>
      </c>
      <c r="N1167" s="10">
        <v>61.87631407</v>
      </c>
      <c r="O1167" s="10" t="s">
        <v>8857</v>
      </c>
      <c r="P1167" s="9">
        <v>9082026.0</v>
      </c>
      <c r="Q1167" s="7" t="str">
        <f>IF(OR(ISBLANK(M1167), ISBLANK(N1167)), "", IF(N1167 &lt; Sheet3!$B$6, "Insufficient Reviews", IF(M1167 &gt;= Sheet3!$B$2, "Highly Reliable", IF(M1167 &gt;= Sheet3!$B$3, "Reliable", IF(M1167 &gt;= Sheet3!$B$4, "Mixed Reviews", "Low Reliability")))))</f>
        <v>Mixed Reviews</v>
      </c>
    </row>
    <row r="1168">
      <c r="A1168" s="3">
        <f t="shared" si="1"/>
        <v>1167</v>
      </c>
      <c r="B1168" s="9" t="s">
        <v>8858</v>
      </c>
      <c r="C1168" s="10">
        <v>39.4233435</v>
      </c>
      <c r="D1168" s="10">
        <v>-76.5190692</v>
      </c>
      <c r="E1168" s="9" t="s">
        <v>8859</v>
      </c>
      <c r="F1168" s="9" t="s">
        <v>8860</v>
      </c>
      <c r="G1168" s="9"/>
      <c r="H1168" s="9" t="s">
        <v>8861</v>
      </c>
      <c r="I1168" s="9" t="s">
        <v>27</v>
      </c>
      <c r="J1168" s="9" t="s">
        <v>8862</v>
      </c>
      <c r="K1168" s="12" t="s">
        <v>8863</v>
      </c>
      <c r="L1168" s="9" t="s">
        <v>8864</v>
      </c>
      <c r="M1168" s="9">
        <v>20.5</v>
      </c>
      <c r="N1168" s="10">
        <v>31.83333333</v>
      </c>
      <c r="O1168" s="10" t="s">
        <v>5852</v>
      </c>
      <c r="P1168" s="9">
        <v>9082026.0</v>
      </c>
      <c r="Q1168" s="7" t="str">
        <f>IF(OR(ISBLANK(M1168), ISBLANK(N1168)), "", IF(N1168 &lt; Sheet3!$B$6, "Insufficient Reviews", IF(M1168 &gt;= Sheet3!$B$2, "Highly Reliable", IF(M1168 &gt;= Sheet3!$B$3, "Reliable", IF(M1168 &gt;= Sheet3!$B$4, "Mixed Reviews", "Low Reliability")))))</f>
        <v>Insufficient Reviews</v>
      </c>
    </row>
    <row r="1169">
      <c r="A1169" s="3">
        <f t="shared" si="1"/>
        <v>1168</v>
      </c>
      <c r="B1169" s="9" t="s">
        <v>8865</v>
      </c>
      <c r="C1169" s="10">
        <v>39.3527725</v>
      </c>
      <c r="D1169" s="10">
        <v>-76.6692367</v>
      </c>
      <c r="E1169" s="9" t="s">
        <v>8866</v>
      </c>
      <c r="F1169" s="9" t="s">
        <v>8867</v>
      </c>
      <c r="G1169" s="11"/>
      <c r="H1169" s="11"/>
      <c r="I1169" s="9" t="s">
        <v>180</v>
      </c>
      <c r="J1169" s="9" t="s">
        <v>8868</v>
      </c>
      <c r="K1169" s="12" t="s">
        <v>8869</v>
      </c>
      <c r="L1169" s="9" t="s">
        <v>8870</v>
      </c>
      <c r="M1169" s="9">
        <v>68.36178772</v>
      </c>
      <c r="N1169" s="10">
        <v>79.60613209</v>
      </c>
      <c r="O1169" s="10" t="s">
        <v>8871</v>
      </c>
      <c r="P1169" s="9">
        <v>9082026.0</v>
      </c>
      <c r="Q1169" s="7" t="str">
        <f>IF(OR(ISBLANK(M1169), ISBLANK(N1169)), "", IF(N1169 &lt; Sheet3!$B$6, "Insufficient Reviews", IF(M1169 &gt;= Sheet3!$B$2, "Highly Reliable", IF(M1169 &gt;= Sheet3!$B$3, "Reliable", IF(M1169 &gt;= Sheet3!$B$4, "Mixed Reviews", "Low Reliability")))))</f>
        <v>Mixed Reviews</v>
      </c>
    </row>
    <row r="1170">
      <c r="A1170" s="3">
        <f t="shared" si="1"/>
        <v>1169</v>
      </c>
      <c r="B1170" s="9" t="s">
        <v>8872</v>
      </c>
      <c r="C1170" s="10">
        <v>39.3187343</v>
      </c>
      <c r="D1170" s="10">
        <v>-76.6169136</v>
      </c>
      <c r="E1170" s="9" t="s">
        <v>8873</v>
      </c>
      <c r="F1170" s="9" t="s">
        <v>8874</v>
      </c>
      <c r="G1170" s="9"/>
      <c r="H1170" s="9" t="s">
        <v>8875</v>
      </c>
      <c r="I1170" s="9" t="s">
        <v>180</v>
      </c>
      <c r="J1170" s="9" t="s">
        <v>8876</v>
      </c>
      <c r="K1170" s="12" t="s">
        <v>8877</v>
      </c>
      <c r="L1170" s="9" t="s">
        <v>8878</v>
      </c>
      <c r="M1170" s="10">
        <v>71.03060954</v>
      </c>
      <c r="N1170" s="10">
        <v>68.56387119</v>
      </c>
      <c r="O1170" s="9" t="s">
        <v>8879</v>
      </c>
      <c r="P1170" s="9">
        <v>9082026.0</v>
      </c>
      <c r="Q1170" s="7" t="str">
        <f>IF(OR(ISBLANK(M1170), ISBLANK(N1170)), "", IF(N1170 &lt; Sheet3!$B$6, "Insufficient Reviews", IF(M1170 &gt;= Sheet3!$B$2, "Highly Reliable", IF(M1170 &gt;= Sheet3!$B$3, "Reliable", IF(M1170 &gt;= Sheet3!$B$4, "Mixed Reviews", "Low Reliability")))))</f>
        <v>Reliable</v>
      </c>
    </row>
    <row r="1171">
      <c r="A1171" s="3">
        <f t="shared" si="1"/>
        <v>1170</v>
      </c>
      <c r="B1171" s="9" t="s">
        <v>8880</v>
      </c>
      <c r="C1171" s="10">
        <v>39.2287948</v>
      </c>
      <c r="D1171" s="10">
        <v>-76.8238972</v>
      </c>
      <c r="E1171" s="9" t="s">
        <v>8881</v>
      </c>
      <c r="F1171" s="9" t="s">
        <v>8882</v>
      </c>
      <c r="G1171" s="9"/>
      <c r="H1171" s="9" t="s">
        <v>135</v>
      </c>
      <c r="I1171" s="9" t="s">
        <v>44</v>
      </c>
      <c r="J1171" s="9" t="s">
        <v>8883</v>
      </c>
      <c r="K1171" s="12" t="s">
        <v>8884</v>
      </c>
      <c r="L1171" s="9" t="s">
        <v>8885</v>
      </c>
      <c r="M1171" s="9">
        <v>62.70798284</v>
      </c>
      <c r="N1171" s="10">
        <v>69.79389653</v>
      </c>
      <c r="O1171" s="10" t="s">
        <v>8886</v>
      </c>
      <c r="P1171" s="9">
        <v>9082026.0</v>
      </c>
      <c r="Q1171" s="7" t="str">
        <f>IF(OR(ISBLANK(M1171), ISBLANK(N1171)), "", IF(N1171 &lt; Sheet3!$B$6, "Insufficient Reviews", IF(M1171 &gt;= Sheet3!$B$2, "Highly Reliable", IF(M1171 &gt;= Sheet3!$B$3, "Reliable", IF(M1171 &gt;= Sheet3!$B$4, "Mixed Reviews", "Low Reliability")))))</f>
        <v>Mixed Reviews</v>
      </c>
    </row>
    <row r="1172">
      <c r="A1172" s="3">
        <f t="shared" si="1"/>
        <v>1171</v>
      </c>
      <c r="B1172" s="9" t="s">
        <v>8887</v>
      </c>
      <c r="C1172" s="10">
        <v>39.312545</v>
      </c>
      <c r="D1172" s="10">
        <v>-76.5987845</v>
      </c>
      <c r="E1172" s="9" t="s">
        <v>5238</v>
      </c>
      <c r="F1172" s="9" t="s">
        <v>8888</v>
      </c>
      <c r="G1172" s="11"/>
      <c r="H1172" s="11"/>
      <c r="I1172" s="9" t="s">
        <v>180</v>
      </c>
      <c r="J1172" s="9" t="s">
        <v>8889</v>
      </c>
      <c r="K1172" s="12" t="s">
        <v>5241</v>
      </c>
      <c r="L1172" s="9" t="s">
        <v>8890</v>
      </c>
      <c r="M1172" s="9">
        <v>56.7</v>
      </c>
      <c r="N1172" s="10">
        <v>43.76169257</v>
      </c>
      <c r="O1172" s="10" t="s">
        <v>8891</v>
      </c>
      <c r="P1172" s="9">
        <v>9082026.0</v>
      </c>
      <c r="Q1172" s="7" t="str">
        <f>IF(OR(ISBLANK(M1172), ISBLANK(N1172)), "", IF(N1172 &lt; Sheet3!$B$6, "Insufficient Reviews", IF(M1172 &gt;= Sheet3!$B$2, "Highly Reliable", IF(M1172 &gt;= Sheet3!$B$3, "Reliable", IF(M1172 &gt;= Sheet3!$B$4, "Mixed Reviews", "Low Reliability")))))</f>
        <v>Low Reliability</v>
      </c>
    </row>
    <row r="1173">
      <c r="A1173" s="3">
        <f t="shared" si="1"/>
        <v>1172</v>
      </c>
      <c r="B1173" s="9" t="s">
        <v>8892</v>
      </c>
      <c r="C1173" s="10">
        <v>39.0224367</v>
      </c>
      <c r="D1173" s="10">
        <v>-77.1367879</v>
      </c>
      <c r="E1173" s="9" t="s">
        <v>8893</v>
      </c>
      <c r="F1173" s="9" t="s">
        <v>8894</v>
      </c>
      <c r="G1173" s="9" t="s">
        <v>8895</v>
      </c>
      <c r="H1173" s="9"/>
      <c r="I1173" s="9" t="s">
        <v>35</v>
      </c>
      <c r="J1173" s="9" t="s">
        <v>8896</v>
      </c>
      <c r="K1173" s="12" t="s">
        <v>8897</v>
      </c>
      <c r="L1173" s="9" t="s">
        <v>8898</v>
      </c>
      <c r="M1173" s="10">
        <v>16.5</v>
      </c>
      <c r="N1173" s="10">
        <v>53.5</v>
      </c>
      <c r="O1173" s="9" t="s">
        <v>4794</v>
      </c>
      <c r="P1173" s="9">
        <v>9082026.0</v>
      </c>
      <c r="Q1173" s="7" t="str">
        <f>IF(OR(ISBLANK(M1173), ISBLANK(N1173)), "", IF(N1173 &lt; Sheet3!$B$6, "Insufficient Reviews", IF(M1173 &gt;= Sheet3!$B$2, "Highly Reliable", IF(M1173 &gt;= Sheet3!$B$3, "Reliable", IF(M1173 &gt;= Sheet3!$B$4, "Mixed Reviews", "Low Reliability")))))</f>
        <v>Low Reliability</v>
      </c>
    </row>
    <row r="1174">
      <c r="A1174" s="3">
        <f t="shared" si="1"/>
        <v>1173</v>
      </c>
      <c r="B1174" s="9" t="s">
        <v>8899</v>
      </c>
      <c r="C1174" s="10">
        <v>38.9034555</v>
      </c>
      <c r="D1174" s="10">
        <v>-77.0291189</v>
      </c>
      <c r="E1174" s="9" t="s">
        <v>8900</v>
      </c>
      <c r="F1174" s="9" t="s">
        <v>8901</v>
      </c>
      <c r="G1174" s="9"/>
      <c r="H1174" s="9" t="s">
        <v>303</v>
      </c>
      <c r="I1174" s="9" t="s">
        <v>180</v>
      </c>
      <c r="J1174" s="9" t="s">
        <v>8902</v>
      </c>
      <c r="K1174" s="12" t="s">
        <v>8903</v>
      </c>
      <c r="L1174" s="9" t="s">
        <v>8904</v>
      </c>
      <c r="M1174" s="9">
        <v>59.52979968</v>
      </c>
      <c r="N1174" s="10">
        <v>55.07938065</v>
      </c>
      <c r="O1174" s="10" t="s">
        <v>8905</v>
      </c>
      <c r="P1174" s="9">
        <v>9082026.0</v>
      </c>
      <c r="Q1174" s="7" t="str">
        <f>IF(OR(ISBLANK(M1174), ISBLANK(N1174)), "", IF(N1174 &lt; Sheet3!$B$6, "Insufficient Reviews", IF(M1174 &gt;= Sheet3!$B$2, "Highly Reliable", IF(M1174 &gt;= Sheet3!$B$3, "Reliable", IF(M1174 &gt;= Sheet3!$B$4, "Mixed Reviews", "Low Reliability")))))</f>
        <v>Low Reliability</v>
      </c>
    </row>
    <row r="1175">
      <c r="A1175" s="3">
        <f t="shared" si="1"/>
        <v>1174</v>
      </c>
      <c r="B1175" s="9" t="s">
        <v>5282</v>
      </c>
      <c r="C1175" s="10">
        <v>39.2570075</v>
      </c>
      <c r="D1175" s="10">
        <v>-76.5210952</v>
      </c>
      <c r="E1175" s="9" t="s">
        <v>5283</v>
      </c>
      <c r="F1175" s="9" t="s">
        <v>5284</v>
      </c>
      <c r="G1175" s="11"/>
      <c r="H1175" s="11"/>
      <c r="I1175" s="9" t="s">
        <v>180</v>
      </c>
      <c r="J1175" s="9" t="s">
        <v>8906</v>
      </c>
      <c r="K1175" s="12" t="s">
        <v>5287</v>
      </c>
      <c r="L1175" s="9" t="s">
        <v>8907</v>
      </c>
      <c r="M1175" s="9">
        <v>64.243553</v>
      </c>
      <c r="N1175" s="10">
        <v>62.57065545</v>
      </c>
      <c r="O1175" s="10" t="s">
        <v>8908</v>
      </c>
      <c r="P1175" s="9">
        <v>9082026.0</v>
      </c>
      <c r="Q1175" s="7" t="str">
        <f>IF(OR(ISBLANK(M1175), ISBLANK(N1175)), "", IF(N1175 &lt; Sheet3!$B$6, "Insufficient Reviews", IF(M1175 &gt;= Sheet3!$B$2, "Highly Reliable", IF(M1175 &gt;= Sheet3!$B$3, "Reliable", IF(M1175 &gt;= Sheet3!$B$4, "Mixed Reviews", "Low Reliability")))))</f>
        <v>Mixed Reviews</v>
      </c>
    </row>
    <row r="1176">
      <c r="A1176" s="3">
        <f t="shared" si="1"/>
        <v>1175</v>
      </c>
      <c r="B1176" s="9" t="s">
        <v>8909</v>
      </c>
      <c r="C1176" s="10">
        <v>32.8616486</v>
      </c>
      <c r="D1176" s="10">
        <v>-79.7863421</v>
      </c>
      <c r="E1176" s="9" t="s">
        <v>8910</v>
      </c>
      <c r="F1176" s="9" t="s">
        <v>8911</v>
      </c>
      <c r="G1176" s="11"/>
      <c r="H1176" s="9" t="s">
        <v>126</v>
      </c>
      <c r="I1176" s="9" t="s">
        <v>180</v>
      </c>
      <c r="J1176" s="9" t="s">
        <v>8912</v>
      </c>
      <c r="K1176" s="12" t="s">
        <v>8913</v>
      </c>
      <c r="L1176" s="9" t="s">
        <v>8914</v>
      </c>
      <c r="M1176" s="10">
        <v>83.35547276</v>
      </c>
      <c r="N1176" s="10">
        <v>56.53958607</v>
      </c>
      <c r="O1176" s="9" t="s">
        <v>8915</v>
      </c>
      <c r="P1176" s="9">
        <v>9082026.0</v>
      </c>
      <c r="Q1176" s="7" t="str">
        <f>IF(OR(ISBLANK(M1176), ISBLANK(N1176)), "", IF(N1176 &lt; Sheet3!$B$6, "Insufficient Reviews", IF(M1176 &gt;= Sheet3!$B$2, "Highly Reliable", IF(M1176 &gt;= Sheet3!$B$3, "Reliable", IF(M1176 &gt;= Sheet3!$B$4, "Mixed Reviews", "Low Reliability")))))</f>
        <v>Highly Reliable</v>
      </c>
    </row>
    <row r="1177">
      <c r="A1177" s="3">
        <f t="shared" si="1"/>
        <v>1176</v>
      </c>
      <c r="B1177" s="9" t="s">
        <v>2530</v>
      </c>
      <c r="C1177" s="10">
        <v>39.362028</v>
      </c>
      <c r="D1177" s="10">
        <v>-76.78885</v>
      </c>
      <c r="E1177" s="9" t="s">
        <v>8916</v>
      </c>
      <c r="F1177" s="9" t="s">
        <v>8917</v>
      </c>
      <c r="G1177" s="9" t="s">
        <v>8918</v>
      </c>
      <c r="H1177" s="11"/>
      <c r="I1177" s="9" t="s">
        <v>91</v>
      </c>
      <c r="J1177" s="9" t="s">
        <v>8919</v>
      </c>
      <c r="K1177" s="12" t="s">
        <v>2853</v>
      </c>
      <c r="L1177" s="9" t="s">
        <v>8920</v>
      </c>
      <c r="M1177" s="9">
        <v>46.5</v>
      </c>
      <c r="N1177" s="10">
        <v>36.16283464</v>
      </c>
      <c r="O1177" s="10" t="s">
        <v>8921</v>
      </c>
      <c r="P1177" s="9">
        <v>9082026.0</v>
      </c>
      <c r="Q1177" s="7" t="str">
        <f>IF(OR(ISBLANK(M1177), ISBLANK(N1177)), "", IF(N1177 &lt; Sheet3!$B$6, "Insufficient Reviews", IF(M1177 &gt;= Sheet3!$B$2, "Highly Reliable", IF(M1177 &gt;= Sheet3!$B$3, "Reliable", IF(M1177 &gt;= Sheet3!$B$4, "Mixed Reviews", "Low Reliability")))))</f>
        <v>Insufficient Reviews</v>
      </c>
    </row>
    <row r="1178">
      <c r="A1178" s="3">
        <f t="shared" si="1"/>
        <v>1177</v>
      </c>
      <c r="B1178" s="9" t="s">
        <v>8922</v>
      </c>
      <c r="C1178" s="10">
        <v>39.3460807</v>
      </c>
      <c r="D1178" s="10">
        <v>-76.7380599</v>
      </c>
      <c r="E1178" s="9" t="s">
        <v>8923</v>
      </c>
      <c r="F1178" s="9" t="s">
        <v>8924</v>
      </c>
      <c r="G1178" s="11"/>
      <c r="H1178" s="9" t="s">
        <v>8925</v>
      </c>
      <c r="I1178" s="9" t="s">
        <v>91</v>
      </c>
      <c r="J1178" s="9" t="s">
        <v>8926</v>
      </c>
      <c r="K1178" s="12" t="s">
        <v>8927</v>
      </c>
      <c r="L1178" s="9" t="s">
        <v>8928</v>
      </c>
      <c r="M1178" s="9">
        <v>67.10852192</v>
      </c>
      <c r="N1178" s="10">
        <v>69.1935791</v>
      </c>
      <c r="O1178" s="10" t="s">
        <v>8929</v>
      </c>
      <c r="P1178" s="9">
        <v>9082026.0</v>
      </c>
      <c r="Q1178" s="7" t="str">
        <f>IF(OR(ISBLANK(M1178), ISBLANK(N1178)), "", IF(N1178 &lt; Sheet3!$B$6, "Insufficient Reviews", IF(M1178 &gt;= Sheet3!$B$2, "Highly Reliable", IF(M1178 &gt;= Sheet3!$B$3, "Reliable", IF(M1178 &gt;= Sheet3!$B$4, "Mixed Reviews", "Low Reliability")))))</f>
        <v>Mixed Reviews</v>
      </c>
    </row>
    <row r="1179">
      <c r="A1179" s="3">
        <f t="shared" si="1"/>
        <v>1178</v>
      </c>
      <c r="B1179" s="9" t="s">
        <v>8930</v>
      </c>
      <c r="C1179" s="10">
        <v>38.9837404</v>
      </c>
      <c r="D1179" s="10">
        <v>-77.0912864</v>
      </c>
      <c r="E1179" s="9" t="s">
        <v>8931</v>
      </c>
      <c r="F1179" s="9" t="s">
        <v>8932</v>
      </c>
      <c r="G1179" s="9"/>
      <c r="H1179" s="9" t="s">
        <v>126</v>
      </c>
      <c r="I1179" s="9" t="s">
        <v>27</v>
      </c>
      <c r="J1179" s="9" t="s">
        <v>8933</v>
      </c>
      <c r="K1179" s="12" t="s">
        <v>8934</v>
      </c>
      <c r="L1179" s="9" t="s">
        <v>8935</v>
      </c>
      <c r="M1179" s="10">
        <v>58.8</v>
      </c>
      <c r="N1179" s="10">
        <v>47.15104919</v>
      </c>
      <c r="O1179" s="9" t="s">
        <v>8936</v>
      </c>
      <c r="P1179" s="9">
        <v>9082026.0</v>
      </c>
      <c r="Q1179" s="7" t="str">
        <f>IF(OR(ISBLANK(M1179), ISBLANK(N1179)), "", IF(N1179 &lt; Sheet3!$B$6, "Insufficient Reviews", IF(M1179 &gt;= Sheet3!$B$2, "Highly Reliable", IF(M1179 &gt;= Sheet3!$B$3, "Reliable", IF(M1179 &gt;= Sheet3!$B$4, "Mixed Reviews", "Low Reliability")))))</f>
        <v>Low Reliability</v>
      </c>
    </row>
    <row r="1180">
      <c r="A1180" s="3">
        <f t="shared" si="1"/>
        <v>1179</v>
      </c>
      <c r="B1180" s="9" t="s">
        <v>8937</v>
      </c>
      <c r="C1180" s="10">
        <v>39.3204387</v>
      </c>
      <c r="D1180" s="10">
        <v>-76.6211133</v>
      </c>
      <c r="E1180" s="9" t="s">
        <v>8938</v>
      </c>
      <c r="F1180" s="9" t="s">
        <v>8939</v>
      </c>
      <c r="G1180" s="9" t="s">
        <v>8940</v>
      </c>
      <c r="H1180" s="9" t="s">
        <v>8941</v>
      </c>
      <c r="I1180" s="9" t="s">
        <v>91</v>
      </c>
      <c r="J1180" s="9" t="s">
        <v>8942</v>
      </c>
      <c r="K1180" s="12" t="s">
        <v>8943</v>
      </c>
      <c r="L1180" s="9" t="s">
        <v>8944</v>
      </c>
      <c r="M1180" s="9">
        <v>66.26320605</v>
      </c>
      <c r="N1180" s="10">
        <v>68.72222527</v>
      </c>
      <c r="O1180" s="10" t="s">
        <v>8945</v>
      </c>
      <c r="P1180" s="9">
        <v>9082026.0</v>
      </c>
      <c r="Q1180" s="7" t="str">
        <f>IF(OR(ISBLANK(M1180), ISBLANK(N1180)), "", IF(N1180 &lt; Sheet3!$B$6, "Insufficient Reviews", IF(M1180 &gt;= Sheet3!$B$2, "Highly Reliable", IF(M1180 &gt;= Sheet3!$B$3, "Reliable", IF(M1180 &gt;= Sheet3!$B$4, "Mixed Reviews", "Low Reliability")))))</f>
        <v>Mixed Reviews</v>
      </c>
    </row>
    <row r="1181">
      <c r="A1181" s="3">
        <f t="shared" si="1"/>
        <v>1180</v>
      </c>
      <c r="B1181" s="9" t="s">
        <v>8946</v>
      </c>
      <c r="C1181" s="10">
        <v>39.2878088</v>
      </c>
      <c r="D1181" s="10">
        <v>-76.621884</v>
      </c>
      <c r="E1181" s="9" t="s">
        <v>8947</v>
      </c>
      <c r="F1181" s="9" t="s">
        <v>8948</v>
      </c>
      <c r="G1181" s="9" t="s">
        <v>8949</v>
      </c>
      <c r="H1181" s="9" t="s">
        <v>8950</v>
      </c>
      <c r="I1181" s="9" t="s">
        <v>91</v>
      </c>
      <c r="J1181" s="9" t="s">
        <v>8951</v>
      </c>
      <c r="K1181" s="12" t="s">
        <v>8952</v>
      </c>
      <c r="L1181" s="9" t="s">
        <v>8953</v>
      </c>
      <c r="M1181" s="9">
        <v>68.13357514</v>
      </c>
      <c r="N1181" s="10">
        <v>91.5811351</v>
      </c>
      <c r="O1181" s="10" t="s">
        <v>8954</v>
      </c>
      <c r="P1181" s="9">
        <v>9082026.0</v>
      </c>
      <c r="Q1181" s="7" t="str">
        <f>IF(OR(ISBLANK(M1181), ISBLANK(N1181)), "", IF(N1181 &lt; Sheet3!$B$6, "Insufficient Reviews", IF(M1181 &gt;= Sheet3!$B$2, "Highly Reliable", IF(M1181 &gt;= Sheet3!$B$3, "Reliable", IF(M1181 &gt;= Sheet3!$B$4, "Mixed Reviews", "Low Reliability")))))</f>
        <v>Mixed Reviews</v>
      </c>
    </row>
    <row r="1182">
      <c r="A1182" s="3">
        <f t="shared" si="1"/>
        <v>1181</v>
      </c>
      <c r="B1182" s="9" t="s">
        <v>8955</v>
      </c>
      <c r="C1182" s="10">
        <v>39.1850067</v>
      </c>
      <c r="D1182" s="10">
        <v>-76.8260424</v>
      </c>
      <c r="E1182" s="9" t="s">
        <v>8956</v>
      </c>
      <c r="F1182" s="9" t="s">
        <v>8957</v>
      </c>
      <c r="G1182" s="9"/>
      <c r="H1182" s="9" t="s">
        <v>3437</v>
      </c>
      <c r="I1182" s="9" t="s">
        <v>27</v>
      </c>
      <c r="J1182" s="9" t="s">
        <v>8958</v>
      </c>
      <c r="K1182" s="12" t="s">
        <v>8959</v>
      </c>
      <c r="L1182" s="9" t="s">
        <v>8960</v>
      </c>
      <c r="M1182" s="10">
        <v>57.92202132</v>
      </c>
      <c r="N1182" s="10">
        <v>82.53824141</v>
      </c>
      <c r="O1182" s="9" t="s">
        <v>8961</v>
      </c>
      <c r="P1182" s="9">
        <v>9082026.0</v>
      </c>
      <c r="Q1182" s="7" t="str">
        <f>IF(OR(ISBLANK(M1182), ISBLANK(N1182)), "", IF(N1182 &lt; Sheet3!$B$6, "Insufficient Reviews", IF(M1182 &gt;= Sheet3!$B$2, "Highly Reliable", IF(M1182 &gt;= Sheet3!$B$3, "Reliable", IF(M1182 &gt;= Sheet3!$B$4, "Mixed Reviews", "Low Reliability")))))</f>
        <v>Low Reliability</v>
      </c>
    </row>
    <row r="1183">
      <c r="A1183" s="3">
        <f t="shared" si="1"/>
        <v>1182</v>
      </c>
      <c r="B1183" s="9" t="s">
        <v>8962</v>
      </c>
      <c r="C1183" s="10">
        <v>39.275222</v>
      </c>
      <c r="D1183" s="10">
        <v>-76.568762</v>
      </c>
      <c r="E1183" s="9" t="s">
        <v>8963</v>
      </c>
      <c r="F1183" s="9" t="s">
        <v>8964</v>
      </c>
      <c r="G1183" s="9" t="s">
        <v>6562</v>
      </c>
      <c r="H1183" s="9" t="s">
        <v>8965</v>
      </c>
      <c r="I1183" s="9" t="s">
        <v>91</v>
      </c>
      <c r="J1183" s="9" t="s">
        <v>8966</v>
      </c>
      <c r="K1183" s="12" t="s">
        <v>8967</v>
      </c>
      <c r="L1183" s="9" t="s">
        <v>8968</v>
      </c>
      <c r="M1183" s="9">
        <v>57.09250722</v>
      </c>
      <c r="N1183" s="10">
        <v>70.19998198</v>
      </c>
      <c r="O1183" s="10" t="s">
        <v>8969</v>
      </c>
      <c r="P1183" s="9">
        <v>9082026.0</v>
      </c>
      <c r="Q1183" s="7" t="str">
        <f>IF(OR(ISBLANK(M1183), ISBLANK(N1183)), "", IF(N1183 &lt; Sheet3!$B$6, "Insufficient Reviews", IF(M1183 &gt;= Sheet3!$B$2, "Highly Reliable", IF(M1183 &gt;= Sheet3!$B$3, "Reliable", IF(M1183 &gt;= Sheet3!$B$4, "Mixed Reviews", "Low Reliability")))))</f>
        <v>Low Reliability</v>
      </c>
    </row>
    <row r="1184">
      <c r="A1184" s="3">
        <f t="shared" si="1"/>
        <v>1183</v>
      </c>
      <c r="B1184" s="9" t="s">
        <v>8970</v>
      </c>
      <c r="C1184" s="10">
        <v>39.1519916</v>
      </c>
      <c r="D1184" s="10">
        <v>-76.9026753</v>
      </c>
      <c r="E1184" s="9" t="s">
        <v>8971</v>
      </c>
      <c r="F1184" s="9" t="s">
        <v>8972</v>
      </c>
      <c r="G1184" s="9"/>
      <c r="H1184" s="9" t="s">
        <v>8973</v>
      </c>
      <c r="I1184" s="9" t="s">
        <v>91</v>
      </c>
      <c r="J1184" s="9" t="s">
        <v>8974</v>
      </c>
      <c r="K1184" s="12" t="s">
        <v>8975</v>
      </c>
      <c r="L1184" s="9" t="s">
        <v>8976</v>
      </c>
      <c r="M1184" s="9">
        <v>66.44051943</v>
      </c>
      <c r="N1184" s="10">
        <v>69.44632536</v>
      </c>
      <c r="O1184" s="10" t="s">
        <v>8977</v>
      </c>
      <c r="P1184" s="9">
        <v>9082026.0</v>
      </c>
      <c r="Q1184" s="7" t="str">
        <f>IF(OR(ISBLANK(M1184), ISBLANK(N1184)), "", IF(N1184 &lt; Sheet3!$B$6, "Insufficient Reviews", IF(M1184 &gt;= Sheet3!$B$2, "Highly Reliable", IF(M1184 &gt;= Sheet3!$B$3, "Reliable", IF(M1184 &gt;= Sheet3!$B$4, "Mixed Reviews", "Low Reliability")))))</f>
        <v>Mixed Reviews</v>
      </c>
    </row>
    <row r="1185">
      <c r="A1185" s="3">
        <f t="shared" si="1"/>
        <v>1184</v>
      </c>
      <c r="B1185" s="9" t="s">
        <v>8978</v>
      </c>
      <c r="C1185" s="10">
        <v>39.0640068</v>
      </c>
      <c r="D1185" s="10">
        <v>-77.1601791</v>
      </c>
      <c r="E1185" s="9" t="s">
        <v>8979</v>
      </c>
      <c r="F1185" s="9" t="s">
        <v>8980</v>
      </c>
      <c r="G1185" s="9"/>
      <c r="H1185" s="9" t="s">
        <v>8981</v>
      </c>
      <c r="I1185" s="9" t="s">
        <v>91</v>
      </c>
      <c r="J1185" s="9" t="s">
        <v>8982</v>
      </c>
      <c r="K1185" s="12" t="s">
        <v>8983</v>
      </c>
      <c r="L1185" s="9" t="s">
        <v>8984</v>
      </c>
      <c r="M1185" s="9">
        <v>68.09520756</v>
      </c>
      <c r="N1185" s="10">
        <v>70.51962747</v>
      </c>
      <c r="O1185" s="10" t="s">
        <v>8985</v>
      </c>
      <c r="P1185" s="9">
        <v>9082026.0</v>
      </c>
      <c r="Q1185" s="7" t="str">
        <f>IF(OR(ISBLANK(M1185), ISBLANK(N1185)), "", IF(N1185 &lt; Sheet3!$B$6, "Insufficient Reviews", IF(M1185 &gt;= Sheet3!$B$2, "Highly Reliable", IF(M1185 &gt;= Sheet3!$B$3, "Reliable", IF(M1185 &gt;= Sheet3!$B$4, "Mixed Reviews", "Low Reliability")))))</f>
        <v>Mixed Reviews</v>
      </c>
    </row>
    <row r="1186">
      <c r="A1186" s="3">
        <f t="shared" si="1"/>
        <v>1185</v>
      </c>
      <c r="B1186" s="9" t="s">
        <v>8986</v>
      </c>
      <c r="C1186" s="10">
        <v>39.0246137</v>
      </c>
      <c r="D1186" s="10">
        <v>-77.1332362</v>
      </c>
      <c r="E1186" s="9" t="s">
        <v>8987</v>
      </c>
      <c r="F1186" s="9" t="s">
        <v>8988</v>
      </c>
      <c r="G1186" s="9"/>
      <c r="H1186" s="9"/>
      <c r="I1186" s="9" t="s">
        <v>91</v>
      </c>
      <c r="J1186" s="9" t="s">
        <v>8989</v>
      </c>
      <c r="K1186" s="12" t="s">
        <v>8990</v>
      </c>
      <c r="L1186" s="9" t="s">
        <v>8991</v>
      </c>
      <c r="M1186" s="9">
        <v>70.5</v>
      </c>
      <c r="N1186" s="10">
        <v>35.6627623</v>
      </c>
      <c r="O1186" s="10" t="s">
        <v>6212</v>
      </c>
      <c r="P1186" s="9">
        <v>9082026.0</v>
      </c>
      <c r="Q1186" s="7" t="str">
        <f>IF(OR(ISBLANK(M1186), ISBLANK(N1186)), "", IF(N1186 &lt; Sheet3!$B$6, "Insufficient Reviews", IF(M1186 &gt;= Sheet3!$B$2, "Highly Reliable", IF(M1186 &gt;= Sheet3!$B$3, "Reliable", IF(M1186 &gt;= Sheet3!$B$4, "Mixed Reviews", "Low Reliability")))))</f>
        <v>Insufficient Reviews</v>
      </c>
    </row>
    <row r="1187">
      <c r="A1187" s="3">
        <f t="shared" si="1"/>
        <v>1186</v>
      </c>
      <c r="B1187" s="9" t="s">
        <v>8992</v>
      </c>
      <c r="C1187" s="10">
        <v>38.9095573</v>
      </c>
      <c r="D1187" s="10">
        <v>-76.8388671</v>
      </c>
      <c r="E1187" s="9" t="s">
        <v>8993</v>
      </c>
      <c r="F1187" s="9" t="s">
        <v>8994</v>
      </c>
      <c r="G1187" s="9" t="s">
        <v>8995</v>
      </c>
      <c r="H1187" s="9" t="s">
        <v>126</v>
      </c>
      <c r="I1187" s="9" t="s">
        <v>91</v>
      </c>
      <c r="J1187" s="9" t="s">
        <v>8996</v>
      </c>
      <c r="K1187" s="12" t="s">
        <v>8997</v>
      </c>
      <c r="L1187" s="9" t="s">
        <v>8998</v>
      </c>
      <c r="M1187" s="9">
        <v>80.59002978</v>
      </c>
      <c r="N1187" s="10">
        <v>75.22855176</v>
      </c>
      <c r="O1187" s="10" t="s">
        <v>8999</v>
      </c>
      <c r="P1187" s="9">
        <v>9082026.0</v>
      </c>
      <c r="Q1187" s="7" t="str">
        <f>IF(OR(ISBLANK(M1187), ISBLANK(N1187)), "", IF(N1187 &lt; Sheet3!$B$6, "Insufficient Reviews", IF(M1187 &gt;= Sheet3!$B$2, "Highly Reliable", IF(M1187 &gt;= Sheet3!$B$3, "Reliable", IF(M1187 &gt;= Sheet3!$B$4, "Mixed Reviews", "Low Reliability")))))</f>
        <v>Reliable</v>
      </c>
    </row>
    <row r="1188">
      <c r="A1188" s="3">
        <f t="shared" si="1"/>
        <v>1187</v>
      </c>
      <c r="B1188" s="9" t="s">
        <v>9000</v>
      </c>
      <c r="C1188" s="10">
        <v>38.743388</v>
      </c>
      <c r="D1188" s="10">
        <v>-76.994919</v>
      </c>
      <c r="E1188" s="9" t="s">
        <v>9001</v>
      </c>
      <c r="F1188" s="9" t="s">
        <v>9002</v>
      </c>
      <c r="G1188" s="9" t="s">
        <v>9003</v>
      </c>
      <c r="H1188" s="9" t="s">
        <v>9004</v>
      </c>
      <c r="I1188" s="9" t="s">
        <v>44</v>
      </c>
      <c r="J1188" s="9" t="s">
        <v>9005</v>
      </c>
      <c r="K1188" s="12" t="s">
        <v>9006</v>
      </c>
      <c r="L1188" s="9" t="s">
        <v>9007</v>
      </c>
      <c r="M1188" s="9">
        <v>46.83865926</v>
      </c>
      <c r="N1188" s="10">
        <v>52.7419536</v>
      </c>
      <c r="O1188" s="10" t="s">
        <v>9008</v>
      </c>
      <c r="P1188" s="9">
        <v>9082026.0</v>
      </c>
      <c r="Q1188" s="7" t="str">
        <f>IF(OR(ISBLANK(M1188), ISBLANK(N1188)), "", IF(N1188 &lt; Sheet3!$B$6, "Insufficient Reviews", IF(M1188 &gt;= Sheet3!$B$2, "Highly Reliable", IF(M1188 &gt;= Sheet3!$B$3, "Reliable", IF(M1188 &gt;= Sheet3!$B$4, "Mixed Reviews", "Low Reliability")))))</f>
        <v>Low Reliability</v>
      </c>
    </row>
    <row r="1189">
      <c r="A1189" s="3">
        <f t="shared" si="1"/>
        <v>1188</v>
      </c>
      <c r="B1189" s="9" t="s">
        <v>9009</v>
      </c>
      <c r="C1189" s="10">
        <v>39.6089168</v>
      </c>
      <c r="D1189" s="10">
        <v>-75.8323319</v>
      </c>
      <c r="E1189" s="9" t="s">
        <v>9010</v>
      </c>
      <c r="F1189" s="9" t="s">
        <v>9011</v>
      </c>
      <c r="G1189" s="9"/>
      <c r="H1189" s="9" t="s">
        <v>135</v>
      </c>
      <c r="I1189" s="9" t="s">
        <v>91</v>
      </c>
      <c r="J1189" s="9" t="s">
        <v>9012</v>
      </c>
      <c r="K1189" s="12" t="s">
        <v>9013</v>
      </c>
      <c r="L1189" s="9" t="s">
        <v>9014</v>
      </c>
      <c r="M1189" s="9">
        <v>60.72110543</v>
      </c>
      <c r="N1189" s="10">
        <v>69.99396322</v>
      </c>
      <c r="O1189" s="10" t="s">
        <v>9015</v>
      </c>
      <c r="P1189" s="9">
        <v>9082026.0</v>
      </c>
      <c r="Q1189" s="7" t="str">
        <f>IF(OR(ISBLANK(M1189), ISBLANK(N1189)), "", IF(N1189 &lt; Sheet3!$B$6, "Insufficient Reviews", IF(M1189 &gt;= Sheet3!$B$2, "Highly Reliable", IF(M1189 &gt;= Sheet3!$B$3, "Reliable", IF(M1189 &gt;= Sheet3!$B$4, "Mixed Reviews", "Low Reliability")))))</f>
        <v>Mixed Reviews</v>
      </c>
    </row>
    <row r="1190">
      <c r="A1190" s="3">
        <f t="shared" si="1"/>
        <v>1189</v>
      </c>
      <c r="B1190" s="9" t="s">
        <v>9016</v>
      </c>
      <c r="C1190" s="10">
        <v>39.700863</v>
      </c>
      <c r="D1190" s="10">
        <v>-78.182712</v>
      </c>
      <c r="E1190" s="9" t="s">
        <v>9017</v>
      </c>
      <c r="F1190" s="9" t="s">
        <v>9018</v>
      </c>
      <c r="G1190" s="9" t="s">
        <v>9019</v>
      </c>
      <c r="H1190" s="9" t="s">
        <v>9020</v>
      </c>
      <c r="I1190" s="9" t="s">
        <v>91</v>
      </c>
      <c r="J1190" s="9" t="s">
        <v>9021</v>
      </c>
      <c r="K1190" s="12" t="s">
        <v>9022</v>
      </c>
      <c r="L1190" s="9" t="s">
        <v>9023</v>
      </c>
      <c r="M1190" s="9">
        <v>51.71115622</v>
      </c>
      <c r="N1190" s="10">
        <v>51.92833452</v>
      </c>
      <c r="O1190" s="10" t="s">
        <v>9024</v>
      </c>
      <c r="P1190" s="9">
        <v>9082026.0</v>
      </c>
      <c r="Q1190" s="7" t="str">
        <f>IF(OR(ISBLANK(M1190), ISBLANK(N1190)), "", IF(N1190 &lt; Sheet3!$B$6, "Insufficient Reviews", IF(M1190 &gt;= Sheet3!$B$2, "Highly Reliable", IF(M1190 &gt;= Sheet3!$B$3, "Reliable", IF(M1190 &gt;= Sheet3!$B$4, "Mixed Reviews", "Low Reliability")))))</f>
        <v>Low Reliability</v>
      </c>
    </row>
    <row r="1191">
      <c r="A1191" s="3">
        <f t="shared" si="1"/>
        <v>1190</v>
      </c>
      <c r="B1191" s="9" t="s">
        <v>9025</v>
      </c>
      <c r="C1191" s="10">
        <v>39.6485655</v>
      </c>
      <c r="D1191" s="10">
        <v>-78.7334575</v>
      </c>
      <c r="E1191" s="9" t="s">
        <v>9026</v>
      </c>
      <c r="F1191" s="9" t="s">
        <v>9027</v>
      </c>
      <c r="G1191" s="9" t="s">
        <v>9028</v>
      </c>
      <c r="H1191" s="9" t="s">
        <v>4574</v>
      </c>
      <c r="I1191" s="9" t="s">
        <v>91</v>
      </c>
      <c r="J1191" s="9" t="s">
        <v>9029</v>
      </c>
      <c r="K1191" s="12" t="s">
        <v>9030</v>
      </c>
      <c r="L1191" s="9" t="s">
        <v>9031</v>
      </c>
      <c r="M1191" s="9">
        <v>65.61029268</v>
      </c>
      <c r="N1191" s="10">
        <v>65.13852613</v>
      </c>
      <c r="O1191" s="10" t="s">
        <v>9032</v>
      </c>
      <c r="P1191" s="9">
        <v>9082026.0</v>
      </c>
      <c r="Q1191" s="7" t="str">
        <f>IF(OR(ISBLANK(M1191), ISBLANK(N1191)), "", IF(N1191 &lt; Sheet3!$B$6, "Insufficient Reviews", IF(M1191 &gt;= Sheet3!$B$2, "Highly Reliable", IF(M1191 &gt;= Sheet3!$B$3, "Reliable", IF(M1191 &gt;= Sheet3!$B$4, "Mixed Reviews", "Low Reliability")))))</f>
        <v>Mixed Reviews</v>
      </c>
    </row>
    <row r="1192">
      <c r="A1192" s="3">
        <f t="shared" si="1"/>
        <v>1191</v>
      </c>
      <c r="B1192" s="9" t="s">
        <v>9033</v>
      </c>
      <c r="C1192" s="10">
        <v>39.6445801</v>
      </c>
      <c r="D1192" s="10">
        <v>-78.7795104</v>
      </c>
      <c r="E1192" s="9" t="s">
        <v>9034</v>
      </c>
      <c r="F1192" s="9" t="s">
        <v>9035</v>
      </c>
      <c r="G1192" s="9" t="s">
        <v>9036</v>
      </c>
      <c r="H1192" s="9" t="s">
        <v>9020</v>
      </c>
      <c r="I1192" s="9" t="s">
        <v>91</v>
      </c>
      <c r="J1192" s="9" t="s">
        <v>9037</v>
      </c>
      <c r="K1192" s="12" t="s">
        <v>9022</v>
      </c>
      <c r="L1192" s="9" t="s">
        <v>9038</v>
      </c>
      <c r="M1192" s="9">
        <v>54.06769093</v>
      </c>
      <c r="N1192" s="10">
        <v>72.08736004</v>
      </c>
      <c r="O1192" s="10" t="s">
        <v>9039</v>
      </c>
      <c r="P1192" s="9">
        <v>9082026.0</v>
      </c>
      <c r="Q1192" s="7" t="str">
        <f>IF(OR(ISBLANK(M1192), ISBLANK(N1192)), "", IF(N1192 &lt; Sheet3!$B$6, "Insufficient Reviews", IF(M1192 &gt;= Sheet3!$B$2, "Highly Reliable", IF(M1192 &gt;= Sheet3!$B$3, "Reliable", IF(M1192 &gt;= Sheet3!$B$4, "Mixed Reviews", "Low Reliability")))))</f>
        <v>Low Reliability</v>
      </c>
    </row>
    <row r="1193">
      <c r="A1193" s="3">
        <f t="shared" si="1"/>
        <v>1192</v>
      </c>
      <c r="B1193" s="9" t="s">
        <v>9040</v>
      </c>
      <c r="C1193" s="10">
        <v>39.4180721</v>
      </c>
      <c r="D1193" s="10">
        <v>-76.6146477</v>
      </c>
      <c r="E1193" s="9" t="s">
        <v>9041</v>
      </c>
      <c r="F1193" s="9" t="s">
        <v>9042</v>
      </c>
      <c r="G1193" s="9"/>
      <c r="H1193" s="11"/>
      <c r="I1193" s="9" t="s">
        <v>44</v>
      </c>
      <c r="J1193" s="9" t="s">
        <v>9043</v>
      </c>
      <c r="K1193" s="12" t="s">
        <v>9044</v>
      </c>
      <c r="L1193" s="9" t="s">
        <v>9045</v>
      </c>
      <c r="M1193" s="9">
        <v>66.9</v>
      </c>
      <c r="N1193" s="10">
        <v>64.25056625</v>
      </c>
      <c r="O1193" s="10" t="s">
        <v>9046</v>
      </c>
      <c r="P1193" s="9">
        <v>9082026.0</v>
      </c>
      <c r="Q1193" s="7" t="str">
        <f>IF(OR(ISBLANK(M1193), ISBLANK(N1193)), "", IF(N1193 &lt; Sheet3!$B$6, "Insufficient Reviews", IF(M1193 &gt;= Sheet3!$B$2, "Highly Reliable", IF(M1193 &gt;= Sheet3!$B$3, "Reliable", IF(M1193 &gt;= Sheet3!$B$4, "Mixed Reviews", "Low Reliability")))))</f>
        <v>Mixed Reviews</v>
      </c>
    </row>
    <row r="1194">
      <c r="A1194" s="3">
        <f t="shared" si="1"/>
        <v>1193</v>
      </c>
      <c r="B1194" s="9" t="s">
        <v>9047</v>
      </c>
      <c r="C1194" s="10">
        <v>39.309474</v>
      </c>
      <c r="D1194" s="10">
        <v>-76.587223</v>
      </c>
      <c r="E1194" s="9" t="s">
        <v>9048</v>
      </c>
      <c r="F1194" s="9" t="s">
        <v>9049</v>
      </c>
      <c r="G1194" s="11"/>
      <c r="H1194" s="9" t="s">
        <v>126</v>
      </c>
      <c r="I1194" s="9" t="s">
        <v>35</v>
      </c>
      <c r="J1194" s="9" t="s">
        <v>9050</v>
      </c>
      <c r="K1194" s="12" t="s">
        <v>9051</v>
      </c>
      <c r="L1194" s="9" t="s">
        <v>9052</v>
      </c>
      <c r="M1194" s="9">
        <v>72.34472247</v>
      </c>
      <c r="N1194" s="10">
        <v>59.8750774</v>
      </c>
      <c r="O1194" s="10" t="s">
        <v>9053</v>
      </c>
      <c r="P1194" s="9">
        <v>9082026.0</v>
      </c>
      <c r="Q1194" s="7" t="str">
        <f>IF(OR(ISBLANK(M1194), ISBLANK(N1194)), "", IF(N1194 &lt; Sheet3!$B$6, "Insufficient Reviews", IF(M1194 &gt;= Sheet3!$B$2, "Highly Reliable", IF(M1194 &gt;= Sheet3!$B$3, "Reliable", IF(M1194 &gt;= Sheet3!$B$4, "Mixed Reviews", "Low Reliability")))))</f>
        <v>Reliable</v>
      </c>
    </row>
    <row r="1195">
      <c r="A1195" s="3">
        <f t="shared" si="1"/>
        <v>1194</v>
      </c>
      <c r="B1195" s="9" t="s">
        <v>9054</v>
      </c>
      <c r="C1195" s="10">
        <v>39.2931482</v>
      </c>
      <c r="D1195" s="10">
        <v>-76.5612792</v>
      </c>
      <c r="E1195" s="9" t="s">
        <v>9055</v>
      </c>
      <c r="F1195" s="9" t="s">
        <v>9056</v>
      </c>
      <c r="G1195" s="11"/>
      <c r="H1195" s="9" t="s">
        <v>2077</v>
      </c>
      <c r="I1195" s="9" t="s">
        <v>81</v>
      </c>
      <c r="J1195" s="9" t="s">
        <v>9057</v>
      </c>
      <c r="K1195" s="12" t="s">
        <v>9058</v>
      </c>
      <c r="L1195" s="9" t="s">
        <v>9059</v>
      </c>
      <c r="M1195" s="9">
        <v>83.49816478</v>
      </c>
      <c r="N1195" s="10">
        <v>95.26386268</v>
      </c>
      <c r="O1195" s="10" t="s">
        <v>9060</v>
      </c>
      <c r="P1195" s="9">
        <v>9082026.0</v>
      </c>
      <c r="Q1195" s="7" t="str">
        <f>IF(OR(ISBLANK(M1195), ISBLANK(N1195)), "", IF(N1195 &lt; Sheet3!$B$6, "Insufficient Reviews", IF(M1195 &gt;= Sheet3!$B$2, "Highly Reliable", IF(M1195 &gt;= Sheet3!$B$3, "Reliable", IF(M1195 &gt;= Sheet3!$B$4, "Mixed Reviews", "Low Reliability")))))</f>
        <v>Highly Reliable</v>
      </c>
    </row>
    <row r="1196">
      <c r="A1196" s="3">
        <f t="shared" si="1"/>
        <v>1195</v>
      </c>
      <c r="B1196" s="9" t="s">
        <v>9061</v>
      </c>
      <c r="C1196" s="10">
        <v>38.879977</v>
      </c>
      <c r="D1196" s="10">
        <v>-76.8582451</v>
      </c>
      <c r="E1196" s="9" t="s">
        <v>9062</v>
      </c>
      <c r="F1196" s="9" t="s">
        <v>9063</v>
      </c>
      <c r="G1196" s="11"/>
      <c r="H1196" s="11"/>
      <c r="I1196" s="9" t="s">
        <v>27</v>
      </c>
      <c r="J1196" s="9" t="s">
        <v>9064</v>
      </c>
      <c r="K1196" s="12" t="s">
        <v>9065</v>
      </c>
      <c r="L1196" s="9" t="s">
        <v>9066</v>
      </c>
      <c r="M1196" s="9">
        <v>15.0</v>
      </c>
      <c r="N1196" s="10">
        <v>30.09333333</v>
      </c>
      <c r="O1196" s="10" t="s">
        <v>5889</v>
      </c>
      <c r="P1196" s="9">
        <v>9082026.0</v>
      </c>
      <c r="Q1196" s="7" t="str">
        <f>IF(OR(ISBLANK(M1196), ISBLANK(N1196)), "", IF(N1196 &lt; Sheet3!$B$6, "Insufficient Reviews", IF(M1196 &gt;= Sheet3!$B$2, "Highly Reliable", IF(M1196 &gt;= Sheet3!$B$3, "Reliable", IF(M1196 &gt;= Sheet3!$B$4, "Mixed Reviews", "Low Reliability")))))</f>
        <v>Insufficient Reviews</v>
      </c>
    </row>
    <row r="1197">
      <c r="A1197" s="3">
        <f t="shared" si="1"/>
        <v>1196</v>
      </c>
      <c r="B1197" s="9" t="s">
        <v>9067</v>
      </c>
      <c r="C1197" s="10">
        <v>39.2967771</v>
      </c>
      <c r="D1197" s="10">
        <v>-76.6618748</v>
      </c>
      <c r="E1197" s="9" t="s">
        <v>9068</v>
      </c>
      <c r="F1197" s="9" t="s">
        <v>9069</v>
      </c>
      <c r="G1197" s="9" t="s">
        <v>9070</v>
      </c>
      <c r="H1197" s="9" t="s">
        <v>9071</v>
      </c>
      <c r="I1197" s="9" t="s">
        <v>44</v>
      </c>
      <c r="J1197" s="9" t="s">
        <v>9072</v>
      </c>
      <c r="K1197" s="12" t="s">
        <v>9073</v>
      </c>
      <c r="L1197" s="9" t="s">
        <v>9074</v>
      </c>
      <c r="M1197" s="9">
        <v>61.85235233</v>
      </c>
      <c r="N1197" s="10">
        <v>69.98856652</v>
      </c>
      <c r="O1197" s="10" t="s">
        <v>9075</v>
      </c>
      <c r="P1197" s="9">
        <v>9082026.0</v>
      </c>
      <c r="Q1197" s="7" t="str">
        <f>IF(OR(ISBLANK(M1197), ISBLANK(N1197)), "", IF(N1197 &lt; Sheet3!$B$6, "Insufficient Reviews", IF(M1197 &gt;= Sheet3!$B$2, "Highly Reliable", IF(M1197 &gt;= Sheet3!$B$3, "Reliable", IF(M1197 &gt;= Sheet3!$B$4, "Mixed Reviews", "Low Reliability")))))</f>
        <v>Mixed Reviews</v>
      </c>
    </row>
    <row r="1198">
      <c r="A1198" s="3">
        <f t="shared" si="1"/>
        <v>1197</v>
      </c>
      <c r="B1198" s="9" t="s">
        <v>9076</v>
      </c>
      <c r="C1198" s="10">
        <v>39.4025088</v>
      </c>
      <c r="D1198" s="10">
        <v>-76.5971892</v>
      </c>
      <c r="E1198" s="9" t="s">
        <v>9077</v>
      </c>
      <c r="F1198" s="9" t="s">
        <v>9078</v>
      </c>
      <c r="G1198" s="9"/>
      <c r="H1198" s="9" t="s">
        <v>126</v>
      </c>
      <c r="I1198" s="9" t="s">
        <v>27</v>
      </c>
      <c r="J1198" s="9" t="s">
        <v>9079</v>
      </c>
      <c r="K1198" s="12" t="s">
        <v>9080</v>
      </c>
      <c r="L1198" s="9" t="s">
        <v>9081</v>
      </c>
      <c r="M1198" s="10">
        <v>62.21619132</v>
      </c>
      <c r="N1198" s="10">
        <v>46.29399483</v>
      </c>
      <c r="O1198" s="9" t="s">
        <v>9082</v>
      </c>
      <c r="P1198" s="9">
        <v>9082026.0</v>
      </c>
      <c r="Q1198" s="7" t="str">
        <f>IF(OR(ISBLANK(M1198), ISBLANK(N1198)), "", IF(N1198 &lt; Sheet3!$B$6, "Insufficient Reviews", IF(M1198 &gt;= Sheet3!$B$2, "Highly Reliable", IF(M1198 &gt;= Sheet3!$B$3, "Reliable", IF(M1198 &gt;= Sheet3!$B$4, "Mixed Reviews", "Low Reliability")))))</f>
        <v>Mixed Reviews</v>
      </c>
    </row>
    <row r="1199">
      <c r="A1199" s="3">
        <f t="shared" si="1"/>
        <v>1198</v>
      </c>
      <c r="B1199" s="9" t="s">
        <v>185</v>
      </c>
      <c r="C1199" s="10">
        <v>39.3936835</v>
      </c>
      <c r="D1199" s="10">
        <v>-76.5769267</v>
      </c>
      <c r="E1199" s="9" t="s">
        <v>9083</v>
      </c>
      <c r="F1199" s="9" t="s">
        <v>9084</v>
      </c>
      <c r="G1199" s="9" t="s">
        <v>5306</v>
      </c>
      <c r="H1199" s="9"/>
      <c r="I1199" s="9" t="s">
        <v>203</v>
      </c>
      <c r="J1199" s="9" t="s">
        <v>9085</v>
      </c>
      <c r="K1199" s="12" t="s">
        <v>9086</v>
      </c>
      <c r="L1199" s="9" t="s">
        <v>9087</v>
      </c>
      <c r="M1199" s="9">
        <v>68.74483829</v>
      </c>
      <c r="N1199" s="10">
        <v>76.34049848</v>
      </c>
      <c r="O1199" s="10" t="s">
        <v>9088</v>
      </c>
      <c r="P1199" s="9">
        <v>9082026.0</v>
      </c>
      <c r="Q1199" s="7" t="str">
        <f>IF(OR(ISBLANK(M1199), ISBLANK(N1199)), "", IF(N1199 &lt; Sheet3!$B$6, "Insufficient Reviews", IF(M1199 &gt;= Sheet3!$B$2, "Highly Reliable", IF(M1199 &gt;= Sheet3!$B$3, "Reliable", IF(M1199 &gt;= Sheet3!$B$4, "Mixed Reviews", "Low Reliability")))))</f>
        <v>Mixed Reviews</v>
      </c>
    </row>
    <row r="1200">
      <c r="A1200" s="3">
        <f t="shared" si="1"/>
        <v>1199</v>
      </c>
      <c r="B1200" s="9" t="s">
        <v>9089</v>
      </c>
      <c r="C1200" s="10">
        <v>39.283305</v>
      </c>
      <c r="D1200" s="10">
        <v>-76.6800025</v>
      </c>
      <c r="E1200" s="9" t="s">
        <v>9090</v>
      </c>
      <c r="F1200" s="9" t="s">
        <v>9091</v>
      </c>
      <c r="G1200" s="9"/>
      <c r="H1200" s="11"/>
      <c r="I1200" s="9" t="s">
        <v>44</v>
      </c>
      <c r="J1200" s="9" t="s">
        <v>9092</v>
      </c>
      <c r="K1200" s="12" t="s">
        <v>9093</v>
      </c>
      <c r="L1200" s="9" t="s">
        <v>9094</v>
      </c>
      <c r="M1200" s="9">
        <v>65.33359581</v>
      </c>
      <c r="N1200" s="10">
        <v>68.01175328</v>
      </c>
      <c r="O1200" s="10" t="s">
        <v>9095</v>
      </c>
      <c r="P1200" s="9">
        <v>9082026.0</v>
      </c>
      <c r="Q1200" s="7" t="str">
        <f>IF(OR(ISBLANK(M1200), ISBLANK(N1200)), "", IF(N1200 &lt; Sheet3!$B$6, "Insufficient Reviews", IF(M1200 &gt;= Sheet3!$B$2, "Highly Reliable", IF(M1200 &gt;= Sheet3!$B$3, "Reliable", IF(M1200 &gt;= Sheet3!$B$4, "Mixed Reviews", "Low Reliability")))))</f>
        <v>Mixed Reviews</v>
      </c>
    </row>
    <row r="1201">
      <c r="A1201" s="3">
        <f t="shared" si="1"/>
        <v>1200</v>
      </c>
      <c r="B1201" s="9" t="s">
        <v>9096</v>
      </c>
      <c r="C1201" s="10">
        <v>39.309367</v>
      </c>
      <c r="D1201" s="10">
        <v>-76.6366173</v>
      </c>
      <c r="E1201" s="9" t="s">
        <v>9097</v>
      </c>
      <c r="F1201" s="9" t="s">
        <v>9098</v>
      </c>
      <c r="G1201" s="9"/>
      <c r="H1201" s="9" t="s">
        <v>43</v>
      </c>
      <c r="I1201" s="9" t="s">
        <v>27</v>
      </c>
      <c r="J1201" s="9" t="s">
        <v>9099</v>
      </c>
      <c r="K1201" s="12" t="s">
        <v>9100</v>
      </c>
      <c r="L1201" s="9" t="s">
        <v>9101</v>
      </c>
      <c r="M1201" s="9">
        <v>69.43364536</v>
      </c>
      <c r="N1201" s="10">
        <v>86.95161562</v>
      </c>
      <c r="O1201" s="10" t="s">
        <v>9102</v>
      </c>
      <c r="P1201" s="9">
        <v>9082026.0</v>
      </c>
      <c r="Q1201" s="7" t="str">
        <f>IF(OR(ISBLANK(M1201), ISBLANK(N1201)), "", IF(N1201 &lt; Sheet3!$B$6, "Insufficient Reviews", IF(M1201 &gt;= Sheet3!$B$2, "Highly Reliable", IF(M1201 &gt;= Sheet3!$B$3, "Reliable", IF(M1201 &gt;= Sheet3!$B$4, "Mixed Reviews", "Low Reliability")))))</f>
        <v>Mixed Reviews</v>
      </c>
    </row>
    <row r="1202">
      <c r="A1202" s="3">
        <f t="shared" si="1"/>
        <v>1201</v>
      </c>
      <c r="B1202" s="9" t="s">
        <v>5220</v>
      </c>
      <c r="C1202" s="10">
        <v>39.294378</v>
      </c>
      <c r="D1202" s="10">
        <v>-76.6924491</v>
      </c>
      <c r="E1202" s="9" t="s">
        <v>5221</v>
      </c>
      <c r="F1202" s="9" t="s">
        <v>5222</v>
      </c>
      <c r="G1202" s="9" t="s">
        <v>9103</v>
      </c>
      <c r="H1202" s="9" t="s">
        <v>5224</v>
      </c>
      <c r="I1202" s="9" t="s">
        <v>44</v>
      </c>
      <c r="J1202" s="9" t="s">
        <v>9104</v>
      </c>
      <c r="K1202" s="12" t="s">
        <v>5226</v>
      </c>
      <c r="L1202" s="9" t="s">
        <v>9105</v>
      </c>
      <c r="M1202" s="9">
        <v>71.0507279</v>
      </c>
      <c r="N1202" s="10">
        <v>70.00468664</v>
      </c>
      <c r="O1202" s="10" t="s">
        <v>9106</v>
      </c>
      <c r="P1202" s="9">
        <v>9082026.0</v>
      </c>
      <c r="Q1202" s="7" t="str">
        <f>IF(OR(ISBLANK(M1202), ISBLANK(N1202)), "", IF(N1202 &lt; Sheet3!$B$6, "Insufficient Reviews", IF(M1202 &gt;= Sheet3!$B$2, "Highly Reliable", IF(M1202 &gt;= Sheet3!$B$3, "Reliable", IF(M1202 &gt;= Sheet3!$B$4, "Mixed Reviews", "Low Reliability")))))</f>
        <v>Reliable</v>
      </c>
    </row>
    <row r="1203">
      <c r="A1203" s="3">
        <f t="shared" si="1"/>
        <v>1202</v>
      </c>
      <c r="B1203" s="9" t="s">
        <v>7916</v>
      </c>
      <c r="C1203" s="10">
        <v>39.3019454</v>
      </c>
      <c r="D1203" s="10">
        <v>-76.6212455</v>
      </c>
      <c r="E1203" s="9" t="s">
        <v>9107</v>
      </c>
      <c r="F1203" s="9" t="s">
        <v>9108</v>
      </c>
      <c r="G1203" s="9" t="s">
        <v>9109</v>
      </c>
      <c r="H1203" s="9" t="s">
        <v>43</v>
      </c>
      <c r="I1203" s="9" t="s">
        <v>27</v>
      </c>
      <c r="J1203" s="9" t="s">
        <v>9110</v>
      </c>
      <c r="K1203" s="12" t="s">
        <v>9111</v>
      </c>
      <c r="L1203" s="9" t="s">
        <v>9112</v>
      </c>
      <c r="M1203" s="9">
        <v>67.56876856</v>
      </c>
      <c r="N1203" s="10">
        <v>54.08652295</v>
      </c>
      <c r="O1203" s="10" t="s">
        <v>9113</v>
      </c>
      <c r="P1203" s="9">
        <v>9082026.0</v>
      </c>
      <c r="Q1203" s="7" t="str">
        <f>IF(OR(ISBLANK(M1203), ISBLANK(N1203)), "", IF(N1203 &lt; Sheet3!$B$6, "Insufficient Reviews", IF(M1203 &gt;= Sheet3!$B$2, "Highly Reliable", IF(M1203 &gt;= Sheet3!$B$3, "Reliable", IF(M1203 &gt;= Sheet3!$B$4, "Mixed Reviews", "Low Reliability")))))</f>
        <v>Mixed Reviews</v>
      </c>
    </row>
    <row r="1204">
      <c r="A1204" s="3">
        <f t="shared" si="1"/>
        <v>1203</v>
      </c>
      <c r="B1204" s="9" t="s">
        <v>9114</v>
      </c>
      <c r="C1204" s="10">
        <v>39.2808649</v>
      </c>
      <c r="D1204" s="10">
        <v>-76.6133181</v>
      </c>
      <c r="E1204" s="9" t="s">
        <v>9115</v>
      </c>
      <c r="F1204" s="9" t="s">
        <v>9116</v>
      </c>
      <c r="G1204" s="11"/>
      <c r="H1204" s="9" t="s">
        <v>43</v>
      </c>
      <c r="I1204" s="9" t="s">
        <v>35</v>
      </c>
      <c r="J1204" s="9" t="s">
        <v>9117</v>
      </c>
      <c r="K1204" s="12" t="s">
        <v>9118</v>
      </c>
      <c r="L1204" s="9" t="s">
        <v>9119</v>
      </c>
      <c r="M1204" s="9">
        <v>80.77170703</v>
      </c>
      <c r="N1204" s="10">
        <v>92.03647571</v>
      </c>
      <c r="O1204" s="10" t="s">
        <v>9120</v>
      </c>
      <c r="P1204" s="9">
        <v>9082026.0</v>
      </c>
      <c r="Q1204" s="7" t="str">
        <f>IF(OR(ISBLANK(M1204), ISBLANK(N1204)), "", IF(N1204 &lt; Sheet3!$B$6, "Insufficient Reviews", IF(M1204 &gt;= Sheet3!$B$2, "Highly Reliable", IF(M1204 &gt;= Sheet3!$B$3, "Reliable", IF(M1204 &gt;= Sheet3!$B$4, "Mixed Reviews", "Low Reliability")))))</f>
        <v>Reliable</v>
      </c>
    </row>
    <row r="1205">
      <c r="A1205" s="3">
        <f t="shared" si="1"/>
        <v>1204</v>
      </c>
      <c r="B1205" s="9" t="s">
        <v>9121</v>
      </c>
      <c r="C1205" s="10">
        <v>39.3269392</v>
      </c>
      <c r="D1205" s="10">
        <v>-76.5051132</v>
      </c>
      <c r="E1205" s="9" t="s">
        <v>9122</v>
      </c>
      <c r="F1205" s="9" t="s">
        <v>9123</v>
      </c>
      <c r="G1205" s="9" t="s">
        <v>9124</v>
      </c>
      <c r="H1205" s="9" t="s">
        <v>9125</v>
      </c>
      <c r="I1205" s="9" t="s">
        <v>44</v>
      </c>
      <c r="J1205" s="9" t="s">
        <v>9126</v>
      </c>
      <c r="K1205" s="12" t="s">
        <v>9127</v>
      </c>
      <c r="L1205" s="9" t="s">
        <v>9128</v>
      </c>
      <c r="M1205" s="9">
        <v>82.63744124</v>
      </c>
      <c r="N1205" s="10">
        <v>70.85414961</v>
      </c>
      <c r="O1205" s="10" t="s">
        <v>9129</v>
      </c>
      <c r="P1205" s="9">
        <v>9082026.0</v>
      </c>
      <c r="Q1205" s="7" t="str">
        <f>IF(OR(ISBLANK(M1205), ISBLANK(N1205)), "", IF(N1205 &lt; Sheet3!$B$6, "Insufficient Reviews", IF(M1205 &gt;= Sheet3!$B$2, "Highly Reliable", IF(M1205 &gt;= Sheet3!$B$3, "Reliable", IF(M1205 &gt;= Sheet3!$B$4, "Mixed Reviews", "Low Reliability")))))</f>
        <v>Highly Reliable</v>
      </c>
    </row>
    <row r="1206">
      <c r="A1206" s="3">
        <f t="shared" si="1"/>
        <v>1205</v>
      </c>
      <c r="B1206" s="9" t="s">
        <v>9130</v>
      </c>
      <c r="C1206" s="10">
        <v>39.269844</v>
      </c>
      <c r="D1206" s="10">
        <v>-76.5450439</v>
      </c>
      <c r="E1206" s="9" t="s">
        <v>9131</v>
      </c>
      <c r="F1206" s="9" t="s">
        <v>9132</v>
      </c>
      <c r="G1206" s="9" t="s">
        <v>9133</v>
      </c>
      <c r="H1206" s="9"/>
      <c r="I1206" s="9" t="s">
        <v>91</v>
      </c>
      <c r="J1206" s="9" t="s">
        <v>9134</v>
      </c>
      <c r="K1206" s="12" t="s">
        <v>9135</v>
      </c>
      <c r="L1206" s="9" t="s">
        <v>9136</v>
      </c>
      <c r="M1206" s="9">
        <v>62.22035611</v>
      </c>
      <c r="N1206" s="10">
        <v>69.73810601</v>
      </c>
      <c r="O1206" s="10" t="s">
        <v>9137</v>
      </c>
      <c r="P1206" s="9">
        <v>9082026.0</v>
      </c>
      <c r="Q1206" s="7" t="str">
        <f>IF(OR(ISBLANK(M1206), ISBLANK(N1206)), "", IF(N1206 &lt; Sheet3!$B$6, "Insufficient Reviews", IF(M1206 &gt;= Sheet3!$B$2, "Highly Reliable", IF(M1206 &gt;= Sheet3!$B$3, "Reliable", IF(M1206 &gt;= Sheet3!$B$4, "Mixed Reviews", "Low Reliability")))))</f>
        <v>Mixed Reviews</v>
      </c>
    </row>
    <row r="1207">
      <c r="A1207" s="3">
        <f t="shared" si="1"/>
        <v>1206</v>
      </c>
      <c r="B1207" s="9" t="s">
        <v>9138</v>
      </c>
      <c r="C1207" s="10">
        <v>39.3076953</v>
      </c>
      <c r="D1207" s="10">
        <v>-76.476974</v>
      </c>
      <c r="E1207" s="9" t="s">
        <v>9139</v>
      </c>
      <c r="F1207" s="9" t="s">
        <v>9140</v>
      </c>
      <c r="G1207" s="11"/>
      <c r="H1207" s="11"/>
      <c r="I1207" s="9" t="s">
        <v>44</v>
      </c>
      <c r="J1207" s="9" t="s">
        <v>9141</v>
      </c>
      <c r="K1207" s="12" t="s">
        <v>9142</v>
      </c>
      <c r="L1207" s="9" t="s">
        <v>9143</v>
      </c>
      <c r="M1207" s="9">
        <v>81.5405539</v>
      </c>
      <c r="N1207" s="10">
        <v>62.8674761</v>
      </c>
      <c r="O1207" s="10" t="s">
        <v>9144</v>
      </c>
      <c r="P1207" s="9">
        <v>9082026.0</v>
      </c>
      <c r="Q1207" s="7" t="str">
        <f>IF(OR(ISBLANK(M1207), ISBLANK(N1207)), "", IF(N1207 &lt; Sheet3!$B$6, "Insufficient Reviews", IF(M1207 &gt;= Sheet3!$B$2, "Highly Reliable", IF(M1207 &gt;= Sheet3!$B$3, "Reliable", IF(M1207 &gt;= Sheet3!$B$4, "Mixed Reviews", "Low Reliability")))))</f>
        <v>Reliable</v>
      </c>
    </row>
    <row r="1208">
      <c r="A1208" s="3">
        <f t="shared" si="1"/>
        <v>1207</v>
      </c>
      <c r="B1208" s="9" t="s">
        <v>9145</v>
      </c>
      <c r="C1208" s="10">
        <v>39.0968888</v>
      </c>
      <c r="D1208" s="10">
        <v>-76.6233556</v>
      </c>
      <c r="E1208" s="9" t="s">
        <v>9146</v>
      </c>
      <c r="F1208" s="9" t="s">
        <v>9147</v>
      </c>
      <c r="G1208" s="9"/>
      <c r="H1208" s="9" t="s">
        <v>9148</v>
      </c>
      <c r="I1208" s="9" t="s">
        <v>35</v>
      </c>
      <c r="J1208" s="9" t="s">
        <v>9149</v>
      </c>
      <c r="K1208" s="12" t="s">
        <v>9150</v>
      </c>
      <c r="L1208" s="9" t="s">
        <v>9151</v>
      </c>
      <c r="M1208" s="9">
        <v>73.7820783</v>
      </c>
      <c r="N1208" s="10">
        <v>85.45095612</v>
      </c>
      <c r="O1208" s="10" t="s">
        <v>9152</v>
      </c>
      <c r="P1208" s="9">
        <v>9082026.0</v>
      </c>
      <c r="Q1208" s="7" t="str">
        <f>IF(OR(ISBLANK(M1208), ISBLANK(N1208)), "", IF(N1208 &lt; Sheet3!$B$6, "Insufficient Reviews", IF(M1208 &gt;= Sheet3!$B$2, "Highly Reliable", IF(M1208 &gt;= Sheet3!$B$3, "Reliable", IF(M1208 &gt;= Sheet3!$B$4, "Mixed Reviews", "Low Reliability")))))</f>
        <v>Reliable</v>
      </c>
    </row>
    <row r="1209">
      <c r="A1209" s="3">
        <f t="shared" si="1"/>
        <v>1208</v>
      </c>
      <c r="B1209" s="9" t="s">
        <v>9153</v>
      </c>
      <c r="C1209" s="10">
        <v>39.1312555</v>
      </c>
      <c r="D1209" s="10">
        <v>-77.1896999</v>
      </c>
      <c r="E1209" s="9" t="s">
        <v>9154</v>
      </c>
      <c r="F1209" s="9" t="s">
        <v>9155</v>
      </c>
      <c r="G1209" s="9"/>
      <c r="H1209" s="9" t="s">
        <v>43</v>
      </c>
      <c r="I1209" s="9" t="s">
        <v>44</v>
      </c>
      <c r="J1209" s="9" t="s">
        <v>9156</v>
      </c>
      <c r="K1209" s="12" t="s">
        <v>9157</v>
      </c>
      <c r="L1209" s="9" t="s">
        <v>9158</v>
      </c>
      <c r="M1209" s="9">
        <v>12.0</v>
      </c>
      <c r="N1209" s="10">
        <v>31.83333333</v>
      </c>
      <c r="O1209" s="10" t="s">
        <v>634</v>
      </c>
      <c r="P1209" s="9">
        <v>9082026.0</v>
      </c>
      <c r="Q1209" s="7" t="str">
        <f>IF(OR(ISBLANK(M1209), ISBLANK(N1209)), "", IF(N1209 &lt; Sheet3!$B$6, "Insufficient Reviews", IF(M1209 &gt;= Sheet3!$B$2, "Highly Reliable", IF(M1209 &gt;= Sheet3!$B$3, "Reliable", IF(M1209 &gt;= Sheet3!$B$4, "Mixed Reviews", "Low Reliability")))))</f>
        <v>Insufficient Reviews</v>
      </c>
    </row>
    <row r="1210">
      <c r="A1210" s="3">
        <f t="shared" si="1"/>
        <v>1209</v>
      </c>
      <c r="B1210" s="9" t="s">
        <v>9159</v>
      </c>
      <c r="C1210" s="10">
        <v>38.9986417</v>
      </c>
      <c r="D1210" s="10">
        <v>-77.0300764</v>
      </c>
      <c r="E1210" s="9" t="s">
        <v>9160</v>
      </c>
      <c r="F1210" s="9" t="s">
        <v>9161</v>
      </c>
      <c r="G1210" s="9"/>
      <c r="H1210" s="9" t="s">
        <v>126</v>
      </c>
      <c r="I1210" s="9" t="s">
        <v>35</v>
      </c>
      <c r="J1210" s="9" t="s">
        <v>9162</v>
      </c>
      <c r="K1210" s="12" t="s">
        <v>9163</v>
      </c>
      <c r="L1210" s="9" t="s">
        <v>9164</v>
      </c>
      <c r="M1210" s="10">
        <v>79.95830774</v>
      </c>
      <c r="N1210" s="10">
        <v>57.58499203</v>
      </c>
      <c r="O1210" s="9" t="s">
        <v>9165</v>
      </c>
      <c r="P1210" s="9">
        <v>9082026.0</v>
      </c>
      <c r="Q1210" s="7" t="str">
        <f>IF(OR(ISBLANK(M1210), ISBLANK(N1210)), "", IF(N1210 &lt; Sheet3!$B$6, "Insufficient Reviews", IF(M1210 &gt;= Sheet3!$B$2, "Highly Reliable", IF(M1210 &gt;= Sheet3!$B$3, "Reliable", IF(M1210 &gt;= Sheet3!$B$4, "Mixed Reviews", "Low Reliability")))))</f>
        <v>Reliable</v>
      </c>
    </row>
    <row r="1211">
      <c r="A1211" s="3">
        <f t="shared" si="1"/>
        <v>1210</v>
      </c>
      <c r="B1211" s="9" t="s">
        <v>9166</v>
      </c>
      <c r="C1211" s="10">
        <v>39.509437</v>
      </c>
      <c r="D1211" s="10">
        <v>-76.164843</v>
      </c>
      <c r="E1211" s="9" t="s">
        <v>9167</v>
      </c>
      <c r="F1211" s="9" t="s">
        <v>9168</v>
      </c>
      <c r="G1211" s="9" t="s">
        <v>9169</v>
      </c>
      <c r="H1211" s="9" t="s">
        <v>9170</v>
      </c>
      <c r="I1211" s="9" t="s">
        <v>44</v>
      </c>
      <c r="J1211" s="9" t="s">
        <v>9171</v>
      </c>
      <c r="K1211" s="12" t="s">
        <v>9172</v>
      </c>
      <c r="L1211" s="9" t="s">
        <v>9173</v>
      </c>
      <c r="M1211" s="9">
        <v>77.82957257</v>
      </c>
      <c r="N1211" s="10">
        <v>69.87231671</v>
      </c>
      <c r="O1211" s="10" t="s">
        <v>9174</v>
      </c>
      <c r="P1211" s="9">
        <v>9082026.0</v>
      </c>
      <c r="Q1211" s="7" t="str">
        <f>IF(OR(ISBLANK(M1211), ISBLANK(N1211)), "", IF(N1211 &lt; Sheet3!$B$6, "Insufficient Reviews", IF(M1211 &gt;= Sheet3!$B$2, "Highly Reliable", IF(M1211 &gt;= Sheet3!$B$3, "Reliable", IF(M1211 &gt;= Sheet3!$B$4, "Mixed Reviews", "Low Reliability")))))</f>
        <v>Reliable</v>
      </c>
    </row>
    <row r="1212">
      <c r="A1212" s="3">
        <f t="shared" si="1"/>
        <v>1211</v>
      </c>
      <c r="B1212" s="9" t="s">
        <v>9175</v>
      </c>
      <c r="C1212" s="10">
        <v>39.6622771</v>
      </c>
      <c r="D1212" s="10">
        <v>-77.7316925</v>
      </c>
      <c r="E1212" s="9" t="s">
        <v>9176</v>
      </c>
      <c r="F1212" s="9" t="s">
        <v>9177</v>
      </c>
      <c r="G1212" s="9"/>
      <c r="H1212" s="11"/>
      <c r="I1212" s="9" t="s">
        <v>27</v>
      </c>
      <c r="J1212" s="9" t="s">
        <v>9178</v>
      </c>
      <c r="K1212" s="9"/>
      <c r="L1212" s="9" t="s">
        <v>9179</v>
      </c>
      <c r="M1212" s="9">
        <v>73.15667184</v>
      </c>
      <c r="N1212" s="10">
        <v>31.95728254</v>
      </c>
      <c r="O1212" s="10" t="s">
        <v>9180</v>
      </c>
      <c r="P1212" s="9">
        <v>9082026.0</v>
      </c>
      <c r="Q1212" s="7" t="str">
        <f>IF(OR(ISBLANK(M1212), ISBLANK(N1212)), "", IF(N1212 &lt; Sheet3!$B$6, "Insufficient Reviews", IF(M1212 &gt;= Sheet3!$B$2, "Highly Reliable", IF(M1212 &gt;= Sheet3!$B$3, "Reliable", IF(M1212 &gt;= Sheet3!$B$4, "Mixed Reviews", "Low Reliability")))))</f>
        <v>Insufficient Reviews</v>
      </c>
    </row>
    <row r="1213">
      <c r="A1213" s="3">
        <f t="shared" si="1"/>
        <v>1212</v>
      </c>
      <c r="B1213" s="9" t="s">
        <v>9181</v>
      </c>
      <c r="C1213" s="10">
        <v>39.000893</v>
      </c>
      <c r="D1213" s="10">
        <v>-75.8837593</v>
      </c>
      <c r="E1213" s="9" t="s">
        <v>9182</v>
      </c>
      <c r="F1213" s="9" t="s">
        <v>9183</v>
      </c>
      <c r="G1213" s="11"/>
      <c r="H1213" s="9" t="s">
        <v>1476</v>
      </c>
      <c r="I1213" s="9" t="s">
        <v>35</v>
      </c>
      <c r="J1213" s="9" t="s">
        <v>9184</v>
      </c>
      <c r="K1213" s="12" t="s">
        <v>9185</v>
      </c>
      <c r="L1213" s="9" t="s">
        <v>9186</v>
      </c>
      <c r="M1213" s="9">
        <v>86.1318576</v>
      </c>
      <c r="N1213" s="10">
        <v>93.95760204</v>
      </c>
      <c r="O1213" s="10" t="s">
        <v>9187</v>
      </c>
      <c r="P1213" s="9">
        <v>9082026.0</v>
      </c>
      <c r="Q1213" s="7" t="str">
        <f>IF(OR(ISBLANK(M1213), ISBLANK(N1213)), "", IF(N1213 &lt; Sheet3!$B$6, "Insufficient Reviews", IF(M1213 &gt;= Sheet3!$B$2, "Highly Reliable", IF(M1213 &gt;= Sheet3!$B$3, "Reliable", IF(M1213 &gt;= Sheet3!$B$4, "Mixed Reviews", "Low Reliability")))))</f>
        <v>Highly Reliable</v>
      </c>
    </row>
    <row r="1214">
      <c r="A1214" s="3">
        <f t="shared" si="1"/>
        <v>1213</v>
      </c>
      <c r="B1214" s="9" t="s">
        <v>9188</v>
      </c>
      <c r="C1214" s="10">
        <v>38.3657984</v>
      </c>
      <c r="D1214" s="10">
        <v>-75.5980656</v>
      </c>
      <c r="E1214" s="9" t="s">
        <v>9189</v>
      </c>
      <c r="F1214" s="9" t="s">
        <v>9190</v>
      </c>
      <c r="G1214" s="9"/>
      <c r="H1214" s="9" t="s">
        <v>9191</v>
      </c>
      <c r="I1214" s="9" t="s">
        <v>44</v>
      </c>
      <c r="J1214" s="9" t="s">
        <v>9192</v>
      </c>
      <c r="K1214" s="12" t="s">
        <v>9193</v>
      </c>
      <c r="L1214" s="9" t="s">
        <v>9194</v>
      </c>
      <c r="M1214" s="9">
        <v>78.09184954</v>
      </c>
      <c r="N1214" s="10">
        <v>54.15342429</v>
      </c>
      <c r="O1214" s="10" t="s">
        <v>9195</v>
      </c>
      <c r="P1214" s="9">
        <v>9082026.0</v>
      </c>
      <c r="Q1214" s="7" t="str">
        <f>IF(OR(ISBLANK(M1214), ISBLANK(N1214)), "", IF(N1214 &lt; Sheet3!$B$6, "Insufficient Reviews", IF(M1214 &gt;= Sheet3!$B$2, "Highly Reliable", IF(M1214 &gt;= Sheet3!$B$3, "Reliable", IF(M1214 &gt;= Sheet3!$B$4, "Mixed Reviews", "Low Reliability")))))</f>
        <v>Reliable</v>
      </c>
    </row>
    <row r="1215">
      <c r="A1215" s="3">
        <f t="shared" si="1"/>
        <v>1214</v>
      </c>
      <c r="B1215" s="9" t="s">
        <v>9196</v>
      </c>
      <c r="C1215" s="10">
        <v>38.3451428</v>
      </c>
      <c r="D1215" s="10">
        <v>-75.582574</v>
      </c>
      <c r="E1215" s="9" t="s">
        <v>9197</v>
      </c>
      <c r="F1215" s="9" t="s">
        <v>9198</v>
      </c>
      <c r="G1215" s="9" t="s">
        <v>9199</v>
      </c>
      <c r="H1215" s="9"/>
      <c r="I1215" s="9" t="s">
        <v>27</v>
      </c>
      <c r="J1215" s="9" t="s">
        <v>9200</v>
      </c>
      <c r="K1215" s="12" t="s">
        <v>9201</v>
      </c>
      <c r="L1215" s="9" t="s">
        <v>9202</v>
      </c>
      <c r="M1215" s="9">
        <v>48.91610443</v>
      </c>
      <c r="N1215" s="10">
        <v>55.58432257</v>
      </c>
      <c r="O1215" s="10" t="s">
        <v>2276</v>
      </c>
      <c r="P1215" s="9">
        <v>9082026.0</v>
      </c>
      <c r="Q1215" s="7" t="str">
        <f>IF(OR(ISBLANK(M1215), ISBLANK(N1215)), "", IF(N1215 &lt; Sheet3!$B$6, "Insufficient Reviews", IF(M1215 &gt;= Sheet3!$B$2, "Highly Reliable", IF(M1215 &gt;= Sheet3!$B$3, "Reliable", IF(M1215 &gt;= Sheet3!$B$4, "Mixed Reviews", "Low Reliability")))))</f>
        <v>Low Reliability</v>
      </c>
    </row>
    <row r="1216">
      <c r="A1216" s="3">
        <f t="shared" si="1"/>
        <v>1215</v>
      </c>
      <c r="B1216" s="9" t="s">
        <v>9203</v>
      </c>
      <c r="C1216" s="10">
        <v>38.3759388</v>
      </c>
      <c r="D1216" s="10">
        <v>-75.5068445</v>
      </c>
      <c r="E1216" s="9" t="s">
        <v>9204</v>
      </c>
      <c r="F1216" s="9" t="s">
        <v>9205</v>
      </c>
      <c r="G1216" s="11"/>
      <c r="H1216" s="9" t="s">
        <v>303</v>
      </c>
      <c r="I1216" s="9" t="s">
        <v>35</v>
      </c>
      <c r="J1216" s="9" t="s">
        <v>9206</v>
      </c>
      <c r="K1216" s="12" t="s">
        <v>9207</v>
      </c>
      <c r="L1216" s="9" t="s">
        <v>9208</v>
      </c>
      <c r="M1216" s="9">
        <v>68.1</v>
      </c>
      <c r="N1216" s="10">
        <v>41.08389958</v>
      </c>
      <c r="O1216" s="10" t="s">
        <v>9209</v>
      </c>
      <c r="P1216" s="9">
        <v>9082026.0</v>
      </c>
      <c r="Q1216" s="7" t="str">
        <f>IF(OR(ISBLANK(M1216), ISBLANK(N1216)), "", IF(N1216 &lt; Sheet3!$B$6, "Insufficient Reviews", IF(M1216 &gt;= Sheet3!$B$2, "Highly Reliable", IF(M1216 &gt;= Sheet3!$B$3, "Reliable", IF(M1216 &gt;= Sheet3!$B$4, "Mixed Reviews", "Low Reliability")))))</f>
        <v>Mixed Reviews</v>
      </c>
    </row>
    <row r="1217">
      <c r="A1217" s="3">
        <f t="shared" si="1"/>
        <v>1216</v>
      </c>
      <c r="B1217" s="9" t="s">
        <v>9210</v>
      </c>
      <c r="C1217" s="10">
        <v>39.3981265</v>
      </c>
      <c r="D1217" s="10">
        <v>-76.7472559</v>
      </c>
      <c r="E1217" s="9" t="s">
        <v>9211</v>
      </c>
      <c r="F1217" s="9" t="s">
        <v>9212</v>
      </c>
      <c r="G1217" s="9" t="s">
        <v>9213</v>
      </c>
      <c r="H1217" s="9" t="s">
        <v>9214</v>
      </c>
      <c r="I1217" s="9" t="s">
        <v>44</v>
      </c>
      <c r="J1217" s="9" t="s">
        <v>9215</v>
      </c>
      <c r="K1217" s="12" t="s">
        <v>9216</v>
      </c>
      <c r="L1217" s="9" t="s">
        <v>9217</v>
      </c>
      <c r="M1217" s="9">
        <v>57.64484892</v>
      </c>
      <c r="N1217" s="10">
        <v>57.78796184</v>
      </c>
      <c r="O1217" s="10" t="s">
        <v>9218</v>
      </c>
      <c r="P1217" s="9">
        <v>9082026.0</v>
      </c>
      <c r="Q1217" s="7" t="str">
        <f>IF(OR(ISBLANK(M1217), ISBLANK(N1217)), "", IF(N1217 &lt; Sheet3!$B$6, "Insufficient Reviews", IF(M1217 &gt;= Sheet3!$B$2, "Highly Reliable", IF(M1217 &gt;= Sheet3!$B$3, "Reliable", IF(M1217 &gt;= Sheet3!$B$4, "Mixed Reviews", "Low Reliability")))))</f>
        <v>Low Reliability</v>
      </c>
    </row>
    <row r="1218">
      <c r="A1218" s="3">
        <f t="shared" si="1"/>
        <v>1217</v>
      </c>
      <c r="B1218" s="9" t="s">
        <v>9219</v>
      </c>
      <c r="C1218" s="10">
        <v>39.0476074</v>
      </c>
      <c r="D1218" s="10">
        <v>-77.1253149</v>
      </c>
      <c r="E1218" s="9" t="s">
        <v>9220</v>
      </c>
      <c r="F1218" s="9" t="s">
        <v>9221</v>
      </c>
      <c r="G1218" s="9" t="s">
        <v>9222</v>
      </c>
      <c r="H1218" s="9" t="s">
        <v>9223</v>
      </c>
      <c r="I1218" s="9" t="s">
        <v>27</v>
      </c>
      <c r="J1218" s="9" t="s">
        <v>9224</v>
      </c>
      <c r="K1218" s="12" t="s">
        <v>9225</v>
      </c>
      <c r="L1218" s="9" t="s">
        <v>9226</v>
      </c>
      <c r="M1218" s="9">
        <v>68.31687117</v>
      </c>
      <c r="N1218" s="10">
        <v>73.07008153</v>
      </c>
      <c r="O1218" s="10" t="s">
        <v>9227</v>
      </c>
      <c r="P1218" s="9">
        <v>9082026.0</v>
      </c>
      <c r="Q1218" s="7" t="str">
        <f>IF(OR(ISBLANK(M1218), ISBLANK(N1218)), "", IF(N1218 &lt; Sheet3!$B$6, "Insufficient Reviews", IF(M1218 &gt;= Sheet3!$B$2, "Highly Reliable", IF(M1218 &gt;= Sheet3!$B$3, "Reliable", IF(M1218 &gt;= Sheet3!$B$4, "Mixed Reviews", "Low Reliability")))))</f>
        <v>Mixed Reviews</v>
      </c>
    </row>
    <row r="1219">
      <c r="A1219" s="3">
        <f t="shared" si="1"/>
        <v>1218</v>
      </c>
      <c r="B1219" s="9" t="s">
        <v>9228</v>
      </c>
      <c r="C1219" s="10">
        <v>38.9602122</v>
      </c>
      <c r="D1219" s="10">
        <v>-76.5166966</v>
      </c>
      <c r="E1219" s="9" t="s">
        <v>9229</v>
      </c>
      <c r="F1219" s="9" t="s">
        <v>9230</v>
      </c>
      <c r="G1219" s="9"/>
      <c r="H1219" s="9" t="s">
        <v>7212</v>
      </c>
      <c r="I1219" s="9" t="s">
        <v>91</v>
      </c>
      <c r="J1219" s="9" t="s">
        <v>9231</v>
      </c>
      <c r="K1219" s="12" t="s">
        <v>9232</v>
      </c>
      <c r="L1219" s="9" t="s">
        <v>9233</v>
      </c>
      <c r="M1219" s="9">
        <v>86.6108985</v>
      </c>
      <c r="N1219" s="10">
        <v>93.16997843</v>
      </c>
      <c r="O1219" s="10" t="s">
        <v>9234</v>
      </c>
      <c r="P1219" s="9">
        <v>9082026.0</v>
      </c>
      <c r="Q1219" s="7" t="str">
        <f>IF(OR(ISBLANK(M1219), ISBLANK(N1219)), "", IF(N1219 &lt; Sheet3!$B$6, "Insufficient Reviews", IF(M1219 &gt;= Sheet3!$B$2, "Highly Reliable", IF(M1219 &gt;= Sheet3!$B$3, "Reliable", IF(M1219 &gt;= Sheet3!$B$4, "Mixed Reviews", "Low Reliability")))))</f>
        <v>Highly Reliable</v>
      </c>
    </row>
    <row r="1220">
      <c r="A1220" s="3">
        <f t="shared" si="1"/>
        <v>1219</v>
      </c>
      <c r="B1220" s="9" t="s">
        <v>9235</v>
      </c>
      <c r="C1220" s="10">
        <v>38.9058785</v>
      </c>
      <c r="D1220" s="10">
        <v>-77.0394804</v>
      </c>
      <c r="E1220" s="9" t="s">
        <v>9236</v>
      </c>
      <c r="F1220" s="9" t="s">
        <v>9237</v>
      </c>
      <c r="G1220" s="9"/>
      <c r="H1220" s="11"/>
      <c r="I1220" s="9" t="s">
        <v>27</v>
      </c>
      <c r="J1220" s="9" t="s">
        <v>9238</v>
      </c>
      <c r="K1220" s="12" t="s">
        <v>9239</v>
      </c>
      <c r="L1220" s="9" t="s">
        <v>9240</v>
      </c>
      <c r="M1220" s="9">
        <v>12.0</v>
      </c>
      <c r="N1220" s="10">
        <v>31.83333333</v>
      </c>
      <c r="O1220" s="10" t="s">
        <v>634</v>
      </c>
      <c r="P1220" s="9">
        <v>9082026.0</v>
      </c>
      <c r="Q1220" s="7" t="str">
        <f>IF(OR(ISBLANK(M1220), ISBLANK(N1220)), "", IF(N1220 &lt; Sheet3!$B$6, "Insufficient Reviews", IF(M1220 &gt;= Sheet3!$B$2, "Highly Reliable", IF(M1220 &gt;= Sheet3!$B$3, "Reliable", IF(M1220 &gt;= Sheet3!$B$4, "Mixed Reviews", "Low Reliability")))))</f>
        <v>Insufficient Reviews</v>
      </c>
    </row>
    <row r="1221">
      <c r="A1221" s="3">
        <f t="shared" si="1"/>
        <v>1220</v>
      </c>
      <c r="B1221" s="9" t="s">
        <v>9241</v>
      </c>
      <c r="C1221" s="10">
        <v>38.8762822</v>
      </c>
      <c r="D1221" s="10">
        <v>-77.0087643</v>
      </c>
      <c r="E1221" s="9" t="s">
        <v>9242</v>
      </c>
      <c r="F1221" s="9" t="s">
        <v>9243</v>
      </c>
      <c r="G1221" s="9"/>
      <c r="H1221" s="9" t="s">
        <v>126</v>
      </c>
      <c r="I1221" s="9" t="s">
        <v>27</v>
      </c>
      <c r="J1221" s="9" t="s">
        <v>9244</v>
      </c>
      <c r="K1221" s="12" t="s">
        <v>9245</v>
      </c>
      <c r="L1221" s="9" t="s">
        <v>9246</v>
      </c>
      <c r="M1221" s="9">
        <v>81.34222954</v>
      </c>
      <c r="N1221" s="10">
        <v>54.15314506</v>
      </c>
      <c r="O1221" s="10" t="s">
        <v>9247</v>
      </c>
      <c r="P1221" s="9">
        <v>9082026.0</v>
      </c>
      <c r="Q1221" s="7" t="str">
        <f>IF(OR(ISBLANK(M1221), ISBLANK(N1221)), "", IF(N1221 &lt; Sheet3!$B$6, "Insufficient Reviews", IF(M1221 &gt;= Sheet3!$B$2, "Highly Reliable", IF(M1221 &gt;= Sheet3!$B$3, "Reliable", IF(M1221 &gt;= Sheet3!$B$4, "Mixed Reviews", "Low Reliability")))))</f>
        <v>Reliable</v>
      </c>
    </row>
    <row r="1222">
      <c r="A1222" s="3">
        <f t="shared" si="1"/>
        <v>1221</v>
      </c>
      <c r="B1222" s="9" t="s">
        <v>9248</v>
      </c>
      <c r="C1222" s="10">
        <v>39.6378808</v>
      </c>
      <c r="D1222" s="10">
        <v>-77.7139236</v>
      </c>
      <c r="E1222" s="9" t="s">
        <v>9249</v>
      </c>
      <c r="F1222" s="9" t="s">
        <v>9250</v>
      </c>
      <c r="G1222" s="9" t="s">
        <v>9251</v>
      </c>
      <c r="H1222" s="9" t="s">
        <v>9252</v>
      </c>
      <c r="I1222" s="9" t="s">
        <v>44</v>
      </c>
      <c r="J1222" s="9" t="s">
        <v>9253</v>
      </c>
      <c r="K1222" s="12" t="s">
        <v>9254</v>
      </c>
      <c r="L1222" s="9" t="s">
        <v>9255</v>
      </c>
      <c r="M1222" s="10">
        <v>76.35978951</v>
      </c>
      <c r="N1222" s="10">
        <v>60.40472443</v>
      </c>
      <c r="O1222" s="9" t="s">
        <v>9256</v>
      </c>
      <c r="P1222" s="9">
        <v>9082026.0</v>
      </c>
      <c r="Q1222" s="7" t="str">
        <f>IF(OR(ISBLANK(M1222), ISBLANK(N1222)), "", IF(N1222 &lt; Sheet3!$B$6, "Insufficient Reviews", IF(M1222 &gt;= Sheet3!$B$2, "Highly Reliable", IF(M1222 &gt;= Sheet3!$B$3, "Reliable", IF(M1222 &gt;= Sheet3!$B$4, "Mixed Reviews", "Low Reliability")))))</f>
        <v>Reliable</v>
      </c>
    </row>
    <row r="1223">
      <c r="A1223" s="3">
        <f t="shared" si="1"/>
        <v>1222</v>
      </c>
      <c r="B1223" s="9" t="s">
        <v>9257</v>
      </c>
      <c r="C1223" s="10">
        <v>39.1770432</v>
      </c>
      <c r="D1223" s="10">
        <v>-76.8527901</v>
      </c>
      <c r="E1223" s="9" t="s">
        <v>9258</v>
      </c>
      <c r="F1223" s="9" t="s">
        <v>9259</v>
      </c>
      <c r="G1223" s="9"/>
      <c r="H1223" s="9" t="s">
        <v>126</v>
      </c>
      <c r="I1223" s="9" t="s">
        <v>27</v>
      </c>
      <c r="J1223" s="9" t="s">
        <v>9260</v>
      </c>
      <c r="K1223" s="12" t="s">
        <v>9261</v>
      </c>
      <c r="L1223" s="9" t="s">
        <v>9262</v>
      </c>
      <c r="M1223" s="9">
        <v>72.63967935</v>
      </c>
      <c r="N1223" s="10">
        <v>69.04698066</v>
      </c>
      <c r="O1223" s="10" t="s">
        <v>9263</v>
      </c>
      <c r="P1223" s="9">
        <v>9082026.0</v>
      </c>
      <c r="Q1223" s="7" t="str">
        <f>IF(OR(ISBLANK(M1223), ISBLANK(N1223)), "", IF(N1223 &lt; Sheet3!$B$6, "Insufficient Reviews", IF(M1223 &gt;= Sheet3!$B$2, "Highly Reliable", IF(M1223 &gt;= Sheet3!$B$3, "Reliable", IF(M1223 &gt;= Sheet3!$B$4, "Mixed Reviews", "Low Reliability")))))</f>
        <v>Reliable</v>
      </c>
    </row>
    <row r="1224">
      <c r="A1224" s="3">
        <f t="shared" si="1"/>
        <v>1223</v>
      </c>
      <c r="B1224" s="9" t="s">
        <v>9264</v>
      </c>
      <c r="C1224" s="10">
        <v>39.3050462</v>
      </c>
      <c r="D1224" s="10">
        <v>-76.7540116</v>
      </c>
      <c r="E1224" s="9" t="s">
        <v>9265</v>
      </c>
      <c r="F1224" s="9" t="s">
        <v>9266</v>
      </c>
      <c r="G1224" s="9"/>
      <c r="H1224" s="9" t="s">
        <v>135</v>
      </c>
      <c r="I1224" s="9" t="s">
        <v>91</v>
      </c>
      <c r="J1224" s="9" t="s">
        <v>9267</v>
      </c>
      <c r="K1224" s="12" t="s">
        <v>9268</v>
      </c>
      <c r="L1224" s="9" t="s">
        <v>9269</v>
      </c>
      <c r="M1224" s="9">
        <v>83.94693911</v>
      </c>
      <c r="N1224" s="10">
        <v>67.37052167</v>
      </c>
      <c r="O1224" s="10" t="s">
        <v>9270</v>
      </c>
      <c r="P1224" s="9">
        <v>9082026.0</v>
      </c>
      <c r="Q1224" s="7" t="str">
        <f>IF(OR(ISBLANK(M1224), ISBLANK(N1224)), "", IF(N1224 &lt; Sheet3!$B$6, "Insufficient Reviews", IF(M1224 &gt;= Sheet3!$B$2, "Highly Reliable", IF(M1224 &gt;= Sheet3!$B$3, "Reliable", IF(M1224 &gt;= Sheet3!$B$4, "Mixed Reviews", "Low Reliability")))))</f>
        <v>Highly Reliable</v>
      </c>
    </row>
    <row r="1225">
      <c r="A1225" s="3">
        <f t="shared" si="1"/>
        <v>1224</v>
      </c>
      <c r="B1225" s="9" t="s">
        <v>9271</v>
      </c>
      <c r="C1225" s="10">
        <v>39.1041038</v>
      </c>
      <c r="D1225" s="10">
        <v>-77.0755395</v>
      </c>
      <c r="E1225" s="9" t="s">
        <v>9272</v>
      </c>
      <c r="F1225" s="9" t="s">
        <v>9273</v>
      </c>
      <c r="G1225" s="9" t="s">
        <v>9274</v>
      </c>
      <c r="H1225" s="9" t="s">
        <v>303</v>
      </c>
      <c r="I1225" s="9" t="s">
        <v>91</v>
      </c>
      <c r="J1225" s="9" t="s">
        <v>9275</v>
      </c>
      <c r="K1225" s="12" t="s">
        <v>9276</v>
      </c>
      <c r="L1225" s="9" t="s">
        <v>9277</v>
      </c>
      <c r="M1225" s="9">
        <v>85.28856576</v>
      </c>
      <c r="N1225" s="10">
        <v>73.27891061</v>
      </c>
      <c r="O1225" s="10" t="s">
        <v>6684</v>
      </c>
      <c r="P1225" s="9">
        <v>9082026.0</v>
      </c>
      <c r="Q1225" s="7" t="str">
        <f>IF(OR(ISBLANK(M1225), ISBLANK(N1225)), "", IF(N1225 &lt; Sheet3!$B$6, "Insufficient Reviews", IF(M1225 &gt;= Sheet3!$B$2, "Highly Reliable", IF(M1225 &gt;= Sheet3!$B$3, "Reliable", IF(M1225 &gt;= Sheet3!$B$4, "Mixed Reviews", "Low Reliability")))))</f>
        <v>Highly Reliable</v>
      </c>
    </row>
    <row r="1226">
      <c r="A1226" s="3">
        <f t="shared" si="1"/>
        <v>1225</v>
      </c>
      <c r="B1226" s="9" t="s">
        <v>9278</v>
      </c>
      <c r="C1226" s="10">
        <v>39.4131184</v>
      </c>
      <c r="D1226" s="10">
        <v>-76.8061393</v>
      </c>
      <c r="E1226" s="9" t="s">
        <v>9279</v>
      </c>
      <c r="F1226" s="9" t="s">
        <v>9280</v>
      </c>
      <c r="G1226" s="9" t="s">
        <v>9281</v>
      </c>
      <c r="H1226" s="9" t="s">
        <v>303</v>
      </c>
      <c r="I1226" s="9" t="s">
        <v>91</v>
      </c>
      <c r="J1226" s="9" t="s">
        <v>9282</v>
      </c>
      <c r="K1226" s="12" t="s">
        <v>9283</v>
      </c>
      <c r="L1226" s="9" t="s">
        <v>9284</v>
      </c>
      <c r="M1226" s="9">
        <v>45.71146996</v>
      </c>
      <c r="N1226" s="10">
        <v>62.50675752</v>
      </c>
      <c r="O1226" s="10" t="s">
        <v>9285</v>
      </c>
      <c r="P1226" s="9">
        <v>9082026.0</v>
      </c>
      <c r="Q1226" s="7" t="str">
        <f>IF(OR(ISBLANK(M1226), ISBLANK(N1226)), "", IF(N1226 &lt; Sheet3!$B$6, "Insufficient Reviews", IF(M1226 &gt;= Sheet3!$B$2, "Highly Reliable", IF(M1226 &gt;= Sheet3!$B$3, "Reliable", IF(M1226 &gt;= Sheet3!$B$4, "Mixed Reviews", "Low Reliability")))))</f>
        <v>Low Reliability</v>
      </c>
    </row>
    <row r="1227">
      <c r="A1227" s="3">
        <f t="shared" si="1"/>
        <v>1226</v>
      </c>
      <c r="B1227" s="9" t="s">
        <v>9286</v>
      </c>
      <c r="C1227" s="10">
        <v>39.5513922</v>
      </c>
      <c r="D1227" s="10">
        <v>-76.9924878</v>
      </c>
      <c r="E1227" s="9" t="s">
        <v>9287</v>
      </c>
      <c r="F1227" s="9" t="s">
        <v>9288</v>
      </c>
      <c r="G1227" s="9" t="s">
        <v>9289</v>
      </c>
      <c r="H1227" s="9" t="s">
        <v>9290</v>
      </c>
      <c r="I1227" s="9" t="s">
        <v>91</v>
      </c>
      <c r="J1227" s="9" t="s">
        <v>9291</v>
      </c>
      <c r="K1227" s="12" t="s">
        <v>9292</v>
      </c>
      <c r="L1227" s="9" t="s">
        <v>9293</v>
      </c>
      <c r="M1227" s="9">
        <v>82.00014353</v>
      </c>
      <c r="N1227" s="10">
        <v>73.82009569</v>
      </c>
      <c r="O1227" s="10" t="s">
        <v>9294</v>
      </c>
      <c r="P1227" s="9">
        <v>9082026.0</v>
      </c>
      <c r="Q1227" s="7" t="str">
        <f>IF(OR(ISBLANK(M1227), ISBLANK(N1227)), "", IF(N1227 &lt; Sheet3!$B$6, "Insufficient Reviews", IF(M1227 &gt;= Sheet3!$B$2, "Highly Reliable", IF(M1227 &gt;= Sheet3!$B$3, "Reliable", IF(M1227 &gt;= Sheet3!$B$4, "Mixed Reviews", "Low Reliability")))))</f>
        <v>Highly Reliable</v>
      </c>
    </row>
    <row r="1228">
      <c r="A1228" s="3">
        <f t="shared" si="1"/>
        <v>1227</v>
      </c>
      <c r="B1228" s="9" t="s">
        <v>2755</v>
      </c>
      <c r="C1228" s="10">
        <v>39.3646861</v>
      </c>
      <c r="D1228" s="10">
        <v>-76.7501434</v>
      </c>
      <c r="E1228" s="9" t="s">
        <v>2756</v>
      </c>
      <c r="F1228" s="9" t="s">
        <v>2757</v>
      </c>
      <c r="G1228" s="11"/>
      <c r="H1228" s="9" t="s">
        <v>135</v>
      </c>
      <c r="I1228" s="9" t="s">
        <v>91</v>
      </c>
      <c r="J1228" s="9" t="s">
        <v>9295</v>
      </c>
      <c r="K1228" s="12" t="s">
        <v>2760</v>
      </c>
      <c r="L1228" s="9" t="s">
        <v>9296</v>
      </c>
      <c r="M1228" s="9">
        <v>70.04562622</v>
      </c>
      <c r="N1228" s="10">
        <v>69.79140243</v>
      </c>
      <c r="O1228" s="10" t="s">
        <v>2762</v>
      </c>
      <c r="P1228" s="9">
        <v>9082026.0</v>
      </c>
      <c r="Q1228" s="7" t="str">
        <f>IF(OR(ISBLANK(M1228), ISBLANK(N1228)), "", IF(N1228 &lt; Sheet3!$B$6, "Insufficient Reviews", IF(M1228 &gt;= Sheet3!$B$2, "Highly Reliable", IF(M1228 &gt;= Sheet3!$B$3, "Reliable", IF(M1228 &gt;= Sheet3!$B$4, "Mixed Reviews", "Low Reliability")))))</f>
        <v>Reliable</v>
      </c>
    </row>
    <row r="1229">
      <c r="A1229" s="3">
        <f t="shared" si="1"/>
        <v>1228</v>
      </c>
      <c r="B1229" s="9" t="s">
        <v>9297</v>
      </c>
      <c r="C1229" s="10">
        <v>39.3545612</v>
      </c>
      <c r="D1229" s="10">
        <v>-76.7626006</v>
      </c>
      <c r="E1229" s="9" t="s">
        <v>9298</v>
      </c>
      <c r="F1229" s="9" t="s">
        <v>9299</v>
      </c>
      <c r="G1229" s="11"/>
      <c r="H1229" s="9" t="s">
        <v>9300</v>
      </c>
      <c r="I1229" s="9" t="s">
        <v>91</v>
      </c>
      <c r="J1229" s="9" t="s">
        <v>9301</v>
      </c>
      <c r="K1229" s="12" t="s">
        <v>9302</v>
      </c>
      <c r="L1229" s="9" t="s">
        <v>9303</v>
      </c>
      <c r="M1229" s="9">
        <v>16.5</v>
      </c>
      <c r="N1229" s="10">
        <v>30.06333333</v>
      </c>
      <c r="O1229" s="10" t="s">
        <v>7026</v>
      </c>
      <c r="P1229" s="9">
        <v>9082026.0</v>
      </c>
      <c r="Q1229" s="7" t="str">
        <f>IF(OR(ISBLANK(M1229), ISBLANK(N1229)), "", IF(N1229 &lt; Sheet3!$B$6, "Insufficient Reviews", IF(M1229 &gt;= Sheet3!$B$2, "Highly Reliable", IF(M1229 &gt;= Sheet3!$B$3, "Reliable", IF(M1229 &gt;= Sheet3!$B$4, "Mixed Reviews", "Low Reliability")))))</f>
        <v>Insufficient Reviews</v>
      </c>
    </row>
    <row r="1230">
      <c r="A1230" s="3">
        <f t="shared" si="1"/>
        <v>1229</v>
      </c>
      <c r="B1230" s="9" t="s">
        <v>9304</v>
      </c>
      <c r="C1230" s="10">
        <v>39.3658733</v>
      </c>
      <c r="D1230" s="10">
        <v>-76.7206325</v>
      </c>
      <c r="E1230" s="9" t="s">
        <v>9305</v>
      </c>
      <c r="F1230" s="9" t="s">
        <v>9306</v>
      </c>
      <c r="G1230" s="9"/>
      <c r="H1230" s="9" t="s">
        <v>3216</v>
      </c>
      <c r="I1230" s="9" t="s">
        <v>91</v>
      </c>
      <c r="J1230" s="9" t="s">
        <v>9307</v>
      </c>
      <c r="K1230" s="12" t="s">
        <v>9308</v>
      </c>
      <c r="L1230" s="9" t="s">
        <v>9309</v>
      </c>
      <c r="M1230" s="9">
        <v>76.66553858</v>
      </c>
      <c r="N1230" s="10">
        <v>48.97312135</v>
      </c>
      <c r="O1230" s="10" t="s">
        <v>9310</v>
      </c>
      <c r="P1230" s="9">
        <v>9082026.0</v>
      </c>
      <c r="Q1230" s="7" t="str">
        <f>IF(OR(ISBLANK(M1230), ISBLANK(N1230)), "", IF(N1230 &lt; Sheet3!$B$6, "Insufficient Reviews", IF(M1230 &gt;= Sheet3!$B$2, "Highly Reliable", IF(M1230 &gt;= Sheet3!$B$3, "Reliable", IF(M1230 &gt;= Sheet3!$B$4, "Mixed Reviews", "Low Reliability")))))</f>
        <v>Reliable</v>
      </c>
    </row>
    <row r="1231">
      <c r="A1231" s="3">
        <f t="shared" si="1"/>
        <v>1230</v>
      </c>
      <c r="B1231" s="9" t="s">
        <v>9311</v>
      </c>
      <c r="C1231" s="10">
        <v>39.4820146</v>
      </c>
      <c r="D1231" s="10">
        <v>-76.6477361</v>
      </c>
      <c r="E1231" s="9" t="s">
        <v>9312</v>
      </c>
      <c r="F1231" s="9" t="s">
        <v>9313</v>
      </c>
      <c r="G1231" s="9" t="s">
        <v>9314</v>
      </c>
      <c r="H1231" s="9"/>
      <c r="I1231" s="9" t="s">
        <v>35</v>
      </c>
      <c r="J1231" s="9" t="s">
        <v>9315</v>
      </c>
      <c r="K1231" s="12" t="s">
        <v>9316</v>
      </c>
      <c r="L1231" s="9" t="s">
        <v>9317</v>
      </c>
      <c r="M1231" s="9">
        <v>52.66145631</v>
      </c>
      <c r="N1231" s="10">
        <v>75.14061041</v>
      </c>
      <c r="O1231" s="10" t="s">
        <v>9318</v>
      </c>
      <c r="P1231" s="9">
        <v>9082026.0</v>
      </c>
      <c r="Q1231" s="7" t="str">
        <f>IF(OR(ISBLANK(M1231), ISBLANK(N1231)), "", IF(N1231 &lt; Sheet3!$B$6, "Insufficient Reviews", IF(M1231 &gt;= Sheet3!$B$2, "Highly Reliable", IF(M1231 &gt;= Sheet3!$B$3, "Reliable", IF(M1231 &gt;= Sheet3!$B$4, "Mixed Reviews", "Low Reliability")))))</f>
        <v>Low Reliability</v>
      </c>
    </row>
    <row r="1232">
      <c r="A1232" s="3">
        <f t="shared" si="1"/>
        <v>1231</v>
      </c>
      <c r="B1232" s="9" t="s">
        <v>9319</v>
      </c>
      <c r="C1232" s="10">
        <v>39.3704525</v>
      </c>
      <c r="D1232" s="10">
        <v>-76.6843025</v>
      </c>
      <c r="E1232" s="9" t="s">
        <v>9320</v>
      </c>
      <c r="F1232" s="9" t="s">
        <v>9321</v>
      </c>
      <c r="G1232" s="9" t="s">
        <v>9322</v>
      </c>
      <c r="H1232" s="9" t="s">
        <v>312</v>
      </c>
      <c r="I1232" s="9" t="s">
        <v>91</v>
      </c>
      <c r="J1232" s="9" t="s">
        <v>9323</v>
      </c>
      <c r="K1232" s="12" t="s">
        <v>9324</v>
      </c>
      <c r="L1232" s="9" t="s">
        <v>9325</v>
      </c>
      <c r="M1232" s="9">
        <v>86.1091882</v>
      </c>
      <c r="N1232" s="10">
        <v>56.49831673</v>
      </c>
      <c r="O1232" s="10" t="s">
        <v>9326</v>
      </c>
      <c r="P1232" s="9">
        <v>9082026.0</v>
      </c>
      <c r="Q1232" s="7" t="str">
        <f>IF(OR(ISBLANK(M1232), ISBLANK(N1232)), "", IF(N1232 &lt; Sheet3!$B$6, "Insufficient Reviews", IF(M1232 &gt;= Sheet3!$B$2, "Highly Reliable", IF(M1232 &gt;= Sheet3!$B$3, "Reliable", IF(M1232 &gt;= Sheet3!$B$4, "Mixed Reviews", "Low Reliability")))))</f>
        <v>Highly Reliable</v>
      </c>
    </row>
    <row r="1233">
      <c r="A1233" s="3">
        <f t="shared" si="1"/>
        <v>1232</v>
      </c>
      <c r="B1233" s="9" t="s">
        <v>9327</v>
      </c>
      <c r="C1233" s="10">
        <v>39.2907102</v>
      </c>
      <c r="D1233" s="10">
        <v>-76.8205368</v>
      </c>
      <c r="E1233" s="9" t="s">
        <v>9328</v>
      </c>
      <c r="F1233" s="9" t="s">
        <v>9329</v>
      </c>
      <c r="G1233" s="9"/>
      <c r="H1233" s="9" t="s">
        <v>135</v>
      </c>
      <c r="I1233" s="9" t="s">
        <v>91</v>
      </c>
      <c r="J1233" s="9" t="s">
        <v>9330</v>
      </c>
      <c r="K1233" s="12" t="s">
        <v>9331</v>
      </c>
      <c r="L1233" s="9" t="s">
        <v>9332</v>
      </c>
      <c r="M1233" s="9">
        <v>52.90814318</v>
      </c>
      <c r="N1233" s="10">
        <v>70.68731244</v>
      </c>
      <c r="O1233" s="10" t="s">
        <v>223</v>
      </c>
      <c r="P1233" s="9">
        <v>9082026.0</v>
      </c>
      <c r="Q1233" s="7" t="str">
        <f>IF(OR(ISBLANK(M1233), ISBLANK(N1233)), "", IF(N1233 &lt; Sheet3!$B$6, "Insufficient Reviews", IF(M1233 &gt;= Sheet3!$B$2, "Highly Reliable", IF(M1233 &gt;= Sheet3!$B$3, "Reliable", IF(M1233 &gt;= Sheet3!$B$4, "Mixed Reviews", "Low Reliability")))))</f>
        <v>Low Reliability</v>
      </c>
    </row>
    <row r="1234">
      <c r="A1234" s="3">
        <f t="shared" si="1"/>
        <v>1233</v>
      </c>
      <c r="B1234" s="9" t="s">
        <v>4536</v>
      </c>
      <c r="C1234" s="10">
        <v>39.3525448</v>
      </c>
      <c r="D1234" s="10">
        <v>-76.6611259</v>
      </c>
      <c r="E1234" s="9" t="s">
        <v>4537</v>
      </c>
      <c r="F1234" s="9" t="s">
        <v>4538</v>
      </c>
      <c r="G1234" s="11"/>
      <c r="H1234" s="9" t="s">
        <v>135</v>
      </c>
      <c r="I1234" s="9" t="s">
        <v>91</v>
      </c>
      <c r="J1234" s="9" t="s">
        <v>9333</v>
      </c>
      <c r="K1234" s="12" t="s">
        <v>4540</v>
      </c>
      <c r="L1234" s="9" t="s">
        <v>9334</v>
      </c>
      <c r="M1234" s="9">
        <v>69.05827729</v>
      </c>
      <c r="N1234" s="10">
        <v>90.70414142</v>
      </c>
      <c r="O1234" s="10" t="s">
        <v>9335</v>
      </c>
      <c r="P1234" s="9">
        <v>9082026.0</v>
      </c>
      <c r="Q1234" s="7" t="str">
        <f>IF(OR(ISBLANK(M1234), ISBLANK(N1234)), "", IF(N1234 &lt; Sheet3!$B$6, "Insufficient Reviews", IF(M1234 &gt;= Sheet3!$B$2, "Highly Reliable", IF(M1234 &gt;= Sheet3!$B$3, "Reliable", IF(M1234 &gt;= Sheet3!$B$4, "Mixed Reviews", "Low Reliability")))))</f>
        <v>Mixed Reviews</v>
      </c>
    </row>
    <row r="1235">
      <c r="A1235" s="3">
        <f t="shared" si="1"/>
        <v>1234</v>
      </c>
      <c r="B1235" s="9" t="s">
        <v>9336</v>
      </c>
      <c r="C1235" s="10">
        <v>39.2807552</v>
      </c>
      <c r="D1235" s="10">
        <v>-76.8652366</v>
      </c>
      <c r="E1235" s="9" t="s">
        <v>9337</v>
      </c>
      <c r="F1235" s="9" t="s">
        <v>9338</v>
      </c>
      <c r="G1235" s="11"/>
      <c r="H1235" s="9" t="s">
        <v>135</v>
      </c>
      <c r="I1235" s="9" t="s">
        <v>91</v>
      </c>
      <c r="J1235" s="9" t="s">
        <v>9339</v>
      </c>
      <c r="K1235" s="12" t="s">
        <v>9340</v>
      </c>
      <c r="L1235" s="9" t="s">
        <v>9341</v>
      </c>
      <c r="M1235" s="9">
        <v>86.77840338</v>
      </c>
      <c r="N1235" s="10">
        <v>75.41213139</v>
      </c>
      <c r="O1235" s="10" t="s">
        <v>9342</v>
      </c>
      <c r="P1235" s="9">
        <v>9082026.0</v>
      </c>
      <c r="Q1235" s="7" t="str">
        <f>IF(OR(ISBLANK(M1235), ISBLANK(N1235)), "", IF(N1235 &lt; Sheet3!$B$6, "Insufficient Reviews", IF(M1235 &gt;= Sheet3!$B$2, "Highly Reliable", IF(M1235 &gt;= Sheet3!$B$3, "Reliable", IF(M1235 &gt;= Sheet3!$B$4, "Mixed Reviews", "Low Reliability")))))</f>
        <v>Highly Reliable</v>
      </c>
    </row>
    <row r="1236">
      <c r="A1236" s="3">
        <f t="shared" si="1"/>
        <v>1235</v>
      </c>
      <c r="B1236" s="9" t="s">
        <v>9343</v>
      </c>
      <c r="C1236" s="10">
        <v>39.4007811</v>
      </c>
      <c r="D1236" s="10">
        <v>-76.6038908</v>
      </c>
      <c r="E1236" s="9" t="s">
        <v>9344</v>
      </c>
      <c r="F1236" s="9" t="s">
        <v>9345</v>
      </c>
      <c r="G1236" s="9" t="s">
        <v>9346</v>
      </c>
      <c r="H1236" s="9" t="s">
        <v>80</v>
      </c>
      <c r="I1236" s="9" t="s">
        <v>91</v>
      </c>
      <c r="J1236" s="9" t="s">
        <v>9347</v>
      </c>
      <c r="K1236" s="12" t="s">
        <v>9348</v>
      </c>
      <c r="L1236" s="9" t="s">
        <v>9349</v>
      </c>
      <c r="M1236" s="9">
        <v>87.49621491</v>
      </c>
      <c r="N1236" s="10">
        <v>67.90314589</v>
      </c>
      <c r="O1236" s="10" t="s">
        <v>9350</v>
      </c>
      <c r="P1236" s="9">
        <v>9082026.0</v>
      </c>
      <c r="Q1236" s="7" t="str">
        <f>IF(OR(ISBLANK(M1236), ISBLANK(N1236)), "", IF(N1236 &lt; Sheet3!$B$6, "Insufficient Reviews", IF(M1236 &gt;= Sheet3!$B$2, "Highly Reliable", IF(M1236 &gt;= Sheet3!$B$3, "Reliable", IF(M1236 &gt;= Sheet3!$B$4, "Mixed Reviews", "Low Reliability")))))</f>
        <v>Highly Reliable</v>
      </c>
    </row>
    <row r="1237">
      <c r="A1237" s="3">
        <f t="shared" si="1"/>
        <v>1236</v>
      </c>
      <c r="B1237" s="9" t="s">
        <v>9351</v>
      </c>
      <c r="C1237" s="10">
        <v>38.804821</v>
      </c>
      <c r="D1237" s="10">
        <v>-77.2369665</v>
      </c>
      <c r="E1237" s="9" t="s">
        <v>9352</v>
      </c>
      <c r="F1237" s="9" t="s">
        <v>9353</v>
      </c>
      <c r="G1237" s="9"/>
      <c r="H1237" s="9" t="s">
        <v>62</v>
      </c>
      <c r="I1237" s="9" t="s">
        <v>91</v>
      </c>
      <c r="J1237" s="9" t="s">
        <v>9354</v>
      </c>
      <c r="K1237" s="12" t="s">
        <v>9355</v>
      </c>
      <c r="L1237" s="9" t="s">
        <v>9356</v>
      </c>
      <c r="M1237" s="9">
        <v>82.45459587</v>
      </c>
      <c r="N1237" s="10">
        <v>58.70199418</v>
      </c>
      <c r="O1237" s="10" t="s">
        <v>9357</v>
      </c>
      <c r="P1237" s="9">
        <v>9082026.0</v>
      </c>
      <c r="Q1237" s="7" t="str">
        <f>IF(OR(ISBLANK(M1237), ISBLANK(N1237)), "", IF(N1237 &lt; Sheet3!$B$6, "Insufficient Reviews", IF(M1237 &gt;= Sheet3!$B$2, "Highly Reliable", IF(M1237 &gt;= Sheet3!$B$3, "Reliable", IF(M1237 &gt;= Sheet3!$B$4, "Mixed Reviews", "Low Reliability")))))</f>
        <v>Highly Reliable</v>
      </c>
    </row>
    <row r="1238">
      <c r="A1238" s="3">
        <f t="shared" si="1"/>
        <v>1237</v>
      </c>
      <c r="B1238" s="9" t="s">
        <v>9358</v>
      </c>
      <c r="C1238" s="10">
        <v>39.244129</v>
      </c>
      <c r="D1238" s="10">
        <v>-76.8354274</v>
      </c>
      <c r="E1238" s="9" t="s">
        <v>9359</v>
      </c>
      <c r="F1238" s="9" t="s">
        <v>9360</v>
      </c>
      <c r="G1238" s="9" t="s">
        <v>9361</v>
      </c>
      <c r="H1238" s="9" t="s">
        <v>1476</v>
      </c>
      <c r="I1238" s="9" t="s">
        <v>91</v>
      </c>
      <c r="J1238" s="9" t="s">
        <v>9362</v>
      </c>
      <c r="K1238" s="12" t="s">
        <v>9363</v>
      </c>
      <c r="L1238" s="9" t="s">
        <v>9364</v>
      </c>
      <c r="M1238" s="9">
        <v>84.13647957</v>
      </c>
      <c r="N1238" s="10">
        <v>68.84203557</v>
      </c>
      <c r="O1238" s="10" t="s">
        <v>9365</v>
      </c>
      <c r="P1238" s="9">
        <v>9082026.0</v>
      </c>
      <c r="Q1238" s="7" t="str">
        <f>IF(OR(ISBLANK(M1238), ISBLANK(N1238)), "", IF(N1238 &lt; Sheet3!$B$6, "Insufficient Reviews", IF(M1238 &gt;= Sheet3!$B$2, "Highly Reliable", IF(M1238 &gt;= Sheet3!$B$3, "Reliable", IF(M1238 &gt;= Sheet3!$B$4, "Mixed Reviews", "Low Reliability")))))</f>
        <v>Highly Reliable</v>
      </c>
    </row>
    <row r="1239">
      <c r="A1239" s="3">
        <f t="shared" si="1"/>
        <v>1238</v>
      </c>
      <c r="B1239" s="9" t="s">
        <v>3332</v>
      </c>
      <c r="C1239" s="10">
        <v>39.3212705</v>
      </c>
      <c r="D1239" s="10">
        <v>-76.6176239</v>
      </c>
      <c r="E1239" s="9" t="s">
        <v>3333</v>
      </c>
      <c r="F1239" s="9" t="s">
        <v>3334</v>
      </c>
      <c r="G1239" s="9" t="s">
        <v>9366</v>
      </c>
      <c r="H1239" s="9" t="s">
        <v>135</v>
      </c>
      <c r="I1239" s="9" t="s">
        <v>91</v>
      </c>
      <c r="J1239" s="9" t="s">
        <v>9367</v>
      </c>
      <c r="K1239" s="12" t="s">
        <v>3337</v>
      </c>
      <c r="L1239" s="9" t="s">
        <v>9368</v>
      </c>
      <c r="M1239" s="9">
        <v>70.49304052</v>
      </c>
      <c r="N1239" s="10">
        <v>68.75234363</v>
      </c>
      <c r="O1239" s="10" t="s">
        <v>9369</v>
      </c>
      <c r="P1239" s="9">
        <v>9082026.0</v>
      </c>
      <c r="Q1239" s="7" t="str">
        <f>IF(OR(ISBLANK(M1239), ISBLANK(N1239)), "", IF(N1239 &lt; Sheet3!$B$6, "Insufficient Reviews", IF(M1239 &gt;= Sheet3!$B$2, "Highly Reliable", IF(M1239 &gt;= Sheet3!$B$3, "Reliable", IF(M1239 &gt;= Sheet3!$B$4, "Mixed Reviews", "Low Reliability")))))</f>
        <v>Reliable</v>
      </c>
    </row>
    <row r="1240">
      <c r="A1240" s="3">
        <f t="shared" si="1"/>
        <v>1239</v>
      </c>
      <c r="B1240" s="9" t="s">
        <v>9370</v>
      </c>
      <c r="C1240" s="10">
        <v>39.3140642</v>
      </c>
      <c r="D1240" s="10">
        <v>-76.6203769</v>
      </c>
      <c r="E1240" s="9" t="s">
        <v>9371</v>
      </c>
      <c r="F1240" s="9" t="s">
        <v>9372</v>
      </c>
      <c r="G1240" s="9" t="s">
        <v>9373</v>
      </c>
      <c r="H1240" s="9" t="s">
        <v>4241</v>
      </c>
      <c r="I1240" s="9" t="s">
        <v>91</v>
      </c>
      <c r="J1240" s="9" t="s">
        <v>9374</v>
      </c>
      <c r="K1240" s="9"/>
      <c r="L1240" s="9" t="s">
        <v>9375</v>
      </c>
      <c r="M1240" s="9">
        <v>12.0</v>
      </c>
      <c r="N1240" s="10">
        <v>15.04666667</v>
      </c>
      <c r="O1240" s="10" t="s">
        <v>7786</v>
      </c>
      <c r="P1240" s="9">
        <v>9082026.0</v>
      </c>
      <c r="Q1240" s="7" t="str">
        <f>IF(OR(ISBLANK(M1240), ISBLANK(N1240)), "", IF(N1240 &lt; Sheet3!$B$6, "Insufficient Reviews", IF(M1240 &gt;= Sheet3!$B$2, "Highly Reliable", IF(M1240 &gt;= Sheet3!$B$3, "Reliable", IF(M1240 &gt;= Sheet3!$B$4, "Mixed Reviews", "Low Reliability")))))</f>
        <v>Insufficient Reviews</v>
      </c>
    </row>
    <row r="1241">
      <c r="A1241" s="3">
        <f t="shared" si="1"/>
        <v>1240</v>
      </c>
      <c r="B1241" s="9" t="s">
        <v>9376</v>
      </c>
      <c r="C1241" s="10">
        <v>39.2901125</v>
      </c>
      <c r="D1241" s="10">
        <v>-76.6148256</v>
      </c>
      <c r="E1241" s="9" t="s">
        <v>9377</v>
      </c>
      <c r="F1241" s="9" t="s">
        <v>9378</v>
      </c>
      <c r="G1241" s="9"/>
      <c r="H1241" s="9" t="s">
        <v>135</v>
      </c>
      <c r="I1241" s="9" t="s">
        <v>91</v>
      </c>
      <c r="J1241" s="9" t="s">
        <v>9379</v>
      </c>
      <c r="K1241" s="12" t="s">
        <v>9380</v>
      </c>
      <c r="L1241" s="9" t="s">
        <v>9381</v>
      </c>
      <c r="M1241" s="9">
        <v>77.93528888</v>
      </c>
      <c r="N1241" s="10">
        <v>56.69322206</v>
      </c>
      <c r="O1241" s="10" t="s">
        <v>9382</v>
      </c>
      <c r="P1241" s="9">
        <v>9082026.0</v>
      </c>
      <c r="Q1241" s="7" t="str">
        <f>IF(OR(ISBLANK(M1241), ISBLANK(N1241)), "", IF(N1241 &lt; Sheet3!$B$6, "Insufficient Reviews", IF(M1241 &gt;= Sheet3!$B$2, "Highly Reliable", IF(M1241 &gt;= Sheet3!$B$3, "Reliable", IF(M1241 &gt;= Sheet3!$B$4, "Mixed Reviews", "Low Reliability")))))</f>
        <v>Reliable</v>
      </c>
    </row>
    <row r="1242">
      <c r="A1242" s="3">
        <f t="shared" si="1"/>
        <v>1241</v>
      </c>
      <c r="B1242" s="9" t="s">
        <v>454</v>
      </c>
      <c r="C1242" s="10">
        <v>39.2717008</v>
      </c>
      <c r="D1242" s="10">
        <v>-76.6735285</v>
      </c>
      <c r="E1242" s="9" t="s">
        <v>455</v>
      </c>
      <c r="F1242" s="9" t="s">
        <v>456</v>
      </c>
      <c r="G1242" s="9"/>
      <c r="H1242" s="9" t="s">
        <v>135</v>
      </c>
      <c r="I1242" s="9" t="s">
        <v>91</v>
      </c>
      <c r="J1242" s="9" t="s">
        <v>9383</v>
      </c>
      <c r="K1242" s="12" t="s">
        <v>459</v>
      </c>
      <c r="L1242" s="9" t="s">
        <v>9384</v>
      </c>
      <c r="M1242" s="9">
        <v>73.73183937</v>
      </c>
      <c r="N1242" s="10">
        <v>71.05871385</v>
      </c>
      <c r="O1242" s="10" t="s">
        <v>9385</v>
      </c>
      <c r="P1242" s="9">
        <v>9082026.0</v>
      </c>
      <c r="Q1242" s="7" t="str">
        <f>IF(OR(ISBLANK(M1242), ISBLANK(N1242)), "", IF(N1242 &lt; Sheet3!$B$6, "Insufficient Reviews", IF(M1242 &gt;= Sheet3!$B$2, "Highly Reliable", IF(M1242 &gt;= Sheet3!$B$3, "Reliable", IF(M1242 &gt;= Sheet3!$B$4, "Mixed Reviews", "Low Reliability")))))</f>
        <v>Reliable</v>
      </c>
    </row>
    <row r="1243">
      <c r="A1243" s="3">
        <f t="shared" si="1"/>
        <v>1242</v>
      </c>
      <c r="B1243" s="9" t="s">
        <v>9386</v>
      </c>
      <c r="C1243" s="10">
        <v>39.2470244</v>
      </c>
      <c r="D1243" s="10">
        <v>-76.6924164</v>
      </c>
      <c r="E1243" s="9" t="s">
        <v>9387</v>
      </c>
      <c r="F1243" s="9" t="s">
        <v>9388</v>
      </c>
      <c r="G1243" s="9"/>
      <c r="H1243" s="9" t="s">
        <v>9389</v>
      </c>
      <c r="I1243" s="9" t="s">
        <v>203</v>
      </c>
      <c r="J1243" s="9" t="s">
        <v>9390</v>
      </c>
      <c r="K1243" s="9"/>
      <c r="L1243" s="9" t="s">
        <v>9391</v>
      </c>
      <c r="M1243" s="9">
        <v>9.0</v>
      </c>
      <c r="N1243" s="10">
        <v>15.03166667</v>
      </c>
      <c r="O1243" s="10" t="s">
        <v>9392</v>
      </c>
      <c r="P1243" s="9">
        <v>9082026.0</v>
      </c>
      <c r="Q1243" s="7" t="str">
        <f>IF(OR(ISBLANK(M1243), ISBLANK(N1243)), "", IF(N1243 &lt; Sheet3!$B$6, "Insufficient Reviews", IF(M1243 &gt;= Sheet3!$B$2, "Highly Reliable", IF(M1243 &gt;= Sheet3!$B$3, "Reliable", IF(M1243 &gt;= Sheet3!$B$4, "Mixed Reviews", "Low Reliability")))))</f>
        <v>Insufficient Reviews</v>
      </c>
    </row>
    <row r="1244">
      <c r="A1244" s="3">
        <f t="shared" si="1"/>
        <v>1243</v>
      </c>
      <c r="B1244" s="9" t="s">
        <v>9393</v>
      </c>
      <c r="C1244" s="10">
        <v>38.804821</v>
      </c>
      <c r="D1244" s="10">
        <v>-77.2369665</v>
      </c>
      <c r="E1244" s="9" t="s">
        <v>9394</v>
      </c>
      <c r="F1244" s="9" t="s">
        <v>9395</v>
      </c>
      <c r="G1244" s="9"/>
      <c r="H1244" s="9" t="s">
        <v>126</v>
      </c>
      <c r="I1244" s="9" t="s">
        <v>91</v>
      </c>
      <c r="J1244" s="9" t="s">
        <v>9396</v>
      </c>
      <c r="K1244" s="9"/>
      <c r="L1244" s="9" t="s">
        <v>9397</v>
      </c>
      <c r="M1244" s="9">
        <v>9.0</v>
      </c>
      <c r="N1244" s="10">
        <v>15.91666667</v>
      </c>
      <c r="O1244" s="10" t="s">
        <v>741</v>
      </c>
      <c r="P1244" s="9">
        <v>9082026.0</v>
      </c>
      <c r="Q1244" s="7" t="str">
        <f>IF(OR(ISBLANK(M1244), ISBLANK(N1244)), "", IF(N1244 &lt; Sheet3!$B$6, "Insufficient Reviews", IF(M1244 &gt;= Sheet3!$B$2, "Highly Reliable", IF(M1244 &gt;= Sheet3!$B$3, "Reliable", IF(M1244 &gt;= Sheet3!$B$4, "Mixed Reviews", "Low Reliability")))))</f>
        <v>Insufficient Reviews</v>
      </c>
    </row>
    <row r="1245">
      <c r="A1245" s="3">
        <f t="shared" si="1"/>
        <v>1244</v>
      </c>
      <c r="B1245" s="9" t="s">
        <v>9398</v>
      </c>
      <c r="C1245" s="10">
        <v>39.2987173</v>
      </c>
      <c r="D1245" s="10">
        <v>-76.5939937</v>
      </c>
      <c r="E1245" s="9" t="s">
        <v>7860</v>
      </c>
      <c r="F1245" s="9" t="s">
        <v>9399</v>
      </c>
      <c r="G1245" s="9" t="s">
        <v>6799</v>
      </c>
      <c r="H1245" s="9" t="s">
        <v>43</v>
      </c>
      <c r="I1245" s="9" t="s">
        <v>91</v>
      </c>
      <c r="J1245" s="9" t="s">
        <v>9400</v>
      </c>
      <c r="K1245" s="12" t="s">
        <v>7865</v>
      </c>
      <c r="L1245" s="9" t="s">
        <v>9401</v>
      </c>
      <c r="M1245" s="9">
        <v>70.1781819</v>
      </c>
      <c r="N1245" s="10">
        <v>89.74767294</v>
      </c>
      <c r="O1245" s="10" t="s">
        <v>9402</v>
      </c>
      <c r="P1245" s="9">
        <v>9082026.0</v>
      </c>
      <c r="Q1245" s="7" t="str">
        <f>IF(OR(ISBLANK(M1245), ISBLANK(N1245)), "", IF(N1245 &lt; Sheet3!$B$6, "Insufficient Reviews", IF(M1245 &gt;= Sheet3!$B$2, "Highly Reliable", IF(M1245 &gt;= Sheet3!$B$3, "Reliable", IF(M1245 &gt;= Sheet3!$B$4, "Mixed Reviews", "Low Reliability")))))</f>
        <v>Reliable</v>
      </c>
    </row>
    <row r="1246">
      <c r="A1246" s="3">
        <f t="shared" si="1"/>
        <v>1245</v>
      </c>
      <c r="B1246" s="9" t="s">
        <v>9403</v>
      </c>
      <c r="C1246" s="10">
        <v>39.2744148</v>
      </c>
      <c r="D1246" s="10">
        <v>-76.6177632</v>
      </c>
      <c r="E1246" s="9" t="s">
        <v>9404</v>
      </c>
      <c r="F1246" s="9" t="s">
        <v>9405</v>
      </c>
      <c r="G1246" s="9"/>
      <c r="H1246" s="9" t="s">
        <v>135</v>
      </c>
      <c r="I1246" s="9" t="s">
        <v>91</v>
      </c>
      <c r="J1246" s="9" t="s">
        <v>9406</v>
      </c>
      <c r="K1246" s="12" t="s">
        <v>9407</v>
      </c>
      <c r="L1246" s="9" t="s">
        <v>9408</v>
      </c>
      <c r="M1246" s="9">
        <v>87.35100694</v>
      </c>
      <c r="N1246" s="10">
        <v>72.64733317</v>
      </c>
      <c r="O1246" s="10" t="s">
        <v>9409</v>
      </c>
      <c r="P1246" s="9">
        <v>9082026.0</v>
      </c>
      <c r="Q1246" s="7" t="str">
        <f>IF(OR(ISBLANK(M1246), ISBLANK(N1246)), "", IF(N1246 &lt; Sheet3!$B$6, "Insufficient Reviews", IF(M1246 &gt;= Sheet3!$B$2, "Highly Reliable", IF(M1246 &gt;= Sheet3!$B$3, "Reliable", IF(M1246 &gt;= Sheet3!$B$4, "Mixed Reviews", "Low Reliability")))))</f>
        <v>Highly Reliable</v>
      </c>
    </row>
    <row r="1247">
      <c r="A1247" s="3">
        <f t="shared" si="1"/>
        <v>1246</v>
      </c>
      <c r="B1247" s="9" t="s">
        <v>9410</v>
      </c>
      <c r="C1247" s="10">
        <v>39.3700481</v>
      </c>
      <c r="D1247" s="10">
        <v>-76.5048356</v>
      </c>
      <c r="E1247" s="9" t="s">
        <v>9411</v>
      </c>
      <c r="F1247" s="9" t="s">
        <v>9412</v>
      </c>
      <c r="G1247" s="9"/>
      <c r="H1247" s="9" t="s">
        <v>312</v>
      </c>
      <c r="I1247" s="9" t="s">
        <v>91</v>
      </c>
      <c r="J1247" s="9" t="s">
        <v>9413</v>
      </c>
      <c r="K1247" s="12" t="s">
        <v>9414</v>
      </c>
      <c r="L1247" s="9" t="s">
        <v>9415</v>
      </c>
      <c r="M1247" s="9">
        <v>70.31771376</v>
      </c>
      <c r="N1247" s="10">
        <v>69.77550188</v>
      </c>
      <c r="O1247" s="10" t="s">
        <v>9416</v>
      </c>
      <c r="P1247" s="9">
        <v>9082026.0</v>
      </c>
      <c r="Q1247" s="7" t="str">
        <f>IF(OR(ISBLANK(M1247), ISBLANK(N1247)), "", IF(N1247 &lt; Sheet3!$B$6, "Insufficient Reviews", IF(M1247 &gt;= Sheet3!$B$2, "Highly Reliable", IF(M1247 &gt;= Sheet3!$B$3, "Reliable", IF(M1247 &gt;= Sheet3!$B$4, "Mixed Reviews", "Low Reliability")))))</f>
        <v>Reliable</v>
      </c>
    </row>
    <row r="1248">
      <c r="A1248" s="3">
        <f t="shared" si="1"/>
        <v>1247</v>
      </c>
      <c r="B1248" s="9" t="s">
        <v>9417</v>
      </c>
      <c r="C1248" s="10">
        <v>39.3568742</v>
      </c>
      <c r="D1248" s="10">
        <v>-76.4709864</v>
      </c>
      <c r="E1248" s="9" t="s">
        <v>9418</v>
      </c>
      <c r="F1248" s="9" t="s">
        <v>9419</v>
      </c>
      <c r="G1248" s="9" t="s">
        <v>9420</v>
      </c>
      <c r="H1248" s="9" t="s">
        <v>303</v>
      </c>
      <c r="I1248" s="9" t="s">
        <v>91</v>
      </c>
      <c r="J1248" s="9" t="s">
        <v>9421</v>
      </c>
      <c r="K1248" s="12" t="s">
        <v>9422</v>
      </c>
      <c r="L1248" s="9" t="s">
        <v>9423</v>
      </c>
      <c r="M1248" s="9">
        <v>86.96305361</v>
      </c>
      <c r="N1248" s="10">
        <v>75.16726895</v>
      </c>
      <c r="O1248" s="10" t="s">
        <v>9424</v>
      </c>
      <c r="P1248" s="9">
        <v>9082026.0</v>
      </c>
      <c r="Q1248" s="7" t="str">
        <f>IF(OR(ISBLANK(M1248), ISBLANK(N1248)), "", IF(N1248 &lt; Sheet3!$B$6, "Insufficient Reviews", IF(M1248 &gt;= Sheet3!$B$2, "Highly Reliable", IF(M1248 &gt;= Sheet3!$B$3, "Reliable", IF(M1248 &gt;= Sheet3!$B$4, "Mixed Reviews", "Low Reliability")))))</f>
        <v>Highly Reliable</v>
      </c>
    </row>
    <row r="1249">
      <c r="A1249" s="3">
        <f t="shared" si="1"/>
        <v>1248</v>
      </c>
      <c r="B1249" s="9" t="s">
        <v>9425</v>
      </c>
      <c r="C1249" s="10">
        <v>38.367468</v>
      </c>
      <c r="D1249" s="10">
        <v>-75.618577</v>
      </c>
      <c r="E1249" s="9" t="s">
        <v>9426</v>
      </c>
      <c r="F1249" s="9" t="s">
        <v>9427</v>
      </c>
      <c r="G1249" s="9"/>
      <c r="H1249" s="9" t="s">
        <v>126</v>
      </c>
      <c r="I1249" s="9" t="s">
        <v>91</v>
      </c>
      <c r="J1249" s="9" t="s">
        <v>9428</v>
      </c>
      <c r="K1249" s="12" t="s">
        <v>9429</v>
      </c>
      <c r="L1249" s="9" t="s">
        <v>9430</v>
      </c>
      <c r="M1249" s="9">
        <v>36.35100694</v>
      </c>
      <c r="N1249" s="10">
        <v>51.09676692</v>
      </c>
      <c r="O1249" s="10" t="s">
        <v>9431</v>
      </c>
      <c r="P1249" s="9">
        <v>9082026.0</v>
      </c>
      <c r="Q1249" s="7" t="str">
        <f>IF(OR(ISBLANK(M1249), ISBLANK(N1249)), "", IF(N1249 &lt; Sheet3!$B$6, "Insufficient Reviews", IF(M1249 &gt;= Sheet3!$B$2, "Highly Reliable", IF(M1249 &gt;= Sheet3!$B$3, "Reliable", IF(M1249 &gt;= Sheet3!$B$4, "Mixed Reviews", "Low Reliability")))))</f>
        <v>Low Reliability</v>
      </c>
    </row>
    <row r="1250">
      <c r="A1250" s="3">
        <f t="shared" si="1"/>
        <v>1249</v>
      </c>
      <c r="B1250" s="9" t="s">
        <v>9432</v>
      </c>
      <c r="C1250" s="10">
        <v>39.1439225</v>
      </c>
      <c r="D1250" s="10">
        <v>-77.2080926</v>
      </c>
      <c r="E1250" s="9" t="s">
        <v>9433</v>
      </c>
      <c r="F1250" s="9" t="s">
        <v>9434</v>
      </c>
      <c r="G1250" s="9"/>
      <c r="H1250" s="9" t="s">
        <v>135</v>
      </c>
      <c r="I1250" s="9" t="s">
        <v>91</v>
      </c>
      <c r="J1250" s="9" t="s">
        <v>9435</v>
      </c>
      <c r="K1250" s="12" t="s">
        <v>9436</v>
      </c>
      <c r="L1250" s="9" t="s">
        <v>9437</v>
      </c>
      <c r="M1250" s="9">
        <v>88.40919173</v>
      </c>
      <c r="N1250" s="10">
        <v>68.5117971</v>
      </c>
      <c r="O1250" s="10" t="s">
        <v>9438</v>
      </c>
      <c r="P1250" s="9">
        <v>9082026.0</v>
      </c>
      <c r="Q1250" s="7" t="str">
        <f>IF(OR(ISBLANK(M1250), ISBLANK(N1250)), "", IF(N1250 &lt; Sheet3!$B$6, "Insufficient Reviews", IF(M1250 &gt;= Sheet3!$B$2, "Highly Reliable", IF(M1250 &gt;= Sheet3!$B$3, "Reliable", IF(M1250 &gt;= Sheet3!$B$4, "Mixed Reviews", "Low Reliability")))))</f>
        <v>Highly Reliable</v>
      </c>
    </row>
    <row r="1251">
      <c r="A1251" s="3">
        <f t="shared" si="1"/>
        <v>1250</v>
      </c>
      <c r="B1251" s="9" t="s">
        <v>9439</v>
      </c>
      <c r="C1251" s="10">
        <v>39.088585</v>
      </c>
      <c r="D1251" s="10">
        <v>-76.8555869</v>
      </c>
      <c r="E1251" s="9" t="s">
        <v>9440</v>
      </c>
      <c r="F1251" s="9" t="s">
        <v>9441</v>
      </c>
      <c r="G1251" s="11"/>
      <c r="H1251" s="9" t="s">
        <v>9442</v>
      </c>
      <c r="I1251" s="9" t="s">
        <v>35</v>
      </c>
      <c r="J1251" s="9" t="s">
        <v>9443</v>
      </c>
      <c r="K1251" s="12" t="s">
        <v>9444</v>
      </c>
      <c r="L1251" s="9" t="s">
        <v>9445</v>
      </c>
      <c r="M1251" s="9">
        <v>80.67470666</v>
      </c>
      <c r="N1251" s="10">
        <v>46.64590007</v>
      </c>
      <c r="O1251" s="10" t="s">
        <v>1621</v>
      </c>
      <c r="P1251" s="9">
        <v>9082026.0</v>
      </c>
      <c r="Q1251" s="7" t="str">
        <f>IF(OR(ISBLANK(M1251), ISBLANK(N1251)), "", IF(N1251 &lt; Sheet3!$B$6, "Insufficient Reviews", IF(M1251 &gt;= Sheet3!$B$2, "Highly Reliable", IF(M1251 &gt;= Sheet3!$B$3, "Reliable", IF(M1251 &gt;= Sheet3!$B$4, "Mixed Reviews", "Low Reliability")))))</f>
        <v>Reliable</v>
      </c>
    </row>
    <row r="1252">
      <c r="A1252" s="3">
        <f t="shared" si="1"/>
        <v>1251</v>
      </c>
      <c r="B1252" s="9" t="s">
        <v>9446</v>
      </c>
      <c r="C1252" s="10">
        <v>39.08865</v>
      </c>
      <c r="D1252" s="10">
        <v>-76.8443926</v>
      </c>
      <c r="E1252" s="9" t="s">
        <v>9447</v>
      </c>
      <c r="F1252" s="9" t="s">
        <v>9448</v>
      </c>
      <c r="G1252" s="9" t="s">
        <v>9449</v>
      </c>
      <c r="H1252" s="9" t="s">
        <v>9450</v>
      </c>
      <c r="I1252" s="9" t="s">
        <v>91</v>
      </c>
      <c r="J1252" s="9" t="s">
        <v>9451</v>
      </c>
      <c r="K1252" s="12" t="s">
        <v>9452</v>
      </c>
      <c r="L1252" s="9" t="s">
        <v>9453</v>
      </c>
      <c r="M1252" s="9">
        <v>79.80508764</v>
      </c>
      <c r="N1252" s="10">
        <v>62.77572771</v>
      </c>
      <c r="O1252" s="10" t="s">
        <v>9454</v>
      </c>
      <c r="P1252" s="9">
        <v>9082026.0</v>
      </c>
      <c r="Q1252" s="7" t="str">
        <f>IF(OR(ISBLANK(M1252), ISBLANK(N1252)), "", IF(N1252 &lt; Sheet3!$B$6, "Insufficient Reviews", IF(M1252 &gt;= Sheet3!$B$2, "Highly Reliable", IF(M1252 &gt;= Sheet3!$B$3, "Reliable", IF(M1252 &gt;= Sheet3!$B$4, "Mixed Reviews", "Low Reliability")))))</f>
        <v>Reliable</v>
      </c>
    </row>
    <row r="1253">
      <c r="A1253" s="3">
        <f t="shared" si="1"/>
        <v>1252</v>
      </c>
      <c r="B1253" s="9" t="s">
        <v>9455</v>
      </c>
      <c r="C1253" s="10">
        <v>38.804821</v>
      </c>
      <c r="D1253" s="10">
        <v>-77.2369665</v>
      </c>
      <c r="E1253" s="9" t="s">
        <v>9456</v>
      </c>
      <c r="F1253" s="9" t="s">
        <v>9457</v>
      </c>
      <c r="G1253" s="9" t="s">
        <v>9458</v>
      </c>
      <c r="H1253" s="9" t="s">
        <v>126</v>
      </c>
      <c r="I1253" s="9" t="s">
        <v>91</v>
      </c>
      <c r="J1253" s="9" t="s">
        <v>9459</v>
      </c>
      <c r="K1253" s="12" t="s">
        <v>9460</v>
      </c>
      <c r="L1253" s="9" t="s">
        <v>9461</v>
      </c>
      <c r="M1253" s="9">
        <v>16.5</v>
      </c>
      <c r="N1253" s="10">
        <v>31.83333333</v>
      </c>
      <c r="O1253" s="10" t="s">
        <v>290</v>
      </c>
      <c r="P1253" s="9">
        <v>9082026.0</v>
      </c>
      <c r="Q1253" s="7" t="str">
        <f>IF(OR(ISBLANK(M1253), ISBLANK(N1253)), "", IF(N1253 &lt; Sheet3!$B$6, "Insufficient Reviews", IF(M1253 &gt;= Sheet3!$B$2, "Highly Reliable", IF(M1253 &gt;= Sheet3!$B$3, "Reliable", IF(M1253 &gt;= Sheet3!$B$4, "Mixed Reviews", "Low Reliability")))))</f>
        <v>Insufficient Reviews</v>
      </c>
    </row>
    <row r="1254">
      <c r="A1254" s="3">
        <f t="shared" si="1"/>
        <v>1253</v>
      </c>
      <c r="B1254" s="9" t="s">
        <v>9462</v>
      </c>
      <c r="C1254" s="10">
        <v>39.088676</v>
      </c>
      <c r="D1254" s="10">
        <v>-76.8444207</v>
      </c>
      <c r="E1254" s="9" t="s">
        <v>9463</v>
      </c>
      <c r="F1254" s="9" t="s">
        <v>9464</v>
      </c>
      <c r="G1254" s="9" t="s">
        <v>9465</v>
      </c>
      <c r="H1254" s="9" t="s">
        <v>9466</v>
      </c>
      <c r="I1254" s="9" t="s">
        <v>91</v>
      </c>
      <c r="J1254" s="9" t="s">
        <v>9467</v>
      </c>
      <c r="K1254" s="12" t="s">
        <v>9468</v>
      </c>
      <c r="L1254" s="9" t="s">
        <v>9469</v>
      </c>
      <c r="M1254" s="9">
        <v>76.5</v>
      </c>
      <c r="N1254" s="10">
        <v>35.6627623</v>
      </c>
      <c r="O1254" s="10" t="s">
        <v>4216</v>
      </c>
      <c r="P1254" s="9">
        <v>9082026.0</v>
      </c>
      <c r="Q1254" s="7" t="str">
        <f>IF(OR(ISBLANK(M1254), ISBLANK(N1254)), "", IF(N1254 &lt; Sheet3!$B$6, "Insufficient Reviews", IF(M1254 &gt;= Sheet3!$B$2, "Highly Reliable", IF(M1254 &gt;= Sheet3!$B$3, "Reliable", IF(M1254 &gt;= Sheet3!$B$4, "Mixed Reviews", "Low Reliability")))))</f>
        <v>Insufficient Reviews</v>
      </c>
    </row>
    <row r="1255">
      <c r="A1255" s="3">
        <f t="shared" si="1"/>
        <v>1254</v>
      </c>
      <c r="B1255" s="9" t="s">
        <v>9470</v>
      </c>
      <c r="C1255" s="10">
        <v>39.192268</v>
      </c>
      <c r="D1255" s="10">
        <v>-77.2580265</v>
      </c>
      <c r="E1255" s="9" t="s">
        <v>9471</v>
      </c>
      <c r="F1255" s="9" t="s">
        <v>9472</v>
      </c>
      <c r="G1255" s="9" t="s">
        <v>9473</v>
      </c>
      <c r="H1255" s="9" t="s">
        <v>62</v>
      </c>
      <c r="I1255" s="9" t="s">
        <v>91</v>
      </c>
      <c r="J1255" s="9" t="s">
        <v>9474</v>
      </c>
      <c r="K1255" s="9"/>
      <c r="L1255" s="9" t="s">
        <v>9475</v>
      </c>
      <c r="M1255" s="9">
        <v>81.78759104</v>
      </c>
      <c r="N1255" s="10">
        <v>58.17323815</v>
      </c>
      <c r="O1255" s="10" t="s">
        <v>9476</v>
      </c>
      <c r="P1255" s="9">
        <v>9082026.0</v>
      </c>
      <c r="Q1255" s="7" t="str">
        <f>IF(OR(ISBLANK(M1255), ISBLANK(N1255)), "", IF(N1255 &lt; Sheet3!$B$6, "Insufficient Reviews", IF(M1255 &gt;= Sheet3!$B$2, "Highly Reliable", IF(M1255 &gt;= Sheet3!$B$3, "Reliable", IF(M1255 &gt;= Sheet3!$B$4, "Mixed Reviews", "Low Reliability")))))</f>
        <v>Reliable</v>
      </c>
    </row>
    <row r="1256">
      <c r="A1256" s="3">
        <f t="shared" si="1"/>
        <v>1255</v>
      </c>
      <c r="B1256" s="9" t="s">
        <v>9477</v>
      </c>
      <c r="C1256" s="10">
        <v>39.0485401</v>
      </c>
      <c r="D1256" s="10">
        <v>-76.916997</v>
      </c>
      <c r="E1256" s="9" t="s">
        <v>9478</v>
      </c>
      <c r="F1256" s="9" t="s">
        <v>9479</v>
      </c>
      <c r="G1256" s="9"/>
      <c r="H1256" s="9" t="s">
        <v>126</v>
      </c>
      <c r="I1256" s="9" t="s">
        <v>91</v>
      </c>
      <c r="J1256" s="9" t="s">
        <v>9480</v>
      </c>
      <c r="K1256" s="12" t="s">
        <v>9481</v>
      </c>
      <c r="L1256" s="9" t="s">
        <v>9482</v>
      </c>
      <c r="M1256" s="9">
        <v>86.1091882</v>
      </c>
      <c r="N1256" s="10">
        <v>57.2511175</v>
      </c>
      <c r="O1256" s="10" t="s">
        <v>9483</v>
      </c>
      <c r="P1256" s="9">
        <v>9082026.0</v>
      </c>
      <c r="Q1256" s="7" t="str">
        <f>IF(OR(ISBLANK(M1256), ISBLANK(N1256)), "", IF(N1256 &lt; Sheet3!$B$6, "Insufficient Reviews", IF(M1256 &gt;= Sheet3!$B$2, "Highly Reliable", IF(M1256 &gt;= Sheet3!$B$3, "Reliable", IF(M1256 &gt;= Sheet3!$B$4, "Mixed Reviews", "Low Reliability")))))</f>
        <v>Highly Reliable</v>
      </c>
    </row>
    <row r="1257">
      <c r="A1257" s="3">
        <f t="shared" si="1"/>
        <v>1256</v>
      </c>
      <c r="B1257" s="9" t="s">
        <v>9484</v>
      </c>
      <c r="C1257" s="10">
        <v>39.1056022</v>
      </c>
      <c r="D1257" s="10">
        <v>-77.1489028</v>
      </c>
      <c r="E1257" s="9" t="s">
        <v>9485</v>
      </c>
      <c r="F1257" s="9" t="s">
        <v>9486</v>
      </c>
      <c r="G1257" s="9"/>
      <c r="H1257" s="9" t="s">
        <v>9487</v>
      </c>
      <c r="I1257" s="9" t="s">
        <v>91</v>
      </c>
      <c r="J1257" s="9" t="s">
        <v>9488</v>
      </c>
      <c r="K1257" s="12" t="s">
        <v>9489</v>
      </c>
      <c r="L1257" s="9" t="s">
        <v>9490</v>
      </c>
      <c r="M1257" s="9">
        <v>9.0</v>
      </c>
      <c r="N1257" s="10">
        <v>31.83333333</v>
      </c>
      <c r="O1257" s="10" t="s">
        <v>5749</v>
      </c>
      <c r="P1257" s="9">
        <v>9082026.0</v>
      </c>
      <c r="Q1257" s="7" t="str">
        <f>IF(OR(ISBLANK(M1257), ISBLANK(N1257)), "", IF(N1257 &lt; Sheet3!$B$6, "Insufficient Reviews", IF(M1257 &gt;= Sheet3!$B$2, "Highly Reliable", IF(M1257 &gt;= Sheet3!$B$3, "Reliable", IF(M1257 &gt;= Sheet3!$B$4, "Mixed Reviews", "Low Reliability")))))</f>
        <v>Insufficient Reviews</v>
      </c>
    </row>
    <row r="1258">
      <c r="A1258" s="3">
        <f t="shared" si="1"/>
        <v>1257</v>
      </c>
      <c r="B1258" s="9" t="s">
        <v>2713</v>
      </c>
      <c r="C1258" s="10">
        <v>39.3437455</v>
      </c>
      <c r="D1258" s="10">
        <v>-76.5691183</v>
      </c>
      <c r="E1258" s="9" t="s">
        <v>2714</v>
      </c>
      <c r="F1258" s="9" t="s">
        <v>2715</v>
      </c>
      <c r="G1258" s="9"/>
      <c r="H1258" s="9" t="s">
        <v>135</v>
      </c>
      <c r="I1258" s="9" t="s">
        <v>91</v>
      </c>
      <c r="J1258" s="9" t="s">
        <v>9491</v>
      </c>
      <c r="K1258" s="12" t="s">
        <v>2718</v>
      </c>
      <c r="L1258" s="9" t="s">
        <v>9492</v>
      </c>
      <c r="M1258" s="9">
        <v>74.26649587</v>
      </c>
      <c r="N1258" s="10">
        <v>71.50437673</v>
      </c>
      <c r="O1258" s="10" t="s">
        <v>9493</v>
      </c>
      <c r="P1258" s="9">
        <v>9082026.0</v>
      </c>
      <c r="Q1258" s="7" t="str">
        <f>IF(OR(ISBLANK(M1258), ISBLANK(N1258)), "", IF(N1258 &lt; Sheet3!$B$6, "Insufficient Reviews", IF(M1258 &gt;= Sheet3!$B$2, "Highly Reliable", IF(M1258 &gt;= Sheet3!$B$3, "Reliable", IF(M1258 &gt;= Sheet3!$B$4, "Mixed Reviews", "Low Reliability")))))</f>
        <v>Reliable</v>
      </c>
    </row>
    <row r="1259">
      <c r="A1259" s="3">
        <f t="shared" si="1"/>
        <v>1258</v>
      </c>
      <c r="B1259" s="9" t="s">
        <v>9494</v>
      </c>
      <c r="C1259" s="10">
        <v>39.0580641</v>
      </c>
      <c r="D1259" s="10">
        <v>-77.1069677</v>
      </c>
      <c r="E1259" s="9" t="s">
        <v>9495</v>
      </c>
      <c r="F1259" s="9" t="s">
        <v>9496</v>
      </c>
      <c r="G1259" s="9" t="s">
        <v>9497</v>
      </c>
      <c r="H1259" s="9" t="s">
        <v>9020</v>
      </c>
      <c r="I1259" s="9" t="s">
        <v>35</v>
      </c>
      <c r="J1259" s="9" t="s">
        <v>9498</v>
      </c>
      <c r="K1259" s="12" t="s">
        <v>9499</v>
      </c>
      <c r="L1259" s="9" t="s">
        <v>9500</v>
      </c>
      <c r="M1259" s="9">
        <v>54.20578118</v>
      </c>
      <c r="N1259" s="10">
        <v>58.00366797</v>
      </c>
      <c r="O1259" s="10" t="s">
        <v>9501</v>
      </c>
      <c r="P1259" s="9">
        <v>9082026.0</v>
      </c>
      <c r="Q1259" s="7" t="str">
        <f>IF(OR(ISBLANK(M1259), ISBLANK(N1259)), "", IF(N1259 &lt; Sheet3!$B$6, "Insufficient Reviews", IF(M1259 &gt;= Sheet3!$B$2, "Highly Reliable", IF(M1259 &gt;= Sheet3!$B$3, "Reliable", IF(M1259 &gt;= Sheet3!$B$4, "Mixed Reviews", "Low Reliability")))))</f>
        <v>Low Reliability</v>
      </c>
    </row>
    <row r="1260">
      <c r="A1260" s="3">
        <f t="shared" si="1"/>
        <v>1259</v>
      </c>
      <c r="B1260" s="9" t="s">
        <v>9502</v>
      </c>
      <c r="C1260" s="10">
        <v>39.0178472</v>
      </c>
      <c r="D1260" s="10">
        <v>-76.9211555</v>
      </c>
      <c r="E1260" s="9" t="s">
        <v>9503</v>
      </c>
      <c r="F1260" s="9" t="s">
        <v>9504</v>
      </c>
      <c r="G1260" s="9" t="s">
        <v>5542</v>
      </c>
      <c r="H1260" s="9" t="s">
        <v>126</v>
      </c>
      <c r="I1260" s="9" t="s">
        <v>91</v>
      </c>
      <c r="J1260" s="9" t="s">
        <v>9505</v>
      </c>
      <c r="K1260" s="9"/>
      <c r="L1260" s="9" t="s">
        <v>9506</v>
      </c>
      <c r="M1260" s="9">
        <v>76.58182198</v>
      </c>
      <c r="N1260" s="10">
        <v>42.29230231</v>
      </c>
      <c r="O1260" s="10" t="s">
        <v>9507</v>
      </c>
      <c r="P1260" s="9">
        <v>9082026.0</v>
      </c>
      <c r="Q1260" s="7" t="str">
        <f>IF(OR(ISBLANK(M1260), ISBLANK(N1260)), "", IF(N1260 &lt; Sheet3!$B$6, "Insufficient Reviews", IF(M1260 &gt;= Sheet3!$B$2, "Highly Reliable", IF(M1260 &gt;= Sheet3!$B$3, "Reliable", IF(M1260 &gt;= Sheet3!$B$4, "Mixed Reviews", "Low Reliability")))))</f>
        <v>Reliable</v>
      </c>
    </row>
    <row r="1261">
      <c r="A1261" s="3">
        <f t="shared" si="1"/>
        <v>1260</v>
      </c>
      <c r="B1261" s="9" t="s">
        <v>9508</v>
      </c>
      <c r="C1261" s="10">
        <v>39.0094686</v>
      </c>
      <c r="D1261" s="10">
        <v>-76.8957855</v>
      </c>
      <c r="E1261" s="9" t="s">
        <v>9509</v>
      </c>
      <c r="F1261" s="9" t="s">
        <v>9510</v>
      </c>
      <c r="G1261" s="9" t="s">
        <v>9511</v>
      </c>
      <c r="H1261" s="9" t="s">
        <v>303</v>
      </c>
      <c r="I1261" s="9" t="s">
        <v>91</v>
      </c>
      <c r="J1261" s="9" t="s">
        <v>9512</v>
      </c>
      <c r="K1261" s="12" t="s">
        <v>9513</v>
      </c>
      <c r="L1261" s="9" t="s">
        <v>9514</v>
      </c>
      <c r="M1261" s="9">
        <v>87.28640876</v>
      </c>
      <c r="N1261" s="10">
        <v>95.56078515</v>
      </c>
      <c r="O1261" s="10" t="s">
        <v>431</v>
      </c>
      <c r="P1261" s="9">
        <v>9082026.0</v>
      </c>
      <c r="Q1261" s="7" t="str">
        <f>IF(OR(ISBLANK(M1261), ISBLANK(N1261)), "", IF(N1261 &lt; Sheet3!$B$6, "Insufficient Reviews", IF(M1261 &gt;= Sheet3!$B$2, "Highly Reliable", IF(M1261 &gt;= Sheet3!$B$3, "Reliable", IF(M1261 &gt;= Sheet3!$B$4, "Mixed Reviews", "Low Reliability")))))</f>
        <v>Highly Reliable</v>
      </c>
    </row>
    <row r="1262">
      <c r="A1262" s="3">
        <f t="shared" si="1"/>
        <v>1261</v>
      </c>
      <c r="B1262" s="9" t="s">
        <v>9515</v>
      </c>
      <c r="C1262" s="10">
        <v>39.0492234</v>
      </c>
      <c r="D1262" s="10">
        <v>-76.5042484</v>
      </c>
      <c r="E1262" s="9" t="s">
        <v>9516</v>
      </c>
      <c r="F1262" s="9" t="s">
        <v>9517</v>
      </c>
      <c r="G1262" s="11"/>
      <c r="H1262" s="9" t="s">
        <v>135</v>
      </c>
      <c r="I1262" s="9" t="s">
        <v>91</v>
      </c>
      <c r="J1262" s="9" t="s">
        <v>9518</v>
      </c>
      <c r="K1262" s="12" t="s">
        <v>9519</v>
      </c>
      <c r="L1262" s="9" t="s">
        <v>9520</v>
      </c>
      <c r="M1262" s="9">
        <v>78.76955933</v>
      </c>
      <c r="N1262" s="10">
        <v>71.84974079</v>
      </c>
      <c r="O1262" s="10" t="s">
        <v>9521</v>
      </c>
      <c r="P1262" s="9">
        <v>9082026.0</v>
      </c>
      <c r="Q1262" s="7" t="str">
        <f>IF(OR(ISBLANK(M1262), ISBLANK(N1262)), "", IF(N1262 &lt; Sheet3!$B$6, "Insufficient Reviews", IF(M1262 &gt;= Sheet3!$B$2, "Highly Reliable", IF(M1262 &gt;= Sheet3!$B$3, "Reliable", IF(M1262 &gt;= Sheet3!$B$4, "Mixed Reviews", "Low Reliability")))))</f>
        <v>Reliable</v>
      </c>
    </row>
    <row r="1263">
      <c r="A1263" s="3">
        <f t="shared" si="1"/>
        <v>1262</v>
      </c>
      <c r="B1263" s="9" t="s">
        <v>9522</v>
      </c>
      <c r="C1263" s="10">
        <v>38.9688097</v>
      </c>
      <c r="D1263" s="10">
        <v>-76.7815751</v>
      </c>
      <c r="E1263" s="9" t="s">
        <v>9523</v>
      </c>
      <c r="F1263" s="9" t="s">
        <v>9524</v>
      </c>
      <c r="G1263" s="9"/>
      <c r="H1263" s="11"/>
      <c r="I1263" s="9" t="s">
        <v>27</v>
      </c>
      <c r="J1263" s="9" t="s">
        <v>9525</v>
      </c>
      <c r="K1263" s="9"/>
      <c r="L1263" s="9" t="s">
        <v>9526</v>
      </c>
      <c r="M1263" s="9">
        <v>10.5</v>
      </c>
      <c r="N1263" s="10">
        <v>16.56166667</v>
      </c>
      <c r="O1263" s="10" t="s">
        <v>1235</v>
      </c>
      <c r="P1263" s="9">
        <v>9082026.0</v>
      </c>
      <c r="Q1263" s="7" t="str">
        <f>IF(OR(ISBLANK(M1263), ISBLANK(N1263)), "", IF(N1263 &lt; Sheet3!$B$6, "Insufficient Reviews", IF(M1263 &gt;= Sheet3!$B$2, "Highly Reliable", IF(M1263 &gt;= Sheet3!$B$3, "Reliable", IF(M1263 &gt;= Sheet3!$B$4, "Mixed Reviews", "Low Reliability")))))</f>
        <v>Insufficient Reviews</v>
      </c>
    </row>
    <row r="1264">
      <c r="A1264" s="3">
        <f t="shared" si="1"/>
        <v>1263</v>
      </c>
      <c r="B1264" s="9" t="s">
        <v>9527</v>
      </c>
      <c r="C1264" s="10">
        <v>39.300246</v>
      </c>
      <c r="D1264" s="10">
        <v>-76.6434525</v>
      </c>
      <c r="E1264" s="9" t="s">
        <v>9528</v>
      </c>
      <c r="F1264" s="9" t="s">
        <v>9529</v>
      </c>
      <c r="G1264" s="9" t="s">
        <v>9530</v>
      </c>
      <c r="H1264" s="9" t="s">
        <v>135</v>
      </c>
      <c r="I1264" s="9" t="s">
        <v>91</v>
      </c>
      <c r="J1264" s="9" t="s">
        <v>9531</v>
      </c>
      <c r="K1264" s="12" t="s">
        <v>9532</v>
      </c>
      <c r="L1264" s="9" t="s">
        <v>9533</v>
      </c>
      <c r="M1264" s="9">
        <v>71.77536934</v>
      </c>
      <c r="N1264" s="10">
        <v>70.19700136</v>
      </c>
      <c r="O1264" s="10" t="s">
        <v>9534</v>
      </c>
      <c r="P1264" s="9">
        <v>9082026.0</v>
      </c>
      <c r="Q1264" s="7" t="str">
        <f>IF(OR(ISBLANK(M1264), ISBLANK(N1264)), "", IF(N1264 &lt; Sheet3!$B$6, "Insufficient Reviews", IF(M1264 &gt;= Sheet3!$B$2, "Highly Reliable", IF(M1264 &gt;= Sheet3!$B$3, "Reliable", IF(M1264 &gt;= Sheet3!$B$4, "Mixed Reviews", "Low Reliability")))))</f>
        <v>Reliable</v>
      </c>
    </row>
    <row r="1265">
      <c r="A1265" s="3">
        <f t="shared" si="1"/>
        <v>1264</v>
      </c>
      <c r="B1265" s="9" t="s">
        <v>9535</v>
      </c>
      <c r="C1265" s="10">
        <v>38.9434867</v>
      </c>
      <c r="D1265" s="10">
        <v>-77.0626075</v>
      </c>
      <c r="E1265" s="9" t="s">
        <v>9536</v>
      </c>
      <c r="F1265" s="9" t="s">
        <v>9537</v>
      </c>
      <c r="G1265" s="9" t="s">
        <v>9538</v>
      </c>
      <c r="H1265" s="9" t="s">
        <v>303</v>
      </c>
      <c r="I1265" s="9" t="s">
        <v>91</v>
      </c>
      <c r="J1265" s="9" t="s">
        <v>9539</v>
      </c>
      <c r="K1265" s="12" t="s">
        <v>9540</v>
      </c>
      <c r="L1265" s="9" t="s">
        <v>9541</v>
      </c>
      <c r="M1265" s="9">
        <v>82.57446393</v>
      </c>
      <c r="N1265" s="10">
        <v>73.67325179</v>
      </c>
      <c r="O1265" s="10" t="s">
        <v>725</v>
      </c>
      <c r="P1265" s="9">
        <v>9082026.0</v>
      </c>
      <c r="Q1265" s="7" t="str">
        <f>IF(OR(ISBLANK(M1265), ISBLANK(N1265)), "", IF(N1265 &lt; Sheet3!$B$6, "Insufficient Reviews", IF(M1265 &gt;= Sheet3!$B$2, "Highly Reliable", IF(M1265 &gt;= Sheet3!$B$3, "Reliable", IF(M1265 &gt;= Sheet3!$B$4, "Mixed Reviews", "Low Reliability")))))</f>
        <v>Highly Reliable</v>
      </c>
    </row>
    <row r="1266">
      <c r="A1266" s="3">
        <f t="shared" si="1"/>
        <v>1265</v>
      </c>
      <c r="B1266" s="9" t="s">
        <v>9542</v>
      </c>
      <c r="C1266" s="10">
        <v>38.9050091</v>
      </c>
      <c r="D1266" s="10">
        <v>-76.852253</v>
      </c>
      <c r="E1266" s="9" t="s">
        <v>9543</v>
      </c>
      <c r="F1266" s="9" t="s">
        <v>9544</v>
      </c>
      <c r="G1266" s="9"/>
      <c r="H1266" s="9" t="s">
        <v>135</v>
      </c>
      <c r="I1266" s="9" t="s">
        <v>91</v>
      </c>
      <c r="J1266" s="9" t="s">
        <v>9545</v>
      </c>
      <c r="K1266" s="12" t="s">
        <v>9546</v>
      </c>
      <c r="L1266" s="9" t="s">
        <v>9547</v>
      </c>
      <c r="M1266" s="9">
        <v>75.77442547</v>
      </c>
      <c r="N1266" s="10">
        <v>72.47279631</v>
      </c>
      <c r="O1266" s="10" t="s">
        <v>9548</v>
      </c>
      <c r="P1266" s="9">
        <v>9082026.0</v>
      </c>
      <c r="Q1266" s="7" t="str">
        <f>IF(OR(ISBLANK(M1266), ISBLANK(N1266)), "", IF(N1266 &lt; Sheet3!$B$6, "Insufficient Reviews", IF(M1266 &gt;= Sheet3!$B$2, "Highly Reliable", IF(M1266 &gt;= Sheet3!$B$3, "Reliable", IF(M1266 &gt;= Sheet3!$B$4, "Mixed Reviews", "Low Reliability")))))</f>
        <v>Reliable</v>
      </c>
    </row>
    <row r="1267">
      <c r="A1267" s="3">
        <f t="shared" si="1"/>
        <v>1266</v>
      </c>
      <c r="B1267" s="9" t="s">
        <v>9549</v>
      </c>
      <c r="C1267" s="10">
        <v>38.7643705</v>
      </c>
      <c r="D1267" s="10">
        <v>-76.8868237</v>
      </c>
      <c r="E1267" s="9" t="s">
        <v>9550</v>
      </c>
      <c r="F1267" s="9" t="s">
        <v>9551</v>
      </c>
      <c r="G1267" s="11"/>
      <c r="H1267" s="9" t="s">
        <v>135</v>
      </c>
      <c r="I1267" s="9" t="s">
        <v>91</v>
      </c>
      <c r="J1267" s="9" t="s">
        <v>9552</v>
      </c>
      <c r="K1267" s="12" t="s">
        <v>9553</v>
      </c>
      <c r="L1267" s="9" t="s">
        <v>9554</v>
      </c>
      <c r="M1267" s="9">
        <v>67.11118151</v>
      </c>
      <c r="N1267" s="10">
        <v>70.94131447</v>
      </c>
      <c r="O1267" s="10" t="s">
        <v>9555</v>
      </c>
      <c r="P1267" s="9">
        <v>9082026.0</v>
      </c>
      <c r="Q1267" s="7" t="str">
        <f>IF(OR(ISBLANK(M1267), ISBLANK(N1267)), "", IF(N1267 &lt; Sheet3!$B$6, "Insufficient Reviews", IF(M1267 &gt;= Sheet3!$B$2, "Highly Reliable", IF(M1267 &gt;= Sheet3!$B$3, "Reliable", IF(M1267 &gt;= Sheet3!$B$4, "Mixed Reviews", "Low Reliability")))))</f>
        <v>Mixed Reviews</v>
      </c>
    </row>
    <row r="1268">
      <c r="A1268" s="3">
        <f t="shared" si="1"/>
        <v>1267</v>
      </c>
      <c r="B1268" s="9" t="s">
        <v>9556</v>
      </c>
      <c r="C1268" s="10">
        <v>38.5335558</v>
      </c>
      <c r="D1268" s="10">
        <v>-76.9587171</v>
      </c>
      <c r="E1268" s="9" t="s">
        <v>9557</v>
      </c>
      <c r="F1268" s="9" t="s">
        <v>9558</v>
      </c>
      <c r="G1268" s="9" t="s">
        <v>9559</v>
      </c>
      <c r="H1268" s="9" t="s">
        <v>135</v>
      </c>
      <c r="I1268" s="9" t="s">
        <v>91</v>
      </c>
      <c r="J1268" s="9" t="s">
        <v>9560</v>
      </c>
      <c r="K1268" s="12" t="s">
        <v>9561</v>
      </c>
      <c r="L1268" s="9" t="s">
        <v>9562</v>
      </c>
      <c r="M1268" s="9">
        <v>75.05438098</v>
      </c>
      <c r="N1268" s="10">
        <v>66.19407362</v>
      </c>
      <c r="O1268" s="10" t="s">
        <v>9563</v>
      </c>
      <c r="P1268" s="9">
        <v>9082026.0</v>
      </c>
      <c r="Q1268" s="7" t="str">
        <f>IF(OR(ISBLANK(M1268), ISBLANK(N1268)), "", IF(N1268 &lt; Sheet3!$B$6, "Insufficient Reviews", IF(M1268 &gt;= Sheet3!$B$2, "Highly Reliable", IF(M1268 &gt;= Sheet3!$B$3, "Reliable", IF(M1268 &gt;= Sheet3!$B$4, "Mixed Reviews", "Low Reliability")))))</f>
        <v>Reliable</v>
      </c>
    </row>
    <row r="1269">
      <c r="A1269" s="3">
        <f t="shared" si="1"/>
        <v>1268</v>
      </c>
      <c r="B1269" s="9" t="s">
        <v>9564</v>
      </c>
      <c r="C1269" s="10">
        <v>38.2986793</v>
      </c>
      <c r="D1269" s="10">
        <v>-76.637207</v>
      </c>
      <c r="E1269" s="9" t="s">
        <v>9565</v>
      </c>
      <c r="F1269" s="9" t="s">
        <v>9566</v>
      </c>
      <c r="G1269" s="9"/>
      <c r="H1269" s="9" t="s">
        <v>135</v>
      </c>
      <c r="I1269" s="9" t="s">
        <v>91</v>
      </c>
      <c r="J1269" s="9" t="s">
        <v>9567</v>
      </c>
      <c r="K1269" s="9"/>
      <c r="L1269" s="9" t="s">
        <v>9568</v>
      </c>
      <c r="M1269" s="9">
        <v>59.96564328</v>
      </c>
      <c r="N1269" s="10">
        <v>65.79170324</v>
      </c>
      <c r="O1269" s="10" t="s">
        <v>9569</v>
      </c>
      <c r="P1269" s="9">
        <v>9082026.0</v>
      </c>
      <c r="Q1269" s="7" t="str">
        <f>IF(OR(ISBLANK(M1269), ISBLANK(N1269)), "", IF(N1269 &lt; Sheet3!$B$6, "Insufficient Reviews", IF(M1269 &gt;= Sheet3!$B$2, "Highly Reliable", IF(M1269 &gt;= Sheet3!$B$3, "Reliable", IF(M1269 &gt;= Sheet3!$B$4, "Mixed Reviews", "Low Reliability")))))</f>
        <v>Low Reliability</v>
      </c>
    </row>
    <row r="1270">
      <c r="A1270" s="3">
        <f t="shared" si="1"/>
        <v>1269</v>
      </c>
      <c r="B1270" s="11"/>
      <c r="C1270" s="10">
        <v>38.688044</v>
      </c>
      <c r="D1270" s="10">
        <v>-76.8662839</v>
      </c>
      <c r="E1270" s="9" t="s">
        <v>9570</v>
      </c>
      <c r="F1270" s="9" t="s">
        <v>9571</v>
      </c>
      <c r="G1270" s="9"/>
      <c r="H1270" s="9" t="s">
        <v>9572</v>
      </c>
      <c r="I1270" s="9" t="s">
        <v>91</v>
      </c>
      <c r="J1270" s="9" t="s">
        <v>9573</v>
      </c>
      <c r="K1270" s="9"/>
      <c r="L1270" s="9" t="s">
        <v>9574</v>
      </c>
      <c r="M1270" s="9">
        <v>11.0</v>
      </c>
      <c r="N1270" s="10">
        <v>15.91666667</v>
      </c>
      <c r="O1270" s="10" t="s">
        <v>741</v>
      </c>
      <c r="P1270" s="9">
        <v>9082026.0</v>
      </c>
      <c r="Q1270" s="7" t="str">
        <f>IF(OR(ISBLANK(M1270), ISBLANK(N1270)), "", IF(N1270 &lt; Sheet3!$B$6, "Insufficient Reviews", IF(M1270 &gt;= Sheet3!$B$2, "Highly Reliable", IF(M1270 &gt;= Sheet3!$B$3, "Reliable", IF(M1270 &gt;= Sheet3!$B$4, "Mixed Reviews", "Low Reliability")))))</f>
        <v>Insufficient Reviews</v>
      </c>
    </row>
    <row r="1271">
      <c r="A1271" s="3">
        <f t="shared" si="1"/>
        <v>1270</v>
      </c>
      <c r="B1271" s="9" t="s">
        <v>9575</v>
      </c>
      <c r="C1271" s="10">
        <v>39.1688396</v>
      </c>
      <c r="D1271" s="10">
        <v>-76.7905096</v>
      </c>
      <c r="E1271" s="9" t="s">
        <v>9576</v>
      </c>
      <c r="F1271" s="9" t="s">
        <v>9577</v>
      </c>
      <c r="G1271" s="9"/>
      <c r="H1271" s="11"/>
      <c r="I1271" s="9" t="s">
        <v>91</v>
      </c>
      <c r="J1271" s="9" t="s">
        <v>9578</v>
      </c>
      <c r="K1271" s="12" t="s">
        <v>9579</v>
      </c>
      <c r="L1271" s="9" t="s">
        <v>9580</v>
      </c>
      <c r="M1271" s="9">
        <v>20.5</v>
      </c>
      <c r="N1271" s="10">
        <v>31.83333333</v>
      </c>
      <c r="O1271" s="10" t="s">
        <v>634</v>
      </c>
      <c r="P1271" s="9">
        <v>9082026.0</v>
      </c>
      <c r="Q1271" s="7" t="str">
        <f>IF(OR(ISBLANK(M1271), ISBLANK(N1271)), "", IF(N1271 &lt; Sheet3!$B$6, "Insufficient Reviews", IF(M1271 &gt;= Sheet3!$B$2, "Highly Reliable", IF(M1271 &gt;= Sheet3!$B$3, "Reliable", IF(M1271 &gt;= Sheet3!$B$4, "Mixed Reviews", "Low Reliability")))))</f>
        <v>Insufficient Reviews</v>
      </c>
    </row>
    <row r="1272">
      <c r="A1272" s="3">
        <f t="shared" si="1"/>
        <v>1271</v>
      </c>
      <c r="B1272" s="9" t="s">
        <v>9581</v>
      </c>
      <c r="C1272" s="10">
        <v>39.4015102</v>
      </c>
      <c r="D1272" s="10">
        <v>-76.6103318</v>
      </c>
      <c r="E1272" s="9" t="s">
        <v>9582</v>
      </c>
      <c r="F1272" s="9" t="s">
        <v>9583</v>
      </c>
      <c r="G1272" s="9" t="s">
        <v>9584</v>
      </c>
      <c r="H1272" s="9" t="s">
        <v>126</v>
      </c>
      <c r="I1272" s="9" t="s">
        <v>91</v>
      </c>
      <c r="J1272" s="9" t="s">
        <v>9585</v>
      </c>
      <c r="K1272" s="12" t="s">
        <v>9586</v>
      </c>
      <c r="L1272" s="9" t="s">
        <v>9587</v>
      </c>
      <c r="M1272" s="9">
        <v>80.5</v>
      </c>
      <c r="N1272" s="10">
        <v>35.6627623</v>
      </c>
      <c r="O1272" s="10" t="s">
        <v>6212</v>
      </c>
      <c r="P1272" s="9">
        <v>9082026.0</v>
      </c>
      <c r="Q1272" s="7" t="str">
        <f>IF(OR(ISBLANK(M1272), ISBLANK(N1272)), "", IF(N1272 &lt; Sheet3!$B$6, "Insufficient Reviews", IF(M1272 &gt;= Sheet3!$B$2, "Highly Reliable", IF(M1272 &gt;= Sheet3!$B$3, "Reliable", IF(M1272 &gt;= Sheet3!$B$4, "Mixed Reviews", "Low Reliability")))))</f>
        <v>Insufficient Reviews</v>
      </c>
    </row>
    <row r="1273">
      <c r="A1273" s="3">
        <f t="shared" si="1"/>
        <v>1272</v>
      </c>
      <c r="B1273" s="9" t="s">
        <v>9588</v>
      </c>
      <c r="C1273" s="10">
        <v>39.3502262</v>
      </c>
      <c r="D1273" s="10">
        <v>-76.7085519</v>
      </c>
      <c r="E1273" s="9" t="s">
        <v>9589</v>
      </c>
      <c r="F1273" s="9" t="s">
        <v>9590</v>
      </c>
      <c r="G1273" s="9" t="s">
        <v>9591</v>
      </c>
      <c r="H1273" s="9" t="s">
        <v>126</v>
      </c>
      <c r="I1273" s="9" t="s">
        <v>35</v>
      </c>
      <c r="J1273" s="9" t="s">
        <v>9592</v>
      </c>
      <c r="K1273" s="12" t="s">
        <v>9593</v>
      </c>
      <c r="L1273" s="9" t="s">
        <v>9594</v>
      </c>
      <c r="M1273" s="9">
        <v>79.00445558</v>
      </c>
      <c r="N1273" s="10">
        <v>66.67142423</v>
      </c>
      <c r="O1273" s="10" t="s">
        <v>9595</v>
      </c>
      <c r="P1273" s="9">
        <v>9082026.0</v>
      </c>
      <c r="Q1273" s="7" t="str">
        <f>IF(OR(ISBLANK(M1273), ISBLANK(N1273)), "", IF(N1273 &lt; Sheet3!$B$6, "Insufficient Reviews", IF(M1273 &gt;= Sheet3!$B$2, "Highly Reliable", IF(M1273 &gt;= Sheet3!$B$3, "Reliable", IF(M1273 &gt;= Sheet3!$B$4, "Mixed Reviews", "Low Reliability")))))</f>
        <v>Reliable</v>
      </c>
    </row>
    <row r="1274">
      <c r="A1274" s="3">
        <f t="shared" si="1"/>
        <v>1273</v>
      </c>
      <c r="B1274" s="9" t="s">
        <v>4270</v>
      </c>
      <c r="C1274" s="10">
        <v>39.3546228</v>
      </c>
      <c r="D1274" s="10">
        <v>-76.7005796</v>
      </c>
      <c r="E1274" s="9" t="s">
        <v>4271</v>
      </c>
      <c r="F1274" s="9" t="s">
        <v>4272</v>
      </c>
      <c r="G1274" s="9" t="s">
        <v>9596</v>
      </c>
      <c r="H1274" s="9" t="s">
        <v>3006</v>
      </c>
      <c r="I1274" s="9" t="s">
        <v>203</v>
      </c>
      <c r="J1274" s="9" t="s">
        <v>9597</v>
      </c>
      <c r="K1274" s="12" t="s">
        <v>4276</v>
      </c>
      <c r="L1274" s="9" t="s">
        <v>9598</v>
      </c>
      <c r="M1274" s="9">
        <v>71.52510258</v>
      </c>
      <c r="N1274" s="10">
        <v>68.95939644</v>
      </c>
      <c r="O1274" s="10" t="s">
        <v>9599</v>
      </c>
      <c r="P1274" s="9">
        <v>9082026.0</v>
      </c>
      <c r="Q1274" s="7" t="str">
        <f>IF(OR(ISBLANK(M1274), ISBLANK(N1274)), "", IF(N1274 &lt; Sheet3!$B$6, "Insufficient Reviews", IF(M1274 &gt;= Sheet3!$B$2, "Highly Reliable", IF(M1274 &gt;= Sheet3!$B$3, "Reliable", IF(M1274 &gt;= Sheet3!$B$4, "Mixed Reviews", "Low Reliability")))))</f>
        <v>Reliable</v>
      </c>
    </row>
    <row r="1275">
      <c r="A1275" s="3">
        <f t="shared" si="1"/>
        <v>1274</v>
      </c>
      <c r="B1275" s="9" t="s">
        <v>9600</v>
      </c>
      <c r="C1275" s="10">
        <v>39.589787</v>
      </c>
      <c r="D1275" s="10">
        <v>-76.6637913</v>
      </c>
      <c r="E1275" s="9" t="s">
        <v>9601</v>
      </c>
      <c r="F1275" s="9" t="s">
        <v>9602</v>
      </c>
      <c r="G1275" s="9" t="s">
        <v>9603</v>
      </c>
      <c r="H1275" s="9" t="s">
        <v>6604</v>
      </c>
      <c r="I1275" s="9" t="s">
        <v>27</v>
      </c>
      <c r="J1275" s="9" t="s">
        <v>9604</v>
      </c>
      <c r="K1275" s="12" t="s">
        <v>9605</v>
      </c>
      <c r="L1275" s="9" t="s">
        <v>9606</v>
      </c>
      <c r="M1275" s="9">
        <v>87.09267115</v>
      </c>
      <c r="N1275" s="10">
        <v>73.67772829</v>
      </c>
      <c r="O1275" s="10" t="s">
        <v>9607</v>
      </c>
      <c r="P1275" s="9">
        <v>9082026.0</v>
      </c>
      <c r="Q1275" s="7" t="str">
        <f>IF(OR(ISBLANK(M1275), ISBLANK(N1275)), "", IF(N1275 &lt; Sheet3!$B$6, "Insufficient Reviews", IF(M1275 &gt;= Sheet3!$B$2, "Highly Reliable", IF(M1275 &gt;= Sheet3!$B$3, "Reliable", IF(M1275 &gt;= Sheet3!$B$4, "Mixed Reviews", "Low Reliability")))))</f>
        <v>Highly Reliable</v>
      </c>
    </row>
    <row r="1276">
      <c r="A1276" s="3">
        <f t="shared" si="1"/>
        <v>1275</v>
      </c>
      <c r="B1276" s="9" t="s">
        <v>9608</v>
      </c>
      <c r="C1276" s="10">
        <v>39.3132048</v>
      </c>
      <c r="D1276" s="10">
        <v>-76.7393685</v>
      </c>
      <c r="E1276" s="9" t="s">
        <v>9609</v>
      </c>
      <c r="F1276" s="9" t="s">
        <v>9610</v>
      </c>
      <c r="G1276" s="9" t="s">
        <v>9611</v>
      </c>
      <c r="H1276" s="9" t="s">
        <v>6604</v>
      </c>
      <c r="I1276" s="9" t="s">
        <v>27</v>
      </c>
      <c r="J1276" s="9" t="s">
        <v>9612</v>
      </c>
      <c r="K1276" s="12" t="s">
        <v>9613</v>
      </c>
      <c r="L1276" s="9" t="s">
        <v>9614</v>
      </c>
      <c r="M1276" s="9">
        <v>77.20686317</v>
      </c>
      <c r="N1276" s="10">
        <v>71.5625768</v>
      </c>
      <c r="O1276" s="10" t="s">
        <v>9615</v>
      </c>
      <c r="P1276" s="9">
        <v>9082026.0</v>
      </c>
      <c r="Q1276" s="7" t="str">
        <f>IF(OR(ISBLANK(M1276), ISBLANK(N1276)), "", IF(N1276 &lt; Sheet3!$B$6, "Insufficient Reviews", IF(M1276 &gt;= Sheet3!$B$2, "Highly Reliable", IF(M1276 &gt;= Sheet3!$B$3, "Reliable", IF(M1276 &gt;= Sheet3!$B$4, "Mixed Reviews", "Low Reliability")))))</f>
        <v>Reliable</v>
      </c>
    </row>
    <row r="1277">
      <c r="A1277" s="3">
        <f t="shared" si="1"/>
        <v>1276</v>
      </c>
      <c r="B1277" s="9" t="s">
        <v>9616</v>
      </c>
      <c r="C1277" s="10">
        <v>39.3986119</v>
      </c>
      <c r="D1277" s="10">
        <v>-76.6023588</v>
      </c>
      <c r="E1277" s="9" t="s">
        <v>9617</v>
      </c>
      <c r="F1277" s="9" t="s">
        <v>9618</v>
      </c>
      <c r="G1277" s="9" t="s">
        <v>9619</v>
      </c>
      <c r="H1277" s="9" t="s">
        <v>6604</v>
      </c>
      <c r="I1277" s="9" t="s">
        <v>35</v>
      </c>
      <c r="J1277" s="9" t="s">
        <v>9620</v>
      </c>
      <c r="K1277" s="12" t="s">
        <v>9621</v>
      </c>
      <c r="L1277" s="9" t="s">
        <v>9622</v>
      </c>
      <c r="M1277" s="9">
        <v>85.9342828</v>
      </c>
      <c r="N1277" s="10">
        <v>94.22393147</v>
      </c>
      <c r="O1277" s="10" t="s">
        <v>9623</v>
      </c>
      <c r="P1277" s="9">
        <v>9082026.0</v>
      </c>
      <c r="Q1277" s="7" t="str">
        <f>IF(OR(ISBLANK(M1277), ISBLANK(N1277)), "", IF(N1277 &lt; Sheet3!$B$6, "Insufficient Reviews", IF(M1277 &gt;= Sheet3!$B$2, "Highly Reliable", IF(M1277 &gt;= Sheet3!$B$3, "Reliable", IF(M1277 &gt;= Sheet3!$B$4, "Mixed Reviews", "Low Reliability")))))</f>
        <v>Highly Reliable</v>
      </c>
    </row>
    <row r="1278">
      <c r="A1278" s="3">
        <f t="shared" si="1"/>
        <v>1277</v>
      </c>
      <c r="B1278" s="9" t="s">
        <v>9624</v>
      </c>
      <c r="C1278" s="10">
        <v>39.2704657</v>
      </c>
      <c r="D1278" s="10">
        <v>-76.7400919</v>
      </c>
      <c r="E1278" s="9" t="s">
        <v>9625</v>
      </c>
      <c r="F1278" s="9" t="s">
        <v>9626</v>
      </c>
      <c r="G1278" s="9" t="s">
        <v>9627</v>
      </c>
      <c r="H1278" s="9" t="s">
        <v>6604</v>
      </c>
      <c r="I1278" s="9" t="s">
        <v>35</v>
      </c>
      <c r="J1278" s="9" t="s">
        <v>9628</v>
      </c>
      <c r="K1278" s="12" t="s">
        <v>9629</v>
      </c>
      <c r="L1278" s="9" t="s">
        <v>9630</v>
      </c>
      <c r="M1278" s="9">
        <v>80.04103401</v>
      </c>
      <c r="N1278" s="10">
        <v>75.65052074</v>
      </c>
      <c r="O1278" s="10" t="s">
        <v>9631</v>
      </c>
      <c r="P1278" s="9">
        <v>9082026.0</v>
      </c>
      <c r="Q1278" s="7" t="str">
        <f>IF(OR(ISBLANK(M1278), ISBLANK(N1278)), "", IF(N1278 &lt; Sheet3!$B$6, "Insufficient Reviews", IF(M1278 &gt;= Sheet3!$B$2, "Highly Reliable", IF(M1278 &gt;= Sheet3!$B$3, "Reliable", IF(M1278 &gt;= Sheet3!$B$4, "Mixed Reviews", "Low Reliability")))))</f>
        <v>Reliable</v>
      </c>
    </row>
    <row r="1279">
      <c r="A1279" s="3">
        <f t="shared" si="1"/>
        <v>1278</v>
      </c>
      <c r="B1279" s="9" t="s">
        <v>9632</v>
      </c>
      <c r="C1279" s="10">
        <v>39.309134</v>
      </c>
      <c r="D1279" s="10">
        <v>-76.652057</v>
      </c>
      <c r="E1279" s="9" t="s">
        <v>9633</v>
      </c>
      <c r="F1279" s="9" t="s">
        <v>9634</v>
      </c>
      <c r="G1279" s="9" t="s">
        <v>9635</v>
      </c>
      <c r="H1279" s="9" t="s">
        <v>9636</v>
      </c>
      <c r="I1279" s="9" t="s">
        <v>91</v>
      </c>
      <c r="J1279" s="9" t="s">
        <v>9637</v>
      </c>
      <c r="K1279" s="12" t="s">
        <v>9638</v>
      </c>
      <c r="L1279" s="9" t="s">
        <v>9639</v>
      </c>
      <c r="M1279" s="9">
        <v>71.07928074</v>
      </c>
      <c r="N1279" s="10">
        <v>64.05416048</v>
      </c>
      <c r="O1279" s="10" t="s">
        <v>9640</v>
      </c>
      <c r="P1279" s="9">
        <v>9082026.0</v>
      </c>
      <c r="Q1279" s="7" t="str">
        <f>IF(OR(ISBLANK(M1279), ISBLANK(N1279)), "", IF(N1279 &lt; Sheet3!$B$6, "Insufficient Reviews", IF(M1279 &gt;= Sheet3!$B$2, "Highly Reliable", IF(M1279 &gt;= Sheet3!$B$3, "Reliable", IF(M1279 &gt;= Sheet3!$B$4, "Mixed Reviews", "Low Reliability")))))</f>
        <v>Reliable</v>
      </c>
    </row>
    <row r="1280">
      <c r="A1280" s="3">
        <f t="shared" si="1"/>
        <v>1279</v>
      </c>
      <c r="B1280" s="9" t="s">
        <v>4803</v>
      </c>
      <c r="C1280" s="10">
        <v>39.3445161</v>
      </c>
      <c r="D1280" s="10">
        <v>-76.5988533</v>
      </c>
      <c r="E1280" s="9" t="s">
        <v>4804</v>
      </c>
      <c r="F1280" s="9" t="s">
        <v>4805</v>
      </c>
      <c r="G1280" s="9" t="s">
        <v>9641</v>
      </c>
      <c r="H1280" s="9" t="s">
        <v>4806</v>
      </c>
      <c r="I1280" s="9" t="s">
        <v>27</v>
      </c>
      <c r="J1280" s="9" t="s">
        <v>9642</v>
      </c>
      <c r="K1280" s="12" t="s">
        <v>4808</v>
      </c>
      <c r="L1280" s="9" t="s">
        <v>9643</v>
      </c>
      <c r="M1280" s="9">
        <v>83.06221072</v>
      </c>
      <c r="N1280" s="10">
        <v>72.222354</v>
      </c>
      <c r="O1280" s="10" t="s">
        <v>9644</v>
      </c>
      <c r="P1280" s="9">
        <v>9082026.0</v>
      </c>
      <c r="Q1280" s="7" t="str">
        <f>IF(OR(ISBLANK(M1280), ISBLANK(N1280)), "", IF(N1280 &lt; Sheet3!$B$6, "Insufficient Reviews", IF(M1280 &gt;= Sheet3!$B$2, "Highly Reliable", IF(M1280 &gt;= Sheet3!$B$3, "Reliable", IF(M1280 &gt;= Sheet3!$B$4, "Mixed Reviews", "Low Reliability")))))</f>
        <v>Highly Reliable</v>
      </c>
    </row>
    <row r="1281">
      <c r="A1281" s="3">
        <f t="shared" si="1"/>
        <v>1280</v>
      </c>
      <c r="B1281" s="9" t="s">
        <v>9645</v>
      </c>
      <c r="C1281" s="10">
        <v>39.2306126</v>
      </c>
      <c r="D1281" s="10">
        <v>-76.8168</v>
      </c>
      <c r="E1281" s="9" t="s">
        <v>9646</v>
      </c>
      <c r="F1281" s="9" t="s">
        <v>9647</v>
      </c>
      <c r="G1281" s="9" t="s">
        <v>9648</v>
      </c>
      <c r="H1281" s="9" t="s">
        <v>43</v>
      </c>
      <c r="I1281" s="9" t="s">
        <v>35</v>
      </c>
      <c r="J1281" s="9" t="s">
        <v>9649</v>
      </c>
      <c r="K1281" s="12" t="s">
        <v>9650</v>
      </c>
      <c r="L1281" s="9" t="s">
        <v>9651</v>
      </c>
      <c r="M1281" s="9">
        <v>83.33054902</v>
      </c>
      <c r="N1281" s="10">
        <v>87.23797346</v>
      </c>
      <c r="O1281" s="10" t="s">
        <v>9652</v>
      </c>
      <c r="P1281" s="9">
        <v>9082026.0</v>
      </c>
      <c r="Q1281" s="7" t="str">
        <f>IF(OR(ISBLANK(M1281), ISBLANK(N1281)), "", IF(N1281 &lt; Sheet3!$B$6, "Insufficient Reviews", IF(M1281 &gt;= Sheet3!$B$2, "Highly Reliable", IF(M1281 &gt;= Sheet3!$B$3, "Reliable", IF(M1281 &gt;= Sheet3!$B$4, "Mixed Reviews", "Low Reliability")))))</f>
        <v>Highly Reliable</v>
      </c>
    </row>
    <row r="1282">
      <c r="A1282" s="3">
        <f t="shared" si="1"/>
        <v>1281</v>
      </c>
      <c r="B1282" s="9" t="s">
        <v>9653</v>
      </c>
      <c r="C1282" s="10">
        <v>39.2876509</v>
      </c>
      <c r="D1282" s="10">
        <v>-76.63226</v>
      </c>
      <c r="E1282" s="9" t="s">
        <v>9654</v>
      </c>
      <c r="F1282" s="9" t="s">
        <v>9655</v>
      </c>
      <c r="G1282" s="9" t="s">
        <v>9656</v>
      </c>
      <c r="H1282" s="9" t="s">
        <v>947</v>
      </c>
      <c r="I1282" s="9" t="s">
        <v>203</v>
      </c>
      <c r="J1282" s="9" t="s">
        <v>9657</v>
      </c>
      <c r="K1282" s="12" t="s">
        <v>9658</v>
      </c>
      <c r="L1282" s="9" t="s">
        <v>9659</v>
      </c>
      <c r="M1282" s="9">
        <v>76.67019145</v>
      </c>
      <c r="N1282" s="10">
        <v>78.42871332</v>
      </c>
      <c r="O1282" s="10" t="s">
        <v>9660</v>
      </c>
      <c r="P1282" s="9">
        <v>9082026.0</v>
      </c>
      <c r="Q1282" s="7" t="str">
        <f>IF(OR(ISBLANK(M1282), ISBLANK(N1282)), "", IF(N1282 &lt; Sheet3!$B$6, "Insufficient Reviews", IF(M1282 &gt;= Sheet3!$B$2, "Highly Reliable", IF(M1282 &gt;= Sheet3!$B$3, "Reliable", IF(M1282 &gt;= Sheet3!$B$4, "Mixed Reviews", "Low Reliability")))))</f>
        <v>Reliable</v>
      </c>
    </row>
    <row r="1283">
      <c r="A1283" s="3">
        <f t="shared" si="1"/>
        <v>1282</v>
      </c>
      <c r="B1283" s="9" t="s">
        <v>2106</v>
      </c>
      <c r="C1283" s="10">
        <v>39.2416645</v>
      </c>
      <c r="D1283" s="10">
        <v>-76.710615</v>
      </c>
      <c r="E1283" s="9" t="s">
        <v>9661</v>
      </c>
      <c r="F1283" s="9" t="s">
        <v>9662</v>
      </c>
      <c r="G1283" s="9" t="s">
        <v>9663</v>
      </c>
      <c r="H1283" s="9" t="s">
        <v>6604</v>
      </c>
      <c r="I1283" s="9" t="s">
        <v>35</v>
      </c>
      <c r="J1283" s="9" t="s">
        <v>9664</v>
      </c>
      <c r="K1283" s="12" t="s">
        <v>9665</v>
      </c>
      <c r="L1283" s="9" t="s">
        <v>9666</v>
      </c>
      <c r="M1283" s="9">
        <v>84.27957951</v>
      </c>
      <c r="N1283" s="10">
        <v>73.49267747</v>
      </c>
      <c r="O1283" s="10" t="s">
        <v>9667</v>
      </c>
      <c r="P1283" s="9">
        <v>9082026.0</v>
      </c>
      <c r="Q1283" s="7" t="str">
        <f>IF(OR(ISBLANK(M1283), ISBLANK(N1283)), "", IF(N1283 &lt; Sheet3!$B$6, "Insufficient Reviews", IF(M1283 &gt;= Sheet3!$B$2, "Highly Reliable", IF(M1283 &gt;= Sheet3!$B$3, "Reliable", IF(M1283 &gt;= Sheet3!$B$4, "Mixed Reviews", "Low Reliability")))))</f>
        <v>Highly Reliable</v>
      </c>
    </row>
    <row r="1284">
      <c r="A1284" s="3">
        <f t="shared" si="1"/>
        <v>1283</v>
      </c>
      <c r="B1284" s="9" t="s">
        <v>9668</v>
      </c>
      <c r="C1284" s="10">
        <v>39.2437132</v>
      </c>
      <c r="D1284" s="10">
        <v>-76.6536724</v>
      </c>
      <c r="E1284" s="9" t="s">
        <v>9669</v>
      </c>
      <c r="F1284" s="9" t="s">
        <v>9670</v>
      </c>
      <c r="G1284" s="9" t="s">
        <v>9222</v>
      </c>
      <c r="H1284" s="9" t="s">
        <v>6604</v>
      </c>
      <c r="I1284" s="9" t="s">
        <v>27</v>
      </c>
      <c r="J1284" s="9" t="s">
        <v>9671</v>
      </c>
      <c r="K1284" s="12" t="s">
        <v>9672</v>
      </c>
      <c r="L1284" s="9" t="s">
        <v>9673</v>
      </c>
      <c r="M1284" s="9">
        <v>87.41143295</v>
      </c>
      <c r="N1284" s="10">
        <v>76.1171493</v>
      </c>
      <c r="O1284" s="10" t="s">
        <v>9674</v>
      </c>
      <c r="P1284" s="9">
        <v>9082026.0</v>
      </c>
      <c r="Q1284" s="7" t="str">
        <f>IF(OR(ISBLANK(M1284), ISBLANK(N1284)), "", IF(N1284 &lt; Sheet3!$B$6, "Insufficient Reviews", IF(M1284 &gt;= Sheet3!$B$2, "Highly Reliable", IF(M1284 &gt;= Sheet3!$B$3, "Reliable", IF(M1284 &gt;= Sheet3!$B$4, "Mixed Reviews", "Low Reliability")))))</f>
        <v>Highly Reliable</v>
      </c>
    </row>
    <row r="1285">
      <c r="A1285" s="3">
        <f t="shared" si="1"/>
        <v>1284</v>
      </c>
      <c r="B1285" s="9" t="s">
        <v>9675</v>
      </c>
      <c r="C1285" s="10">
        <v>39.222609</v>
      </c>
      <c r="D1285" s="10">
        <v>-76.6698075</v>
      </c>
      <c r="E1285" s="9" t="s">
        <v>9676</v>
      </c>
      <c r="F1285" s="9" t="s">
        <v>9677</v>
      </c>
      <c r="G1285" s="9" t="s">
        <v>9678</v>
      </c>
      <c r="H1285" s="9" t="s">
        <v>9679</v>
      </c>
      <c r="I1285" s="9" t="s">
        <v>27</v>
      </c>
      <c r="J1285" s="9" t="s">
        <v>9680</v>
      </c>
      <c r="K1285" s="12" t="s">
        <v>9681</v>
      </c>
      <c r="L1285" s="9" t="s">
        <v>9682</v>
      </c>
      <c r="M1285" s="9">
        <v>67.26240884</v>
      </c>
      <c r="N1285" s="10">
        <v>58.8016587</v>
      </c>
      <c r="O1285" s="10" t="s">
        <v>9683</v>
      </c>
      <c r="P1285" s="9">
        <v>9082026.0</v>
      </c>
      <c r="Q1285" s="7" t="str">
        <f>IF(OR(ISBLANK(M1285), ISBLANK(N1285)), "", IF(N1285 &lt; Sheet3!$B$6, "Insufficient Reviews", IF(M1285 &gt;= Sheet3!$B$2, "Highly Reliable", IF(M1285 &gt;= Sheet3!$B$3, "Reliable", IF(M1285 &gt;= Sheet3!$B$4, "Mixed Reviews", "Low Reliability")))))</f>
        <v>Mixed Reviews</v>
      </c>
    </row>
    <row r="1286">
      <c r="A1286" s="3">
        <f t="shared" si="1"/>
        <v>1285</v>
      </c>
      <c r="B1286" s="9" t="s">
        <v>9684</v>
      </c>
      <c r="C1286" s="10">
        <v>39.2825858</v>
      </c>
      <c r="D1286" s="10">
        <v>-76.4962932</v>
      </c>
      <c r="E1286" s="9" t="s">
        <v>9685</v>
      </c>
      <c r="F1286" s="9" t="s">
        <v>9686</v>
      </c>
      <c r="G1286" s="9" t="s">
        <v>9687</v>
      </c>
      <c r="H1286" s="9" t="s">
        <v>34</v>
      </c>
      <c r="I1286" s="9" t="s">
        <v>35</v>
      </c>
      <c r="J1286" s="9" t="s">
        <v>9688</v>
      </c>
      <c r="K1286" s="12" t="s">
        <v>5947</v>
      </c>
      <c r="L1286" s="9" t="s">
        <v>9689</v>
      </c>
      <c r="M1286" s="9">
        <v>73.60938369</v>
      </c>
      <c r="N1286" s="10">
        <v>55.71565567</v>
      </c>
      <c r="O1286" s="10" t="s">
        <v>9690</v>
      </c>
      <c r="P1286" s="9">
        <v>9082026.0</v>
      </c>
      <c r="Q1286" s="7" t="str">
        <f>IF(OR(ISBLANK(M1286), ISBLANK(N1286)), "", IF(N1286 &lt; Sheet3!$B$6, "Insufficient Reviews", IF(M1286 &gt;= Sheet3!$B$2, "Highly Reliable", IF(M1286 &gt;= Sheet3!$B$3, "Reliable", IF(M1286 &gt;= Sheet3!$B$4, "Mixed Reviews", "Low Reliability")))))</f>
        <v>Reliable</v>
      </c>
    </row>
    <row r="1287">
      <c r="A1287" s="3">
        <f t="shared" si="1"/>
        <v>1286</v>
      </c>
      <c r="B1287" s="9" t="s">
        <v>9484</v>
      </c>
      <c r="C1287" s="10">
        <v>39.1056022</v>
      </c>
      <c r="D1287" s="10">
        <v>-77.1489028</v>
      </c>
      <c r="E1287" s="9" t="s">
        <v>9485</v>
      </c>
      <c r="F1287" s="9" t="s">
        <v>9691</v>
      </c>
      <c r="G1287" s="9" t="s">
        <v>9692</v>
      </c>
      <c r="H1287" s="9" t="s">
        <v>62</v>
      </c>
      <c r="I1287" s="9" t="s">
        <v>35</v>
      </c>
      <c r="J1287" s="9" t="s">
        <v>9693</v>
      </c>
      <c r="K1287" s="12" t="s">
        <v>9694</v>
      </c>
      <c r="L1287" s="9" t="s">
        <v>9695</v>
      </c>
      <c r="M1287" s="9">
        <v>82.18911399</v>
      </c>
      <c r="N1287" s="10">
        <v>54.08493392</v>
      </c>
      <c r="O1287" s="10" t="s">
        <v>9696</v>
      </c>
      <c r="P1287" s="9">
        <v>9082026.0</v>
      </c>
      <c r="Q1287" s="7" t="str">
        <f>IF(OR(ISBLANK(M1287), ISBLANK(N1287)), "", IF(N1287 &lt; Sheet3!$B$6, "Insufficient Reviews", IF(M1287 &gt;= Sheet3!$B$2, "Highly Reliable", IF(M1287 &gt;= Sheet3!$B$3, "Reliable", IF(M1287 &gt;= Sheet3!$B$4, "Mixed Reviews", "Low Reliability")))))</f>
        <v>Highly Reliable</v>
      </c>
    </row>
    <row r="1288">
      <c r="A1288" s="3">
        <f t="shared" si="1"/>
        <v>1287</v>
      </c>
      <c r="B1288" s="9" t="s">
        <v>9697</v>
      </c>
      <c r="C1288" s="10">
        <v>39.0252234</v>
      </c>
      <c r="D1288" s="10">
        <v>-77.0201778</v>
      </c>
      <c r="E1288" s="9" t="s">
        <v>9698</v>
      </c>
      <c r="F1288" s="9" t="s">
        <v>9699</v>
      </c>
      <c r="G1288" s="9"/>
      <c r="H1288" s="11"/>
      <c r="I1288" s="9" t="s">
        <v>203</v>
      </c>
      <c r="J1288" s="9" t="s">
        <v>9700</v>
      </c>
      <c r="K1288" s="12" t="s">
        <v>9701</v>
      </c>
      <c r="L1288" s="9" t="s">
        <v>9702</v>
      </c>
      <c r="M1288" s="10">
        <v>75.83873993</v>
      </c>
      <c r="N1288" s="10">
        <v>56.1875571</v>
      </c>
      <c r="O1288" s="9" t="s">
        <v>9703</v>
      </c>
      <c r="P1288" s="9">
        <v>9082026.0</v>
      </c>
      <c r="Q1288" s="7" t="str">
        <f>IF(OR(ISBLANK(M1288), ISBLANK(N1288)), "", IF(N1288 &lt; Sheet3!$B$6, "Insufficient Reviews", IF(M1288 &gt;= Sheet3!$B$2, "Highly Reliable", IF(M1288 &gt;= Sheet3!$B$3, "Reliable", IF(M1288 &gt;= Sheet3!$B$4, "Mixed Reviews", "Low Reliability")))))</f>
        <v>Reliable</v>
      </c>
    </row>
    <row r="1289">
      <c r="A1289" s="3">
        <f t="shared" si="1"/>
        <v>1288</v>
      </c>
      <c r="B1289" s="9" t="s">
        <v>9704</v>
      </c>
      <c r="C1289" s="10">
        <v>39.6908025</v>
      </c>
      <c r="D1289" s="10">
        <v>-77.789604</v>
      </c>
      <c r="E1289" s="9" t="s">
        <v>9705</v>
      </c>
      <c r="F1289" s="9" t="s">
        <v>9706</v>
      </c>
      <c r="G1289" s="11"/>
      <c r="H1289" s="11"/>
      <c r="I1289" s="9" t="s">
        <v>35</v>
      </c>
      <c r="J1289" s="9" t="s">
        <v>9707</v>
      </c>
      <c r="K1289" s="12" t="s">
        <v>9708</v>
      </c>
      <c r="L1289" s="9" t="s">
        <v>9709</v>
      </c>
      <c r="M1289" s="9">
        <v>72.93972738</v>
      </c>
      <c r="N1289" s="10">
        <v>80.06035969</v>
      </c>
      <c r="O1289" s="10" t="s">
        <v>9710</v>
      </c>
      <c r="P1289" s="9">
        <v>9082026.0</v>
      </c>
      <c r="Q1289" s="7" t="str">
        <f>IF(OR(ISBLANK(M1289), ISBLANK(N1289)), "", IF(N1289 &lt; Sheet3!$B$6, "Insufficient Reviews", IF(M1289 &gt;= Sheet3!$B$2, "Highly Reliable", IF(M1289 &gt;= Sheet3!$B$3, "Reliable", IF(M1289 &gt;= Sheet3!$B$4, "Mixed Reviews", "Low Reliability")))))</f>
        <v>Reliable</v>
      </c>
    </row>
    <row r="1290">
      <c r="A1290" s="3">
        <f t="shared" si="1"/>
        <v>1289</v>
      </c>
      <c r="B1290" s="9" t="s">
        <v>9711</v>
      </c>
      <c r="C1290" s="10">
        <v>39.6228908</v>
      </c>
      <c r="D1290" s="10">
        <v>-77.684525</v>
      </c>
      <c r="E1290" s="9" t="s">
        <v>9712</v>
      </c>
      <c r="F1290" s="9" t="s">
        <v>9713</v>
      </c>
      <c r="G1290" s="11"/>
      <c r="H1290" s="9" t="s">
        <v>135</v>
      </c>
      <c r="I1290" s="9" t="s">
        <v>91</v>
      </c>
      <c r="J1290" s="9" t="s">
        <v>9714</v>
      </c>
      <c r="K1290" s="12" t="s">
        <v>9715</v>
      </c>
      <c r="L1290" s="9" t="s">
        <v>9716</v>
      </c>
      <c r="M1290" s="9">
        <v>63.12988968</v>
      </c>
      <c r="N1290" s="10">
        <v>89.87394509</v>
      </c>
      <c r="O1290" s="10" t="s">
        <v>9717</v>
      </c>
      <c r="P1290" s="9">
        <v>9082026.0</v>
      </c>
      <c r="Q1290" s="7" t="str">
        <f>IF(OR(ISBLANK(M1290), ISBLANK(N1290)), "", IF(N1290 &lt; Sheet3!$B$6, "Insufficient Reviews", IF(M1290 &gt;= Sheet3!$B$2, "Highly Reliable", IF(M1290 &gt;= Sheet3!$B$3, "Reliable", IF(M1290 &gt;= Sheet3!$B$4, "Mixed Reviews", "Low Reliability")))))</f>
        <v>Mixed Reviews</v>
      </c>
    </row>
    <row r="1291">
      <c r="A1291" s="3">
        <f t="shared" si="1"/>
        <v>1290</v>
      </c>
      <c r="B1291" s="9" t="s">
        <v>9718</v>
      </c>
      <c r="C1291" s="10">
        <v>39.3589643</v>
      </c>
      <c r="D1291" s="10">
        <v>-76.5957326</v>
      </c>
      <c r="E1291" s="9" t="s">
        <v>9719</v>
      </c>
      <c r="F1291" s="9" t="s">
        <v>9720</v>
      </c>
      <c r="G1291" s="9" t="s">
        <v>9721</v>
      </c>
      <c r="H1291" s="9" t="s">
        <v>62</v>
      </c>
      <c r="I1291" s="9" t="s">
        <v>91</v>
      </c>
      <c r="J1291" s="9" t="s">
        <v>9722</v>
      </c>
      <c r="K1291" s="12" t="s">
        <v>9723</v>
      </c>
      <c r="L1291" s="9" t="s">
        <v>9724</v>
      </c>
      <c r="M1291" s="9">
        <v>81.75022357</v>
      </c>
      <c r="N1291" s="10">
        <v>71.29817501</v>
      </c>
      <c r="O1291" s="10" t="s">
        <v>9725</v>
      </c>
      <c r="P1291" s="9">
        <v>9082026.0</v>
      </c>
      <c r="Q1291" s="7" t="str">
        <f>IF(OR(ISBLANK(M1291), ISBLANK(N1291)), "", IF(N1291 &lt; Sheet3!$B$6, "Insufficient Reviews", IF(M1291 &gt;= Sheet3!$B$2, "Highly Reliable", IF(M1291 &gt;= Sheet3!$B$3, "Reliable", IF(M1291 &gt;= Sheet3!$B$4, "Mixed Reviews", "Low Reliability")))))</f>
        <v>Reliable</v>
      </c>
    </row>
    <row r="1292">
      <c r="A1292" s="3">
        <f t="shared" si="1"/>
        <v>1291</v>
      </c>
      <c r="B1292" s="9" t="s">
        <v>9726</v>
      </c>
      <c r="C1292" s="10">
        <v>39.2893712</v>
      </c>
      <c r="D1292" s="10">
        <v>-76.6255358</v>
      </c>
      <c r="E1292" s="9" t="s">
        <v>9727</v>
      </c>
      <c r="F1292" s="9" t="s">
        <v>9728</v>
      </c>
      <c r="G1292" s="9"/>
      <c r="H1292" s="9" t="s">
        <v>312</v>
      </c>
      <c r="I1292" s="9" t="s">
        <v>91</v>
      </c>
      <c r="J1292" s="9" t="s">
        <v>9729</v>
      </c>
      <c r="K1292" s="12" t="s">
        <v>9730</v>
      </c>
      <c r="L1292" s="9" t="s">
        <v>9731</v>
      </c>
      <c r="M1292" s="9">
        <v>68.7060357</v>
      </c>
      <c r="N1292" s="10">
        <v>68.85544514</v>
      </c>
      <c r="O1292" s="10" t="s">
        <v>9732</v>
      </c>
      <c r="P1292" s="9">
        <v>9082026.0</v>
      </c>
      <c r="Q1292" s="7" t="str">
        <f>IF(OR(ISBLANK(M1292), ISBLANK(N1292)), "", IF(N1292 &lt; Sheet3!$B$6, "Insufficient Reviews", IF(M1292 &gt;= Sheet3!$B$2, "Highly Reliable", IF(M1292 &gt;= Sheet3!$B$3, "Reliable", IF(M1292 &gt;= Sheet3!$B$4, "Mixed Reviews", "Low Reliability")))))</f>
        <v>Mixed Reviews</v>
      </c>
    </row>
    <row r="1293">
      <c r="A1293" s="3">
        <f t="shared" si="1"/>
        <v>1292</v>
      </c>
      <c r="B1293" s="11"/>
      <c r="C1293" s="10">
        <v>46.423669</v>
      </c>
      <c r="D1293" s="10">
        <v>-129.9427086</v>
      </c>
      <c r="E1293" s="9" t="s">
        <v>9733</v>
      </c>
      <c r="F1293" s="9" t="s">
        <v>9734</v>
      </c>
      <c r="G1293" s="9" t="s">
        <v>9735</v>
      </c>
      <c r="H1293" s="9" t="s">
        <v>126</v>
      </c>
      <c r="I1293" s="9" t="s">
        <v>91</v>
      </c>
      <c r="J1293" s="9" t="s">
        <v>9736</v>
      </c>
      <c r="K1293" s="12" t="s">
        <v>9737</v>
      </c>
      <c r="L1293" s="9" t="s">
        <v>9738</v>
      </c>
      <c r="M1293" s="9">
        <v>83.28584151</v>
      </c>
      <c r="N1293" s="10">
        <v>73.91489263</v>
      </c>
      <c r="O1293" s="10" t="s">
        <v>9739</v>
      </c>
      <c r="P1293" s="9">
        <v>9082026.0</v>
      </c>
      <c r="Q1293" s="7" t="str">
        <f>IF(OR(ISBLANK(M1293), ISBLANK(N1293)), "", IF(N1293 &lt; Sheet3!$B$6, "Insufficient Reviews", IF(M1293 &gt;= Sheet3!$B$2, "Highly Reliable", IF(M1293 &gt;= Sheet3!$B$3, "Reliable", IF(M1293 &gt;= Sheet3!$B$4, "Mixed Reviews", "Low Reliability")))))</f>
        <v>Highly Reliable</v>
      </c>
    </row>
    <row r="1294">
      <c r="A1294" s="3">
        <f t="shared" si="1"/>
        <v>1293</v>
      </c>
      <c r="B1294" s="9" t="s">
        <v>9740</v>
      </c>
      <c r="C1294" s="10">
        <v>39.3623492</v>
      </c>
      <c r="D1294" s="10">
        <v>-76.7890786</v>
      </c>
      <c r="E1294" s="9" t="s">
        <v>9741</v>
      </c>
      <c r="F1294" s="9" t="s">
        <v>9742</v>
      </c>
      <c r="G1294" s="9" t="s">
        <v>9743</v>
      </c>
      <c r="H1294" s="9"/>
      <c r="I1294" s="9" t="s">
        <v>203</v>
      </c>
      <c r="J1294" s="9" t="s">
        <v>9744</v>
      </c>
      <c r="K1294" s="12" t="s">
        <v>9745</v>
      </c>
      <c r="L1294" s="9" t="s">
        <v>9746</v>
      </c>
      <c r="M1294" s="9">
        <v>58.2</v>
      </c>
      <c r="N1294" s="10">
        <v>43.97233595</v>
      </c>
      <c r="O1294" s="10" t="s">
        <v>9747</v>
      </c>
      <c r="P1294" s="9">
        <v>9082026.0</v>
      </c>
      <c r="Q1294" s="7" t="str">
        <f>IF(OR(ISBLANK(M1294), ISBLANK(N1294)), "", IF(N1294 &lt; Sheet3!$B$6, "Insufficient Reviews", IF(M1294 &gt;= Sheet3!$B$2, "Highly Reliable", IF(M1294 &gt;= Sheet3!$B$3, "Reliable", IF(M1294 &gt;= Sheet3!$B$4, "Mixed Reviews", "Low Reliability")))))</f>
        <v>Low Reliability</v>
      </c>
    </row>
    <row r="1295">
      <c r="A1295" s="3">
        <f t="shared" si="1"/>
        <v>1294</v>
      </c>
      <c r="B1295" s="9" t="s">
        <v>9748</v>
      </c>
      <c r="C1295" s="10">
        <v>39.4333167</v>
      </c>
      <c r="D1295" s="10">
        <v>-76.6329235</v>
      </c>
      <c r="E1295" s="9" t="s">
        <v>9749</v>
      </c>
      <c r="F1295" s="9" t="s">
        <v>9750</v>
      </c>
      <c r="G1295" s="9" t="s">
        <v>9751</v>
      </c>
      <c r="H1295" s="9" t="s">
        <v>126</v>
      </c>
      <c r="I1295" s="9" t="s">
        <v>35</v>
      </c>
      <c r="J1295" s="9" t="s">
        <v>9752</v>
      </c>
      <c r="K1295" s="12" t="s">
        <v>9753</v>
      </c>
      <c r="L1295" s="9" t="s">
        <v>9754</v>
      </c>
      <c r="M1295" s="9">
        <v>77.1137412</v>
      </c>
      <c r="N1295" s="10">
        <v>73.47197097</v>
      </c>
      <c r="O1295" s="10" t="s">
        <v>9755</v>
      </c>
      <c r="P1295" s="9">
        <v>9082026.0</v>
      </c>
      <c r="Q1295" s="7" t="str">
        <f>IF(OR(ISBLANK(M1295), ISBLANK(N1295)), "", IF(N1295 &lt; Sheet3!$B$6, "Insufficient Reviews", IF(M1295 &gt;= Sheet3!$B$2, "Highly Reliable", IF(M1295 &gt;= Sheet3!$B$3, "Reliable", IF(M1295 &gt;= Sheet3!$B$4, "Mixed Reviews", "Low Reliability")))))</f>
        <v>Reliable</v>
      </c>
    </row>
    <row r="1296">
      <c r="A1296" s="3">
        <f t="shared" si="1"/>
        <v>1295</v>
      </c>
      <c r="B1296" s="9" t="s">
        <v>9756</v>
      </c>
      <c r="C1296" s="10">
        <v>39.4162144</v>
      </c>
      <c r="D1296" s="10">
        <v>-76.6695421</v>
      </c>
      <c r="E1296" s="9" t="s">
        <v>9757</v>
      </c>
      <c r="F1296" s="9" t="s">
        <v>9758</v>
      </c>
      <c r="G1296" s="9" t="s">
        <v>9759</v>
      </c>
      <c r="H1296" s="9"/>
      <c r="I1296" s="9" t="s">
        <v>91</v>
      </c>
      <c r="J1296" s="9" t="s">
        <v>9760</v>
      </c>
      <c r="K1296" s="12" t="s">
        <v>9761</v>
      </c>
      <c r="L1296" s="9" t="s">
        <v>9762</v>
      </c>
      <c r="M1296" s="9">
        <v>87.83545754</v>
      </c>
      <c r="N1296" s="10">
        <v>91.61475989</v>
      </c>
      <c r="O1296" s="10" t="s">
        <v>9763</v>
      </c>
      <c r="P1296" s="9">
        <v>9082026.0</v>
      </c>
      <c r="Q1296" s="7" t="str">
        <f>IF(OR(ISBLANK(M1296), ISBLANK(N1296)), "", IF(N1296 &lt; Sheet3!$B$6, "Insufficient Reviews", IF(M1296 &gt;= Sheet3!$B$2, "Highly Reliable", IF(M1296 &gt;= Sheet3!$B$3, "Reliable", IF(M1296 &gt;= Sheet3!$B$4, "Mixed Reviews", "Low Reliability")))))</f>
        <v>Highly Reliable</v>
      </c>
    </row>
    <row r="1297">
      <c r="A1297" s="3">
        <f t="shared" si="1"/>
        <v>1296</v>
      </c>
      <c r="B1297" s="9" t="s">
        <v>9764</v>
      </c>
      <c r="C1297" s="10">
        <v>39.5269927</v>
      </c>
      <c r="D1297" s="10">
        <v>-76.6474528</v>
      </c>
      <c r="E1297" s="9" t="s">
        <v>9765</v>
      </c>
      <c r="F1297" s="9" t="s">
        <v>9766</v>
      </c>
      <c r="G1297" s="9"/>
      <c r="H1297" s="9" t="s">
        <v>135</v>
      </c>
      <c r="I1297" s="9" t="s">
        <v>27</v>
      </c>
      <c r="J1297" s="9" t="s">
        <v>9767</v>
      </c>
      <c r="K1297" s="12" t="s">
        <v>9768</v>
      </c>
      <c r="L1297" s="9" t="s">
        <v>9769</v>
      </c>
      <c r="M1297" s="9">
        <v>78.0</v>
      </c>
      <c r="N1297" s="10">
        <v>55.52942896</v>
      </c>
      <c r="O1297" s="10" t="s">
        <v>9770</v>
      </c>
      <c r="P1297" s="9">
        <v>9082026.0</v>
      </c>
      <c r="Q1297" s="7" t="str">
        <f>IF(OR(ISBLANK(M1297), ISBLANK(N1297)), "", IF(N1297 &lt; Sheet3!$B$6, "Insufficient Reviews", IF(M1297 &gt;= Sheet3!$B$2, "Highly Reliable", IF(M1297 &gt;= Sheet3!$B$3, "Reliable", IF(M1297 &gt;= Sheet3!$B$4, "Mixed Reviews", "Low Reliability")))))</f>
        <v>Reliable</v>
      </c>
    </row>
    <row r="1298">
      <c r="A1298" s="3">
        <f t="shared" si="1"/>
        <v>1297</v>
      </c>
      <c r="B1298" s="9" t="s">
        <v>9771</v>
      </c>
      <c r="C1298" s="10">
        <v>39.343116</v>
      </c>
      <c r="D1298" s="10">
        <v>-76.7089626</v>
      </c>
      <c r="E1298" s="9" t="s">
        <v>9772</v>
      </c>
      <c r="F1298" s="9" t="s">
        <v>9773</v>
      </c>
      <c r="G1298" s="9"/>
      <c r="H1298" s="9" t="s">
        <v>126</v>
      </c>
      <c r="I1298" s="9" t="s">
        <v>35</v>
      </c>
      <c r="J1298" s="9" t="s">
        <v>9774</v>
      </c>
      <c r="K1298" s="12" t="s">
        <v>9775</v>
      </c>
      <c r="L1298" s="9" t="s">
        <v>9776</v>
      </c>
      <c r="M1298" s="10">
        <v>85.36347157</v>
      </c>
      <c r="N1298" s="10">
        <v>86.80936374</v>
      </c>
      <c r="O1298" s="9" t="s">
        <v>9777</v>
      </c>
      <c r="P1298" s="9">
        <v>9082026.0</v>
      </c>
      <c r="Q1298" s="7" t="str">
        <f>IF(OR(ISBLANK(M1298), ISBLANK(N1298)), "", IF(N1298 &lt; Sheet3!$B$6, "Insufficient Reviews", IF(M1298 &gt;= Sheet3!$B$2, "Highly Reliable", IF(M1298 &gt;= Sheet3!$B$3, "Reliable", IF(M1298 &gt;= Sheet3!$B$4, "Mixed Reviews", "Low Reliability")))))</f>
        <v>Highly Reliable</v>
      </c>
    </row>
    <row r="1299">
      <c r="A1299" s="3">
        <f t="shared" si="1"/>
        <v>1298</v>
      </c>
      <c r="B1299" s="9" t="s">
        <v>9778</v>
      </c>
      <c r="C1299" s="10">
        <v>39.2524909</v>
      </c>
      <c r="D1299" s="10">
        <v>-76.7278417</v>
      </c>
      <c r="E1299" s="9" t="s">
        <v>9779</v>
      </c>
      <c r="F1299" s="9" t="s">
        <v>9780</v>
      </c>
      <c r="G1299" s="9" t="s">
        <v>9781</v>
      </c>
      <c r="H1299" s="9" t="s">
        <v>908</v>
      </c>
      <c r="I1299" s="9" t="s">
        <v>91</v>
      </c>
      <c r="J1299" s="9" t="s">
        <v>9782</v>
      </c>
      <c r="K1299" s="12" t="s">
        <v>9783</v>
      </c>
      <c r="L1299" s="9" t="s">
        <v>9784</v>
      </c>
      <c r="M1299" s="9">
        <v>75.99093139</v>
      </c>
      <c r="N1299" s="10">
        <v>71.32260712</v>
      </c>
      <c r="O1299" s="10" t="s">
        <v>9785</v>
      </c>
      <c r="P1299" s="9">
        <v>9082026.0</v>
      </c>
      <c r="Q1299" s="7" t="str">
        <f>IF(OR(ISBLANK(M1299), ISBLANK(N1299)), "", IF(N1299 &lt; Sheet3!$B$6, "Insufficient Reviews", IF(M1299 &gt;= Sheet3!$B$2, "Highly Reliable", IF(M1299 &gt;= Sheet3!$B$3, "Reliable", IF(M1299 &gt;= Sheet3!$B$4, "Mixed Reviews", "Low Reliability")))))</f>
        <v>Reliable</v>
      </c>
    </row>
    <row r="1300">
      <c r="A1300" s="3">
        <f t="shared" si="1"/>
        <v>1299</v>
      </c>
      <c r="B1300" s="9" t="s">
        <v>9786</v>
      </c>
      <c r="C1300" s="10">
        <v>39.0033119</v>
      </c>
      <c r="D1300" s="10">
        <v>-76.9038352</v>
      </c>
      <c r="E1300" s="9" t="s">
        <v>9787</v>
      </c>
      <c r="F1300" s="9" t="s">
        <v>9788</v>
      </c>
      <c r="G1300" s="9" t="s">
        <v>9789</v>
      </c>
      <c r="H1300" s="9"/>
      <c r="I1300" s="9" t="s">
        <v>35</v>
      </c>
      <c r="J1300" s="9" t="s">
        <v>9790</v>
      </c>
      <c r="K1300" s="12" t="s">
        <v>9791</v>
      </c>
      <c r="L1300" s="9" t="s">
        <v>9792</v>
      </c>
      <c r="M1300" s="9">
        <v>75.0</v>
      </c>
      <c r="N1300" s="10">
        <v>42.58389958</v>
      </c>
      <c r="O1300" s="10" t="s">
        <v>9793</v>
      </c>
      <c r="P1300" s="9">
        <v>9082026.0</v>
      </c>
      <c r="Q1300" s="7" t="str">
        <f>IF(OR(ISBLANK(M1300), ISBLANK(N1300)), "", IF(N1300 &lt; Sheet3!$B$6, "Insufficient Reviews", IF(M1300 &gt;= Sheet3!$B$2, "Highly Reliable", IF(M1300 &gt;= Sheet3!$B$3, "Reliable", IF(M1300 &gt;= Sheet3!$B$4, "Mixed Reviews", "Low Reliability")))))</f>
        <v>Reliable</v>
      </c>
    </row>
    <row r="1301">
      <c r="A1301" s="3">
        <f t="shared" si="1"/>
        <v>1300</v>
      </c>
      <c r="B1301" s="9" t="s">
        <v>9794</v>
      </c>
      <c r="C1301" s="10">
        <v>38.1720747</v>
      </c>
      <c r="D1301" s="10">
        <v>-75.3766072</v>
      </c>
      <c r="E1301" s="9" t="s">
        <v>9795</v>
      </c>
      <c r="F1301" s="9" t="s">
        <v>9796</v>
      </c>
      <c r="G1301" s="9" t="s">
        <v>9797</v>
      </c>
      <c r="H1301" s="9" t="s">
        <v>9798</v>
      </c>
      <c r="I1301" s="9" t="s">
        <v>27</v>
      </c>
      <c r="J1301" s="9" t="s">
        <v>9799</v>
      </c>
      <c r="K1301" s="12" t="s">
        <v>9800</v>
      </c>
      <c r="L1301" s="9" t="s">
        <v>9801</v>
      </c>
      <c r="M1301" s="9">
        <v>73.46632202</v>
      </c>
      <c r="N1301" s="10">
        <v>80.50920057</v>
      </c>
      <c r="O1301" s="10" t="s">
        <v>9802</v>
      </c>
      <c r="P1301" s="9">
        <v>9082026.0</v>
      </c>
      <c r="Q1301" s="7" t="str">
        <f>IF(OR(ISBLANK(M1301), ISBLANK(N1301)), "", IF(N1301 &lt; Sheet3!$B$6, "Insufficient Reviews", IF(M1301 &gt;= Sheet3!$B$2, "Highly Reliable", IF(M1301 &gt;= Sheet3!$B$3, "Reliable", IF(M1301 &gt;= Sheet3!$B$4, "Mixed Reviews", "Low Reliability")))))</f>
        <v>Reliable</v>
      </c>
    </row>
    <row r="1302">
      <c r="A1302" s="3">
        <f t="shared" si="1"/>
        <v>1301</v>
      </c>
      <c r="B1302" s="9" t="s">
        <v>9803</v>
      </c>
      <c r="C1302" s="10">
        <v>39.175044</v>
      </c>
      <c r="D1302" s="10">
        <v>-76.7312386</v>
      </c>
      <c r="E1302" s="9" t="s">
        <v>9804</v>
      </c>
      <c r="F1302" s="9" t="s">
        <v>9805</v>
      </c>
      <c r="G1302" s="9"/>
      <c r="H1302" s="9" t="s">
        <v>43</v>
      </c>
      <c r="I1302" s="9" t="s">
        <v>27</v>
      </c>
      <c r="J1302" s="9" t="s">
        <v>9806</v>
      </c>
      <c r="K1302" s="9"/>
      <c r="L1302" s="9" t="s">
        <v>9807</v>
      </c>
      <c r="M1302" s="9">
        <v>82.03819696</v>
      </c>
      <c r="N1302" s="10">
        <v>40.70772825</v>
      </c>
      <c r="O1302" s="10" t="s">
        <v>9808</v>
      </c>
      <c r="P1302" s="9">
        <v>9082026.0</v>
      </c>
      <c r="Q1302" s="7" t="str">
        <f>IF(OR(ISBLANK(M1302), ISBLANK(N1302)), "", IF(N1302 &lt; Sheet3!$B$6, "Insufficient Reviews", IF(M1302 &gt;= Sheet3!$B$2, "Highly Reliable", IF(M1302 &gt;= Sheet3!$B$3, "Reliable", IF(M1302 &gt;= Sheet3!$B$4, "Mixed Reviews", "Low Reliability")))))</f>
        <v>Highly Reliable</v>
      </c>
    </row>
    <row r="1303">
      <c r="A1303" s="3">
        <f t="shared" si="1"/>
        <v>1302</v>
      </c>
      <c r="B1303" s="9" t="s">
        <v>9809</v>
      </c>
      <c r="C1303" s="10">
        <v>39.3549801</v>
      </c>
      <c r="D1303" s="10">
        <v>-76.6869562</v>
      </c>
      <c r="E1303" s="9" t="s">
        <v>9810</v>
      </c>
      <c r="F1303" s="9" t="s">
        <v>9811</v>
      </c>
      <c r="G1303" s="9"/>
      <c r="H1303" s="9" t="s">
        <v>9812</v>
      </c>
      <c r="I1303" s="9" t="s">
        <v>81</v>
      </c>
      <c r="J1303" s="9" t="s">
        <v>9813</v>
      </c>
      <c r="K1303" s="12" t="s">
        <v>9814</v>
      </c>
      <c r="L1303" s="9" t="s">
        <v>9815</v>
      </c>
      <c r="M1303" s="9">
        <v>75.43969803</v>
      </c>
      <c r="N1303" s="10">
        <v>84.03923923</v>
      </c>
      <c r="O1303" s="10" t="s">
        <v>9816</v>
      </c>
      <c r="P1303" s="9">
        <v>9082026.0</v>
      </c>
      <c r="Q1303" s="7" t="str">
        <f>IF(OR(ISBLANK(M1303), ISBLANK(N1303)), "", IF(N1303 &lt; Sheet3!$B$6, "Insufficient Reviews", IF(M1303 &gt;= Sheet3!$B$2, "Highly Reliable", IF(M1303 &gt;= Sheet3!$B$3, "Reliable", IF(M1303 &gt;= Sheet3!$B$4, "Mixed Reviews", "Low Reliability")))))</f>
        <v>Reliable</v>
      </c>
    </row>
    <row r="1304">
      <c r="A1304" s="3">
        <f t="shared" si="1"/>
        <v>1303</v>
      </c>
      <c r="B1304" s="9" t="s">
        <v>9817</v>
      </c>
      <c r="C1304" s="10">
        <v>39.3135579</v>
      </c>
      <c r="D1304" s="10">
        <v>-76.616912</v>
      </c>
      <c r="E1304" s="9" t="s">
        <v>9818</v>
      </c>
      <c r="F1304" s="9" t="s">
        <v>9819</v>
      </c>
      <c r="G1304" s="11"/>
      <c r="H1304" s="9" t="s">
        <v>9679</v>
      </c>
      <c r="I1304" s="9" t="s">
        <v>35</v>
      </c>
      <c r="J1304" s="9" t="s">
        <v>9820</v>
      </c>
      <c r="K1304" s="12" t="s">
        <v>9821</v>
      </c>
      <c r="L1304" s="9" t="s">
        <v>9822</v>
      </c>
      <c r="M1304" s="9">
        <v>82.20024507</v>
      </c>
      <c r="N1304" s="10">
        <v>91.06503665</v>
      </c>
      <c r="O1304" s="10" t="s">
        <v>9823</v>
      </c>
      <c r="P1304" s="9">
        <v>9082026.0</v>
      </c>
      <c r="Q1304" s="7" t="str">
        <f>IF(OR(ISBLANK(M1304), ISBLANK(N1304)), "", IF(N1304 &lt; Sheet3!$B$6, "Insufficient Reviews", IF(M1304 &gt;= Sheet3!$B$2, "Highly Reliable", IF(M1304 &gt;= Sheet3!$B$3, "Reliable", IF(M1304 &gt;= Sheet3!$B$4, "Mixed Reviews", "Low Reliability")))))</f>
        <v>Highly Reliable</v>
      </c>
    </row>
    <row r="1305">
      <c r="A1305" s="3">
        <f t="shared" si="1"/>
        <v>1304</v>
      </c>
      <c r="B1305" s="9" t="s">
        <v>9824</v>
      </c>
      <c r="C1305" s="10">
        <v>39.2762319</v>
      </c>
      <c r="D1305" s="10">
        <v>-76.6440684</v>
      </c>
      <c r="E1305" s="9" t="s">
        <v>9825</v>
      </c>
      <c r="F1305" s="9" t="s">
        <v>9826</v>
      </c>
      <c r="G1305" s="9"/>
      <c r="H1305" s="9" t="s">
        <v>26</v>
      </c>
      <c r="I1305" s="9" t="s">
        <v>35</v>
      </c>
      <c r="J1305" s="9" t="s">
        <v>9827</v>
      </c>
      <c r="K1305" s="12" t="s">
        <v>9828</v>
      </c>
      <c r="L1305" s="9" t="s">
        <v>9829</v>
      </c>
      <c r="M1305" s="9">
        <v>76.27099971</v>
      </c>
      <c r="N1305" s="10">
        <v>82.88730267</v>
      </c>
      <c r="O1305" s="10" t="s">
        <v>9830</v>
      </c>
      <c r="P1305" s="9">
        <v>9082026.0</v>
      </c>
      <c r="Q1305" s="7" t="str">
        <f>IF(OR(ISBLANK(M1305), ISBLANK(N1305)), "", IF(N1305 &lt; Sheet3!$B$6, "Insufficient Reviews", IF(M1305 &gt;= Sheet3!$B$2, "Highly Reliable", IF(M1305 &gt;= Sheet3!$B$3, "Reliable", IF(M1305 &gt;= Sheet3!$B$4, "Mixed Reviews", "Low Reliability")))))</f>
        <v>Reliable</v>
      </c>
    </row>
    <row r="1306">
      <c r="A1306" s="3">
        <f t="shared" si="1"/>
        <v>1305</v>
      </c>
      <c r="B1306" s="9" t="s">
        <v>9831</v>
      </c>
      <c r="C1306" s="10">
        <v>39.2756391</v>
      </c>
      <c r="D1306" s="10">
        <v>-76.6443446</v>
      </c>
      <c r="E1306" s="9" t="s">
        <v>9832</v>
      </c>
      <c r="F1306" s="9" t="s">
        <v>9833</v>
      </c>
      <c r="G1306" s="9"/>
      <c r="H1306" s="9" t="s">
        <v>43</v>
      </c>
      <c r="I1306" s="9" t="s">
        <v>27</v>
      </c>
      <c r="J1306" s="9" t="s">
        <v>9834</v>
      </c>
      <c r="K1306" s="12" t="s">
        <v>9835</v>
      </c>
      <c r="L1306" s="9" t="s">
        <v>9836</v>
      </c>
      <c r="M1306" s="9">
        <v>63.86764975</v>
      </c>
      <c r="N1306" s="10">
        <v>69.25411637</v>
      </c>
      <c r="O1306" s="10" t="s">
        <v>9837</v>
      </c>
      <c r="P1306" s="9">
        <v>9082026.0</v>
      </c>
      <c r="Q1306" s="7" t="str">
        <f>IF(OR(ISBLANK(M1306), ISBLANK(N1306)), "", IF(N1306 &lt; Sheet3!$B$6, "Insufficient Reviews", IF(M1306 &gt;= Sheet3!$B$2, "Highly Reliable", IF(M1306 &gt;= Sheet3!$B$3, "Reliable", IF(M1306 &gt;= Sheet3!$B$4, "Mixed Reviews", "Low Reliability")))))</f>
        <v>Mixed Reviews</v>
      </c>
    </row>
    <row r="1307">
      <c r="A1307" s="3">
        <f t="shared" si="1"/>
        <v>1306</v>
      </c>
      <c r="B1307" s="9" t="s">
        <v>9838</v>
      </c>
      <c r="C1307" s="10">
        <v>39.348957</v>
      </c>
      <c r="D1307" s="10">
        <v>-76.414852</v>
      </c>
      <c r="E1307" s="9" t="s">
        <v>9839</v>
      </c>
      <c r="F1307" s="9" t="s">
        <v>9840</v>
      </c>
      <c r="G1307" s="9" t="s">
        <v>9841</v>
      </c>
      <c r="H1307" s="9" t="s">
        <v>62</v>
      </c>
      <c r="I1307" s="9" t="s">
        <v>27</v>
      </c>
      <c r="J1307" s="9" t="s">
        <v>9842</v>
      </c>
      <c r="K1307" s="12" t="s">
        <v>9843</v>
      </c>
      <c r="L1307" s="9" t="s">
        <v>9844</v>
      </c>
      <c r="M1307" s="9">
        <v>83.04799394</v>
      </c>
      <c r="N1307" s="10">
        <v>72.22926856</v>
      </c>
      <c r="O1307" s="10" t="s">
        <v>9845</v>
      </c>
      <c r="P1307" s="9">
        <v>9082026.0</v>
      </c>
      <c r="Q1307" s="7" t="str">
        <f>IF(OR(ISBLANK(M1307), ISBLANK(N1307)), "", IF(N1307 &lt; Sheet3!$B$6, "Insufficient Reviews", IF(M1307 &gt;= Sheet3!$B$2, "Highly Reliable", IF(M1307 &gt;= Sheet3!$B$3, "Reliable", IF(M1307 &gt;= Sheet3!$B$4, "Mixed Reviews", "Low Reliability")))))</f>
        <v>Highly Reliable</v>
      </c>
    </row>
    <row r="1308">
      <c r="A1308" s="3">
        <f t="shared" si="1"/>
        <v>1307</v>
      </c>
      <c r="B1308" s="9" t="s">
        <v>9846</v>
      </c>
      <c r="C1308" s="10">
        <v>39.035332</v>
      </c>
      <c r="D1308" s="10">
        <v>-76.9831134</v>
      </c>
      <c r="E1308" s="9" t="s">
        <v>9847</v>
      </c>
      <c r="F1308" s="9" t="s">
        <v>9848</v>
      </c>
      <c r="G1308" s="9"/>
      <c r="H1308" s="9" t="s">
        <v>9849</v>
      </c>
      <c r="I1308" s="9" t="s">
        <v>27</v>
      </c>
      <c r="J1308" s="9" t="s">
        <v>9850</v>
      </c>
      <c r="K1308" s="12" t="s">
        <v>9851</v>
      </c>
      <c r="L1308" s="9" t="s">
        <v>9852</v>
      </c>
      <c r="M1308" s="10">
        <v>72.07873563</v>
      </c>
      <c r="N1308" s="10">
        <v>70.6771511</v>
      </c>
      <c r="O1308" s="9" t="s">
        <v>5942</v>
      </c>
      <c r="P1308" s="9">
        <v>9082026.0</v>
      </c>
      <c r="Q1308" s="7" t="str">
        <f>IF(OR(ISBLANK(M1308), ISBLANK(N1308)), "", IF(N1308 &lt; Sheet3!$B$6, "Insufficient Reviews", IF(M1308 &gt;= Sheet3!$B$2, "Highly Reliable", IF(M1308 &gt;= Sheet3!$B$3, "Reliable", IF(M1308 &gt;= Sheet3!$B$4, "Mixed Reviews", "Low Reliability")))))</f>
        <v>Reliable</v>
      </c>
    </row>
    <row r="1309">
      <c r="A1309" s="3">
        <f t="shared" si="1"/>
        <v>1308</v>
      </c>
      <c r="B1309" s="9" t="s">
        <v>9853</v>
      </c>
      <c r="C1309" s="10">
        <v>38.9855962</v>
      </c>
      <c r="D1309" s="10">
        <v>-76.5034734</v>
      </c>
      <c r="E1309" s="9" t="s">
        <v>9854</v>
      </c>
      <c r="F1309" s="9" t="s">
        <v>9855</v>
      </c>
      <c r="G1309" s="9"/>
      <c r="H1309" s="9" t="s">
        <v>9856</v>
      </c>
      <c r="I1309" s="9" t="s">
        <v>27</v>
      </c>
      <c r="J1309" s="9" t="s">
        <v>9857</v>
      </c>
      <c r="K1309" s="12" t="s">
        <v>9858</v>
      </c>
      <c r="L1309" s="9" t="s">
        <v>9859</v>
      </c>
      <c r="M1309" s="9">
        <v>64.03577923</v>
      </c>
      <c r="N1309" s="10">
        <v>66.64795646</v>
      </c>
      <c r="O1309" s="10" t="s">
        <v>9860</v>
      </c>
      <c r="P1309" s="9">
        <v>9082026.0</v>
      </c>
      <c r="Q1309" s="7" t="str">
        <f>IF(OR(ISBLANK(M1309), ISBLANK(N1309)), "", IF(N1309 &lt; Sheet3!$B$6, "Insufficient Reviews", IF(M1309 &gt;= Sheet3!$B$2, "Highly Reliable", IF(M1309 &gt;= Sheet3!$B$3, "Reliable", IF(M1309 &gt;= Sheet3!$B$4, "Mixed Reviews", "Low Reliability")))))</f>
        <v>Mixed Reviews</v>
      </c>
    </row>
    <row r="1310">
      <c r="A1310" s="3">
        <f t="shared" si="1"/>
        <v>1309</v>
      </c>
      <c r="B1310" s="9" t="s">
        <v>9861</v>
      </c>
      <c r="C1310" s="10">
        <v>38.803867</v>
      </c>
      <c r="D1310" s="10">
        <v>-77.0621328</v>
      </c>
      <c r="E1310" s="9" t="s">
        <v>9862</v>
      </c>
      <c r="F1310" s="9" t="s">
        <v>9863</v>
      </c>
      <c r="G1310" s="9" t="s">
        <v>9864</v>
      </c>
      <c r="H1310" s="9" t="s">
        <v>4952</v>
      </c>
      <c r="I1310" s="9" t="s">
        <v>35</v>
      </c>
      <c r="J1310" s="9" t="s">
        <v>9865</v>
      </c>
      <c r="K1310" s="12" t="s">
        <v>9866</v>
      </c>
      <c r="L1310" s="9" t="s">
        <v>9867</v>
      </c>
      <c r="M1310" s="9">
        <v>76.16602734</v>
      </c>
      <c r="N1310" s="10">
        <v>71.16837709</v>
      </c>
      <c r="O1310" s="10" t="s">
        <v>9868</v>
      </c>
      <c r="P1310" s="9">
        <v>9082026.0</v>
      </c>
      <c r="Q1310" s="7" t="str">
        <f>IF(OR(ISBLANK(M1310), ISBLANK(N1310)), "", IF(N1310 &lt; Sheet3!$B$6, "Insufficient Reviews", IF(M1310 &gt;= Sheet3!$B$2, "Highly Reliable", IF(M1310 &gt;= Sheet3!$B$3, "Reliable", IF(M1310 &gt;= Sheet3!$B$4, "Mixed Reviews", "Low Reliability")))))</f>
        <v>Reliable</v>
      </c>
    </row>
    <row r="1311">
      <c r="A1311" s="3">
        <f t="shared" si="1"/>
        <v>1310</v>
      </c>
      <c r="B1311" s="11"/>
      <c r="C1311" s="10">
        <v>38.804821</v>
      </c>
      <c r="D1311" s="10">
        <v>-77.2369665</v>
      </c>
      <c r="E1311" s="9" t="s">
        <v>9869</v>
      </c>
      <c r="F1311" s="9" t="s">
        <v>9870</v>
      </c>
      <c r="G1311" s="9" t="s">
        <v>9871</v>
      </c>
      <c r="H1311" s="9" t="s">
        <v>126</v>
      </c>
      <c r="I1311" s="9" t="s">
        <v>91</v>
      </c>
      <c r="J1311" s="9" t="s">
        <v>9872</v>
      </c>
      <c r="K1311" s="12" t="s">
        <v>9873</v>
      </c>
      <c r="L1311" s="9" t="s">
        <v>9874</v>
      </c>
      <c r="M1311" s="9">
        <v>81.38473584</v>
      </c>
      <c r="N1311" s="10">
        <v>55.11371656</v>
      </c>
      <c r="O1311" s="10" t="s">
        <v>9875</v>
      </c>
      <c r="P1311" s="9">
        <v>9082026.0</v>
      </c>
      <c r="Q1311" s="7" t="str">
        <f>IF(OR(ISBLANK(M1311), ISBLANK(N1311)), "", IF(N1311 &lt; Sheet3!$B$6, "Insufficient Reviews", IF(M1311 &gt;= Sheet3!$B$2, "Highly Reliable", IF(M1311 &gt;= Sheet3!$B$3, "Reliable", IF(M1311 &gt;= Sheet3!$B$4, "Mixed Reviews", "Low Reliability")))))</f>
        <v>Reliable</v>
      </c>
    </row>
    <row r="1312">
      <c r="A1312" s="3">
        <f t="shared" si="1"/>
        <v>1311</v>
      </c>
      <c r="B1312" s="9" t="s">
        <v>9876</v>
      </c>
      <c r="C1312" s="10">
        <v>39.2946548</v>
      </c>
      <c r="D1312" s="10">
        <v>-76.5908866</v>
      </c>
      <c r="E1312" s="9" t="s">
        <v>9877</v>
      </c>
      <c r="F1312" s="9" t="s">
        <v>9878</v>
      </c>
      <c r="G1312" s="9" t="s">
        <v>9879</v>
      </c>
      <c r="H1312" s="9" t="s">
        <v>62</v>
      </c>
      <c r="I1312" s="9" t="s">
        <v>91</v>
      </c>
      <c r="J1312" s="9" t="s">
        <v>9880</v>
      </c>
      <c r="K1312" s="12" t="s">
        <v>9881</v>
      </c>
      <c r="L1312" s="9" t="s">
        <v>9882</v>
      </c>
      <c r="M1312" s="9">
        <v>69.20244913</v>
      </c>
      <c r="N1312" s="10">
        <v>65.11289246</v>
      </c>
      <c r="O1312" s="10" t="s">
        <v>9883</v>
      </c>
      <c r="P1312" s="9">
        <v>9082026.0</v>
      </c>
      <c r="Q1312" s="7" t="str">
        <f>IF(OR(ISBLANK(M1312), ISBLANK(N1312)), "", IF(N1312 &lt; Sheet3!$B$6, "Insufficient Reviews", IF(M1312 &gt;= Sheet3!$B$2, "Highly Reliable", IF(M1312 &gt;= Sheet3!$B$3, "Reliable", IF(M1312 &gt;= Sheet3!$B$4, "Mixed Reviews", "Low Reliability")))))</f>
        <v>Mixed Reviews</v>
      </c>
    </row>
    <row r="1313">
      <c r="A1313" s="3">
        <f t="shared" si="1"/>
        <v>1312</v>
      </c>
      <c r="B1313" s="9" t="s">
        <v>9884</v>
      </c>
      <c r="C1313" s="10">
        <v>39.1379855</v>
      </c>
      <c r="D1313" s="10">
        <v>-76.622495</v>
      </c>
      <c r="E1313" s="9" t="s">
        <v>9885</v>
      </c>
      <c r="F1313" s="9" t="s">
        <v>9886</v>
      </c>
      <c r="G1313" s="9"/>
      <c r="H1313" s="9" t="s">
        <v>135</v>
      </c>
      <c r="I1313" s="9" t="s">
        <v>91</v>
      </c>
      <c r="J1313" s="9" t="s">
        <v>9887</v>
      </c>
      <c r="K1313" s="12" t="s">
        <v>9888</v>
      </c>
      <c r="L1313" s="9" t="s">
        <v>9889</v>
      </c>
      <c r="M1313" s="9">
        <v>60.75939428</v>
      </c>
      <c r="N1313" s="10">
        <v>69.97881417</v>
      </c>
      <c r="O1313" s="10" t="s">
        <v>9890</v>
      </c>
      <c r="P1313" s="9">
        <v>9082026.0</v>
      </c>
      <c r="Q1313" s="7" t="str">
        <f>IF(OR(ISBLANK(M1313), ISBLANK(N1313)), "", IF(N1313 &lt; Sheet3!$B$6, "Insufficient Reviews", IF(M1313 &gt;= Sheet3!$B$2, "Highly Reliable", IF(M1313 &gt;= Sheet3!$B$3, "Reliable", IF(M1313 &gt;= Sheet3!$B$4, "Mixed Reviews", "Low Reliability")))))</f>
        <v>Mixed Reviews</v>
      </c>
    </row>
    <row r="1314">
      <c r="A1314" s="3">
        <f t="shared" si="1"/>
        <v>1313</v>
      </c>
      <c r="B1314" s="9" t="s">
        <v>9891</v>
      </c>
      <c r="C1314" s="10">
        <v>39.0493777</v>
      </c>
      <c r="D1314" s="10">
        <v>-76.9574871</v>
      </c>
      <c r="E1314" s="9" t="s">
        <v>9892</v>
      </c>
      <c r="F1314" s="9" t="s">
        <v>9893</v>
      </c>
      <c r="G1314" s="9" t="s">
        <v>9894</v>
      </c>
      <c r="H1314" s="9" t="s">
        <v>135</v>
      </c>
      <c r="I1314" s="9" t="s">
        <v>91</v>
      </c>
      <c r="J1314" s="9" t="s">
        <v>9895</v>
      </c>
      <c r="K1314" s="12" t="s">
        <v>9896</v>
      </c>
      <c r="L1314" s="9" t="s">
        <v>9897</v>
      </c>
      <c r="M1314" s="9">
        <v>65.84680062</v>
      </c>
      <c r="N1314" s="10">
        <v>71.31346657</v>
      </c>
      <c r="O1314" s="10" t="s">
        <v>9898</v>
      </c>
      <c r="P1314" s="9">
        <v>9082026.0</v>
      </c>
      <c r="Q1314" s="7" t="str">
        <f>IF(OR(ISBLANK(M1314), ISBLANK(N1314)), "", IF(N1314 &lt; Sheet3!$B$6, "Insufficient Reviews", IF(M1314 &gt;= Sheet3!$B$2, "Highly Reliable", IF(M1314 &gt;= Sheet3!$B$3, "Reliable", IF(M1314 &gt;= Sheet3!$B$4, "Mixed Reviews", "Low Reliability")))))</f>
        <v>Mixed Reviews</v>
      </c>
    </row>
    <row r="1315">
      <c r="A1315" s="3">
        <f t="shared" si="1"/>
        <v>1314</v>
      </c>
      <c r="B1315" s="9" t="s">
        <v>9899</v>
      </c>
      <c r="C1315" s="10">
        <v>39.0981905</v>
      </c>
      <c r="D1315" s="10">
        <v>-77.1989904</v>
      </c>
      <c r="E1315" s="9" t="s">
        <v>9900</v>
      </c>
      <c r="F1315" s="9" t="s">
        <v>9901</v>
      </c>
      <c r="G1315" s="9" t="s">
        <v>9902</v>
      </c>
      <c r="H1315" s="9" t="s">
        <v>135</v>
      </c>
      <c r="I1315" s="9" t="s">
        <v>91</v>
      </c>
      <c r="J1315" s="9" t="s">
        <v>9903</v>
      </c>
      <c r="K1315" s="12" t="s">
        <v>9904</v>
      </c>
      <c r="L1315" s="9" t="s">
        <v>9905</v>
      </c>
      <c r="M1315" s="9">
        <v>61.14991893</v>
      </c>
      <c r="N1315" s="10">
        <v>70.75436129</v>
      </c>
      <c r="O1315" s="10" t="s">
        <v>9906</v>
      </c>
      <c r="P1315" s="9">
        <v>9082026.0</v>
      </c>
      <c r="Q1315" s="7" t="str">
        <f>IF(OR(ISBLANK(M1315), ISBLANK(N1315)), "", IF(N1315 &lt; Sheet3!$B$6, "Insufficient Reviews", IF(M1315 &gt;= Sheet3!$B$2, "Highly Reliable", IF(M1315 &gt;= Sheet3!$B$3, "Reliable", IF(M1315 &gt;= Sheet3!$B$4, "Mixed Reviews", "Low Reliability")))))</f>
        <v>Mixed Reviews</v>
      </c>
    </row>
    <row r="1316">
      <c r="A1316" s="3">
        <f t="shared" si="1"/>
        <v>1315</v>
      </c>
      <c r="B1316" s="9" t="s">
        <v>9907</v>
      </c>
      <c r="C1316" s="10">
        <v>38.9970612</v>
      </c>
      <c r="D1316" s="10">
        <v>-77.1103272</v>
      </c>
      <c r="E1316" s="9" t="s">
        <v>9908</v>
      </c>
      <c r="F1316" s="9" t="s">
        <v>9909</v>
      </c>
      <c r="G1316" s="11"/>
      <c r="H1316" s="9" t="s">
        <v>135</v>
      </c>
      <c r="I1316" s="9" t="s">
        <v>91</v>
      </c>
      <c r="J1316" s="9" t="s">
        <v>9910</v>
      </c>
      <c r="K1316" s="12" t="s">
        <v>9911</v>
      </c>
      <c r="L1316" s="9" t="s">
        <v>9912</v>
      </c>
      <c r="M1316" s="9">
        <v>65.97695255</v>
      </c>
      <c r="N1316" s="10">
        <v>92.93050851</v>
      </c>
      <c r="O1316" s="10" t="s">
        <v>9913</v>
      </c>
      <c r="P1316" s="9">
        <v>9082026.0</v>
      </c>
      <c r="Q1316" s="7" t="str">
        <f>IF(OR(ISBLANK(M1316), ISBLANK(N1316)), "", IF(N1316 &lt; Sheet3!$B$6, "Insufficient Reviews", IF(M1316 &gt;= Sheet3!$B$2, "Highly Reliable", IF(M1316 &gt;= Sheet3!$B$3, "Reliable", IF(M1316 &gt;= Sheet3!$B$4, "Mixed Reviews", "Low Reliability")))))</f>
        <v>Mixed Reviews</v>
      </c>
    </row>
    <row r="1317">
      <c r="A1317" s="3">
        <f t="shared" si="1"/>
        <v>1316</v>
      </c>
      <c r="B1317" s="9" t="s">
        <v>9914</v>
      </c>
      <c r="C1317" s="10">
        <v>38.7284763</v>
      </c>
      <c r="D1317" s="10">
        <v>-76.9921175</v>
      </c>
      <c r="E1317" s="9" t="s">
        <v>9915</v>
      </c>
      <c r="F1317" s="9" t="s">
        <v>9916</v>
      </c>
      <c r="G1317" s="9" t="s">
        <v>9917</v>
      </c>
      <c r="H1317" s="9" t="s">
        <v>135</v>
      </c>
      <c r="I1317" s="9" t="s">
        <v>91</v>
      </c>
      <c r="J1317" s="9" t="s">
        <v>9918</v>
      </c>
      <c r="K1317" s="12" t="s">
        <v>9919</v>
      </c>
      <c r="L1317" s="9" t="s">
        <v>9920</v>
      </c>
      <c r="M1317" s="9">
        <v>68.34363033</v>
      </c>
      <c r="N1317" s="10">
        <v>73.81803763</v>
      </c>
      <c r="O1317" s="10" t="s">
        <v>9921</v>
      </c>
      <c r="P1317" s="9">
        <v>9082026.0</v>
      </c>
      <c r="Q1317" s="7" t="str">
        <f>IF(OR(ISBLANK(M1317), ISBLANK(N1317)), "", IF(N1317 &lt; Sheet3!$B$6, "Insufficient Reviews", IF(M1317 &gt;= Sheet3!$B$2, "Highly Reliable", IF(M1317 &gt;= Sheet3!$B$3, "Reliable", IF(M1317 &gt;= Sheet3!$B$4, "Mixed Reviews", "Low Reliability")))))</f>
        <v>Mixed Reviews</v>
      </c>
    </row>
    <row r="1318">
      <c r="A1318" s="3">
        <f t="shared" si="1"/>
        <v>1317</v>
      </c>
      <c r="B1318" s="9" t="s">
        <v>9922</v>
      </c>
      <c r="C1318" s="10">
        <v>38.6418275</v>
      </c>
      <c r="D1318" s="10">
        <v>-75.6045048</v>
      </c>
      <c r="E1318" s="9" t="s">
        <v>9923</v>
      </c>
      <c r="F1318" s="9" t="s">
        <v>9924</v>
      </c>
      <c r="G1318" s="11"/>
      <c r="H1318" s="9" t="s">
        <v>9925</v>
      </c>
      <c r="I1318" s="9" t="s">
        <v>91</v>
      </c>
      <c r="J1318" s="9" t="s">
        <v>9926</v>
      </c>
      <c r="K1318" s="12" t="s">
        <v>9927</v>
      </c>
      <c r="L1318" s="9" t="s">
        <v>9928</v>
      </c>
      <c r="M1318" s="9">
        <v>53.60285398</v>
      </c>
      <c r="N1318" s="10">
        <v>70.59838115</v>
      </c>
      <c r="O1318" s="10" t="s">
        <v>223</v>
      </c>
      <c r="P1318" s="9">
        <v>9082026.0</v>
      </c>
      <c r="Q1318" s="7" t="str">
        <f>IF(OR(ISBLANK(M1318), ISBLANK(N1318)), "", IF(N1318 &lt; Sheet3!$B$6, "Insufficient Reviews", IF(M1318 &gt;= Sheet3!$B$2, "Highly Reliable", IF(M1318 &gt;= Sheet3!$B$3, "Reliable", IF(M1318 &gt;= Sheet3!$B$4, "Mixed Reviews", "Low Reliability")))))</f>
        <v>Low Reliability</v>
      </c>
    </row>
    <row r="1319">
      <c r="A1319" s="3">
        <f t="shared" si="1"/>
        <v>1318</v>
      </c>
      <c r="B1319" s="9" t="s">
        <v>9929</v>
      </c>
      <c r="C1319" s="10">
        <v>38.361799</v>
      </c>
      <c r="D1319" s="10">
        <v>-75.5984691</v>
      </c>
      <c r="E1319" s="9" t="s">
        <v>9930</v>
      </c>
      <c r="F1319" s="9" t="s">
        <v>9931</v>
      </c>
      <c r="G1319" s="9" t="s">
        <v>9932</v>
      </c>
      <c r="H1319" s="9" t="s">
        <v>135</v>
      </c>
      <c r="I1319" s="9" t="s">
        <v>91</v>
      </c>
      <c r="J1319" s="9" t="s">
        <v>9933</v>
      </c>
      <c r="K1319" s="12" t="s">
        <v>9934</v>
      </c>
      <c r="L1319" s="9" t="s">
        <v>9935</v>
      </c>
      <c r="M1319" s="9">
        <v>57.51430032</v>
      </c>
      <c r="N1319" s="10">
        <v>92.92807035</v>
      </c>
      <c r="O1319" s="10" t="s">
        <v>9936</v>
      </c>
      <c r="P1319" s="9">
        <v>9082026.0</v>
      </c>
      <c r="Q1319" s="7" t="str">
        <f>IF(OR(ISBLANK(M1319), ISBLANK(N1319)), "", IF(N1319 &lt; Sheet3!$B$6, "Insufficient Reviews", IF(M1319 &gt;= Sheet3!$B$2, "Highly Reliable", IF(M1319 &gt;= Sheet3!$B$3, "Reliable", IF(M1319 &gt;= Sheet3!$B$4, "Mixed Reviews", "Low Reliability")))))</f>
        <v>Low Reliability</v>
      </c>
    </row>
    <row r="1320">
      <c r="A1320" s="3">
        <f t="shared" si="1"/>
        <v>1319</v>
      </c>
      <c r="B1320" s="9" t="s">
        <v>9937</v>
      </c>
      <c r="C1320" s="10">
        <v>38.3396234</v>
      </c>
      <c r="D1320" s="10">
        <v>-75.211597</v>
      </c>
      <c r="E1320" s="9" t="s">
        <v>9938</v>
      </c>
      <c r="F1320" s="9" t="s">
        <v>9939</v>
      </c>
      <c r="G1320" s="11"/>
      <c r="H1320" s="9" t="s">
        <v>135</v>
      </c>
      <c r="I1320" s="9" t="s">
        <v>91</v>
      </c>
      <c r="J1320" s="9" t="s">
        <v>9940</v>
      </c>
      <c r="K1320" s="12" t="s">
        <v>9941</v>
      </c>
      <c r="L1320" s="9" t="s">
        <v>9942</v>
      </c>
      <c r="M1320" s="9">
        <v>74.4528694</v>
      </c>
      <c r="N1320" s="10">
        <v>70.6837471</v>
      </c>
      <c r="O1320" s="10" t="s">
        <v>5942</v>
      </c>
      <c r="P1320" s="9">
        <v>9082026.0</v>
      </c>
      <c r="Q1320" s="7" t="str">
        <f>IF(OR(ISBLANK(M1320), ISBLANK(N1320)), "", IF(N1320 &lt; Sheet3!$B$6, "Insufficient Reviews", IF(M1320 &gt;= Sheet3!$B$2, "Highly Reliable", IF(M1320 &gt;= Sheet3!$B$3, "Reliable", IF(M1320 &gt;= Sheet3!$B$4, "Mixed Reviews", "Low Reliability")))))</f>
        <v>Reliable</v>
      </c>
    </row>
    <row r="1321">
      <c r="A1321" s="3">
        <f t="shared" si="1"/>
        <v>1320</v>
      </c>
      <c r="B1321" s="9" t="s">
        <v>9943</v>
      </c>
      <c r="C1321" s="10">
        <v>39.4369089</v>
      </c>
      <c r="D1321" s="10">
        <v>-76.7754094</v>
      </c>
      <c r="E1321" s="9" t="s">
        <v>9944</v>
      </c>
      <c r="F1321" s="9" t="s">
        <v>9945</v>
      </c>
      <c r="G1321" s="11"/>
      <c r="H1321" s="9" t="s">
        <v>9946</v>
      </c>
      <c r="I1321" s="9" t="s">
        <v>91</v>
      </c>
      <c r="J1321" s="9" t="s">
        <v>9947</v>
      </c>
      <c r="K1321" s="12" t="s">
        <v>9948</v>
      </c>
      <c r="L1321" s="9" t="s">
        <v>9949</v>
      </c>
      <c r="M1321" s="9">
        <v>79.0820629</v>
      </c>
      <c r="N1321" s="10">
        <v>55.25363887</v>
      </c>
      <c r="O1321" s="10" t="s">
        <v>9950</v>
      </c>
      <c r="P1321" s="9">
        <v>9082026.0</v>
      </c>
      <c r="Q1321" s="7" t="str">
        <f>IF(OR(ISBLANK(M1321), ISBLANK(N1321)), "", IF(N1321 &lt; Sheet3!$B$6, "Insufficient Reviews", IF(M1321 &gt;= Sheet3!$B$2, "Highly Reliable", IF(M1321 &gt;= Sheet3!$B$3, "Reliable", IF(M1321 &gt;= Sheet3!$B$4, "Mixed Reviews", "Low Reliability")))))</f>
        <v>Reliable</v>
      </c>
    </row>
    <row r="1322">
      <c r="A1322" s="3">
        <f t="shared" si="1"/>
        <v>1321</v>
      </c>
      <c r="B1322" s="9" t="s">
        <v>9951</v>
      </c>
      <c r="C1322" s="10">
        <v>38.804821</v>
      </c>
      <c r="D1322" s="10">
        <v>-77.2369665</v>
      </c>
      <c r="E1322" s="9" t="s">
        <v>9952</v>
      </c>
      <c r="F1322" s="9" t="s">
        <v>9953</v>
      </c>
      <c r="G1322" s="9"/>
      <c r="H1322" s="9" t="s">
        <v>126</v>
      </c>
      <c r="I1322" s="9" t="s">
        <v>91</v>
      </c>
      <c r="J1322" s="9" t="s">
        <v>9954</v>
      </c>
      <c r="K1322" s="12" t="s">
        <v>9955</v>
      </c>
      <c r="L1322" s="9" t="s">
        <v>9956</v>
      </c>
      <c r="M1322" s="9">
        <v>79.07132501</v>
      </c>
      <c r="N1322" s="10">
        <v>56.64670817</v>
      </c>
      <c r="O1322" s="10" t="s">
        <v>9957</v>
      </c>
      <c r="P1322" s="9">
        <v>9082026.0</v>
      </c>
      <c r="Q1322" s="7" t="str">
        <f>IF(OR(ISBLANK(M1322), ISBLANK(N1322)), "", IF(N1322 &lt; Sheet3!$B$6, "Insufficient Reviews", IF(M1322 &gt;= Sheet3!$B$2, "Highly Reliable", IF(M1322 &gt;= Sheet3!$B$3, "Reliable", IF(M1322 &gt;= Sheet3!$B$4, "Mixed Reviews", "Low Reliability")))))</f>
        <v>Reliable</v>
      </c>
    </row>
    <row r="1323">
      <c r="A1323" s="3">
        <f t="shared" si="1"/>
        <v>1322</v>
      </c>
      <c r="B1323" s="9" t="s">
        <v>9958</v>
      </c>
      <c r="C1323" s="10">
        <v>39.5572581</v>
      </c>
      <c r="D1323" s="10">
        <v>-76.9643961</v>
      </c>
      <c r="E1323" s="9" t="s">
        <v>9959</v>
      </c>
      <c r="F1323" s="9" t="s">
        <v>9960</v>
      </c>
      <c r="G1323" s="9" t="s">
        <v>9961</v>
      </c>
      <c r="H1323" s="9" t="s">
        <v>135</v>
      </c>
      <c r="I1323" s="9" t="s">
        <v>91</v>
      </c>
      <c r="J1323" s="9" t="s">
        <v>9962</v>
      </c>
      <c r="K1323" s="12" t="s">
        <v>9963</v>
      </c>
      <c r="L1323" s="9" t="s">
        <v>9964</v>
      </c>
      <c r="M1323" s="9">
        <v>85.74181236</v>
      </c>
      <c r="N1323" s="10">
        <v>73.52195311</v>
      </c>
      <c r="O1323" s="10" t="s">
        <v>9965</v>
      </c>
      <c r="P1323" s="9">
        <v>9082026.0</v>
      </c>
      <c r="Q1323" s="7" t="str">
        <f>IF(OR(ISBLANK(M1323), ISBLANK(N1323)), "", IF(N1323 &lt; Sheet3!$B$6, "Insufficient Reviews", IF(M1323 &gt;= Sheet3!$B$2, "Highly Reliable", IF(M1323 &gt;= Sheet3!$B$3, "Reliable", IF(M1323 &gt;= Sheet3!$B$4, "Mixed Reviews", "Low Reliability")))))</f>
        <v>Highly Reliable</v>
      </c>
    </row>
    <row r="1324">
      <c r="A1324" s="3">
        <f t="shared" si="1"/>
        <v>1323</v>
      </c>
      <c r="B1324" s="9" t="s">
        <v>9966</v>
      </c>
      <c r="C1324" s="10">
        <v>39.3739995</v>
      </c>
      <c r="D1324" s="10">
        <v>-76.722773</v>
      </c>
      <c r="E1324" s="9" t="s">
        <v>9967</v>
      </c>
      <c r="F1324" s="9" t="s">
        <v>9968</v>
      </c>
      <c r="G1324" s="11"/>
      <c r="H1324" s="9" t="s">
        <v>135</v>
      </c>
      <c r="I1324" s="9" t="s">
        <v>27</v>
      </c>
      <c r="J1324" s="9" t="s">
        <v>9969</v>
      </c>
      <c r="K1324" s="12" t="s">
        <v>9970</v>
      </c>
      <c r="L1324" s="9" t="s">
        <v>9971</v>
      </c>
      <c r="M1324" s="9">
        <v>83.5972228</v>
      </c>
      <c r="N1324" s="10">
        <v>71.29740731</v>
      </c>
      <c r="O1324" s="10" t="s">
        <v>9972</v>
      </c>
      <c r="P1324" s="9">
        <v>9082026.0</v>
      </c>
      <c r="Q1324" s="7" t="str">
        <f>IF(OR(ISBLANK(M1324), ISBLANK(N1324)), "", IF(N1324 &lt; Sheet3!$B$6, "Insufficient Reviews", IF(M1324 &gt;= Sheet3!$B$2, "Highly Reliable", IF(M1324 &gt;= Sheet3!$B$3, "Reliable", IF(M1324 &gt;= Sheet3!$B$4, "Mixed Reviews", "Low Reliability")))))</f>
        <v>Highly Reliable</v>
      </c>
    </row>
    <row r="1325">
      <c r="A1325" s="3">
        <f t="shared" si="1"/>
        <v>1324</v>
      </c>
      <c r="B1325" s="9" t="s">
        <v>9973</v>
      </c>
      <c r="C1325" s="10">
        <v>39.386332</v>
      </c>
      <c r="D1325" s="10">
        <v>-76.5841447</v>
      </c>
      <c r="E1325" s="9" t="s">
        <v>9974</v>
      </c>
      <c r="F1325" s="9" t="s">
        <v>9975</v>
      </c>
      <c r="G1325" s="9" t="s">
        <v>2745</v>
      </c>
      <c r="H1325" s="9"/>
      <c r="I1325" s="9" t="s">
        <v>91</v>
      </c>
      <c r="J1325" s="9" t="s">
        <v>9976</v>
      </c>
      <c r="K1325" s="9"/>
      <c r="L1325" s="9" t="s">
        <v>9977</v>
      </c>
      <c r="M1325" s="9">
        <v>10.5</v>
      </c>
      <c r="N1325" s="10">
        <v>15.91666667</v>
      </c>
      <c r="O1325" s="10" t="s">
        <v>741</v>
      </c>
      <c r="P1325" s="9">
        <v>9082026.0</v>
      </c>
      <c r="Q1325" s="7" t="str">
        <f>IF(OR(ISBLANK(M1325), ISBLANK(N1325)), "", IF(N1325 &lt; Sheet3!$B$6, "Insufficient Reviews", IF(M1325 &gt;= Sheet3!$B$2, "Highly Reliable", IF(M1325 &gt;= Sheet3!$B$3, "Reliable", IF(M1325 &gt;= Sheet3!$B$4, "Mixed Reviews", "Low Reliability")))))</f>
        <v>Insufficient Reviews</v>
      </c>
    </row>
    <row r="1326">
      <c r="A1326" s="3">
        <f t="shared" si="1"/>
        <v>1325</v>
      </c>
      <c r="B1326" s="9" t="s">
        <v>4586</v>
      </c>
      <c r="C1326" s="10">
        <v>39.4586689</v>
      </c>
      <c r="D1326" s="10">
        <v>-76.5967146</v>
      </c>
      <c r="E1326" s="9" t="s">
        <v>4587</v>
      </c>
      <c r="F1326" s="9" t="s">
        <v>9978</v>
      </c>
      <c r="G1326" s="11"/>
      <c r="H1326" s="9" t="s">
        <v>135</v>
      </c>
      <c r="I1326" s="9" t="s">
        <v>91</v>
      </c>
      <c r="J1326" s="9" t="s">
        <v>9979</v>
      </c>
      <c r="K1326" s="12" t="s">
        <v>9980</v>
      </c>
      <c r="L1326" s="9" t="s">
        <v>9981</v>
      </c>
      <c r="M1326" s="9">
        <v>65.06200238</v>
      </c>
      <c r="N1326" s="10">
        <v>90.14189277</v>
      </c>
      <c r="O1326" s="10" t="s">
        <v>9982</v>
      </c>
      <c r="P1326" s="9">
        <v>9082026.0</v>
      </c>
      <c r="Q1326" s="7" t="str">
        <f>IF(OR(ISBLANK(M1326), ISBLANK(N1326)), "", IF(N1326 &lt; Sheet3!$B$6, "Insufficient Reviews", IF(M1326 &gt;= Sheet3!$B$2, "Highly Reliable", IF(M1326 &gt;= Sheet3!$B$3, "Reliable", IF(M1326 &gt;= Sheet3!$B$4, "Mixed Reviews", "Low Reliability")))))</f>
        <v>Mixed Reviews</v>
      </c>
    </row>
    <row r="1327">
      <c r="A1327" s="3">
        <f t="shared" si="1"/>
        <v>1326</v>
      </c>
      <c r="B1327" s="9" t="s">
        <v>9983</v>
      </c>
      <c r="C1327" s="10">
        <v>39.3833811</v>
      </c>
      <c r="D1327" s="10">
        <v>-76.5733076</v>
      </c>
      <c r="E1327" s="9" t="s">
        <v>9984</v>
      </c>
      <c r="F1327" s="9" t="s">
        <v>9985</v>
      </c>
      <c r="G1327" s="9" t="s">
        <v>9986</v>
      </c>
      <c r="H1327" s="9" t="s">
        <v>312</v>
      </c>
      <c r="I1327" s="9" t="s">
        <v>44</v>
      </c>
      <c r="J1327" s="9" t="s">
        <v>9987</v>
      </c>
      <c r="K1327" s="12" t="s">
        <v>9988</v>
      </c>
      <c r="L1327" s="9" t="s">
        <v>9989</v>
      </c>
      <c r="M1327" s="10">
        <v>57.3</v>
      </c>
      <c r="N1327" s="10">
        <v>41.7322636</v>
      </c>
      <c r="O1327" s="9" t="s">
        <v>9990</v>
      </c>
      <c r="P1327" s="9">
        <v>9082026.0</v>
      </c>
      <c r="Q1327" s="7" t="str">
        <f>IF(OR(ISBLANK(M1327), ISBLANK(N1327)), "", IF(N1327 &lt; Sheet3!$B$6, "Insufficient Reviews", IF(M1327 &gt;= Sheet3!$B$2, "Highly Reliable", IF(M1327 &gt;= Sheet3!$B$3, "Reliable", IF(M1327 &gt;= Sheet3!$B$4, "Mixed Reviews", "Low Reliability")))))</f>
        <v>Low Reliability</v>
      </c>
    </row>
    <row r="1328">
      <c r="A1328" s="3">
        <f t="shared" si="1"/>
        <v>1327</v>
      </c>
      <c r="B1328" s="9" t="s">
        <v>9991</v>
      </c>
      <c r="C1328" s="10">
        <v>39.3594885</v>
      </c>
      <c r="D1328" s="10">
        <v>-76.554924</v>
      </c>
      <c r="E1328" s="9" t="s">
        <v>9992</v>
      </c>
      <c r="F1328" s="9" t="s">
        <v>9993</v>
      </c>
      <c r="G1328" s="9" t="s">
        <v>9994</v>
      </c>
      <c r="H1328" s="9"/>
      <c r="I1328" s="9" t="s">
        <v>91</v>
      </c>
      <c r="J1328" s="9" t="s">
        <v>9995</v>
      </c>
      <c r="K1328" s="12" t="s">
        <v>9996</v>
      </c>
      <c r="L1328" s="9" t="s">
        <v>9997</v>
      </c>
      <c r="M1328" s="9">
        <v>29.78584151</v>
      </c>
      <c r="N1328" s="10">
        <v>45.71998997</v>
      </c>
      <c r="O1328" s="10" t="s">
        <v>9998</v>
      </c>
      <c r="P1328" s="9">
        <v>9082026.0</v>
      </c>
      <c r="Q1328" s="7" t="str">
        <f>IF(OR(ISBLANK(M1328), ISBLANK(N1328)), "", IF(N1328 &lt; Sheet3!$B$6, "Insufficient Reviews", IF(M1328 &gt;= Sheet3!$B$2, "Highly Reliable", IF(M1328 &gt;= Sheet3!$B$3, "Reliable", IF(M1328 &gt;= Sheet3!$B$4, "Mixed Reviews", "Low Reliability")))))</f>
        <v>Low Reliability</v>
      </c>
    </row>
    <row r="1329">
      <c r="A1329" s="3">
        <f t="shared" si="1"/>
        <v>1328</v>
      </c>
      <c r="B1329" s="9" t="s">
        <v>9999</v>
      </c>
      <c r="C1329" s="10">
        <v>39.3513998</v>
      </c>
      <c r="D1329" s="10">
        <v>-76.4866102</v>
      </c>
      <c r="E1329" s="9" t="s">
        <v>10000</v>
      </c>
      <c r="F1329" s="9" t="s">
        <v>10001</v>
      </c>
      <c r="G1329" s="9" t="s">
        <v>10002</v>
      </c>
      <c r="H1329" s="9" t="s">
        <v>43</v>
      </c>
      <c r="I1329" s="9" t="s">
        <v>91</v>
      </c>
      <c r="J1329" s="9" t="s">
        <v>10003</v>
      </c>
      <c r="K1329" s="12" t="s">
        <v>10004</v>
      </c>
      <c r="L1329" s="9" t="s">
        <v>10005</v>
      </c>
      <c r="M1329" s="9">
        <v>86.83750309</v>
      </c>
      <c r="N1329" s="10">
        <v>76.13229835</v>
      </c>
      <c r="O1329" s="10" t="s">
        <v>9674</v>
      </c>
      <c r="P1329" s="9">
        <v>9082026.0</v>
      </c>
      <c r="Q1329" s="7" t="str">
        <f>IF(OR(ISBLANK(M1329), ISBLANK(N1329)), "", IF(N1329 &lt; Sheet3!$B$6, "Insufficient Reviews", IF(M1329 &gt;= Sheet3!$B$2, "Highly Reliable", IF(M1329 &gt;= Sheet3!$B$3, "Reliable", IF(M1329 &gt;= Sheet3!$B$4, "Mixed Reviews", "Low Reliability")))))</f>
        <v>Highly Reliable</v>
      </c>
    </row>
    <row r="1330">
      <c r="A1330" s="3">
        <f t="shared" si="1"/>
        <v>1329</v>
      </c>
      <c r="B1330" s="9" t="s">
        <v>10006</v>
      </c>
      <c r="C1330" s="10">
        <v>39.1938405</v>
      </c>
      <c r="D1330" s="10">
        <v>-76.8669405</v>
      </c>
      <c r="E1330" s="9" t="s">
        <v>10007</v>
      </c>
      <c r="F1330" s="9" t="s">
        <v>10008</v>
      </c>
      <c r="G1330" s="11"/>
      <c r="H1330" s="9" t="s">
        <v>135</v>
      </c>
      <c r="I1330" s="9" t="s">
        <v>91</v>
      </c>
      <c r="J1330" s="9" t="s">
        <v>10009</v>
      </c>
      <c r="K1330" s="12" t="s">
        <v>10010</v>
      </c>
      <c r="L1330" s="9" t="s">
        <v>10011</v>
      </c>
      <c r="M1330" s="9">
        <v>16.5</v>
      </c>
      <c r="N1330" s="10">
        <v>31.83333333</v>
      </c>
      <c r="O1330" s="10" t="s">
        <v>5852</v>
      </c>
      <c r="P1330" s="9">
        <v>9082026.0</v>
      </c>
      <c r="Q1330" s="7" t="str">
        <f>IF(OR(ISBLANK(M1330), ISBLANK(N1330)), "", IF(N1330 &lt; Sheet3!$B$6, "Insufficient Reviews", IF(M1330 &gt;= Sheet3!$B$2, "Highly Reliable", IF(M1330 &gt;= Sheet3!$B$3, "Reliable", IF(M1330 &gt;= Sheet3!$B$4, "Mixed Reviews", "Low Reliability")))))</f>
        <v>Insufficient Reviews</v>
      </c>
    </row>
    <row r="1331">
      <c r="A1331" s="3">
        <f t="shared" si="1"/>
        <v>1330</v>
      </c>
      <c r="B1331" s="9" t="s">
        <v>10012</v>
      </c>
      <c r="C1331" s="10">
        <v>39.390476</v>
      </c>
      <c r="D1331" s="10">
        <v>-76.428201</v>
      </c>
      <c r="E1331" s="9" t="s">
        <v>10013</v>
      </c>
      <c r="F1331" s="9" t="s">
        <v>10014</v>
      </c>
      <c r="G1331" s="9"/>
      <c r="H1331" s="9" t="s">
        <v>135</v>
      </c>
      <c r="I1331" s="9" t="s">
        <v>91</v>
      </c>
      <c r="J1331" s="9" t="s">
        <v>10015</v>
      </c>
      <c r="K1331" s="12" t="s">
        <v>10016</v>
      </c>
      <c r="L1331" s="9" t="s">
        <v>10017</v>
      </c>
      <c r="M1331" s="9">
        <v>85.32941716</v>
      </c>
      <c r="N1331" s="10">
        <v>71.3020688</v>
      </c>
      <c r="O1331" s="10" t="s">
        <v>10018</v>
      </c>
      <c r="P1331" s="9">
        <v>9082026.0</v>
      </c>
      <c r="Q1331" s="7" t="str">
        <f>IF(OR(ISBLANK(M1331), ISBLANK(N1331)), "", IF(N1331 &lt; Sheet3!$B$6, "Insufficient Reviews", IF(M1331 &gt;= Sheet3!$B$2, "Highly Reliable", IF(M1331 &gt;= Sheet3!$B$3, "Reliable", IF(M1331 &gt;= Sheet3!$B$4, "Mixed Reviews", "Low Reliability")))))</f>
        <v>Highly Reliable</v>
      </c>
    </row>
    <row r="1332">
      <c r="A1332" s="3">
        <f t="shared" si="1"/>
        <v>1331</v>
      </c>
      <c r="B1332" s="9" t="s">
        <v>10019</v>
      </c>
      <c r="C1332" s="10">
        <v>39.1755108</v>
      </c>
      <c r="D1332" s="10">
        <v>-76.6403237</v>
      </c>
      <c r="E1332" s="9" t="s">
        <v>10020</v>
      </c>
      <c r="F1332" s="9" t="s">
        <v>10001</v>
      </c>
      <c r="G1332" s="9" t="s">
        <v>10021</v>
      </c>
      <c r="H1332" s="9" t="s">
        <v>43</v>
      </c>
      <c r="I1332" s="9" t="s">
        <v>91</v>
      </c>
      <c r="J1332" s="9" t="s">
        <v>10022</v>
      </c>
      <c r="K1332" s="12" t="s">
        <v>10023</v>
      </c>
      <c r="L1332" s="9" t="s">
        <v>10024</v>
      </c>
      <c r="M1332" s="9">
        <v>83.75190081</v>
      </c>
      <c r="N1332" s="10">
        <v>72.19323557</v>
      </c>
      <c r="O1332" s="10" t="s">
        <v>7208</v>
      </c>
      <c r="P1332" s="9">
        <v>9082026.0</v>
      </c>
      <c r="Q1332" s="7" t="str">
        <f>IF(OR(ISBLANK(M1332), ISBLANK(N1332)), "", IF(N1332 &lt; Sheet3!$B$6, "Insufficient Reviews", IF(M1332 &gt;= Sheet3!$B$2, "Highly Reliable", IF(M1332 &gt;= Sheet3!$B$3, "Reliable", IF(M1332 &gt;= Sheet3!$B$4, "Mixed Reviews", "Low Reliability")))))</f>
        <v>Highly Reliable</v>
      </c>
    </row>
    <row r="1333">
      <c r="A1333" s="3">
        <f t="shared" si="1"/>
        <v>1332</v>
      </c>
      <c r="B1333" s="9" t="s">
        <v>10025</v>
      </c>
      <c r="C1333" s="10">
        <v>38.9093388</v>
      </c>
      <c r="D1333" s="10">
        <v>-76.8367042</v>
      </c>
      <c r="E1333" s="9" t="s">
        <v>10026</v>
      </c>
      <c r="F1333" s="9" t="s">
        <v>10001</v>
      </c>
      <c r="G1333" s="9" t="s">
        <v>10027</v>
      </c>
      <c r="H1333" s="9" t="s">
        <v>43</v>
      </c>
      <c r="I1333" s="9" t="s">
        <v>91</v>
      </c>
      <c r="J1333" s="9" t="s">
        <v>10028</v>
      </c>
      <c r="K1333" s="12" t="s">
        <v>10029</v>
      </c>
      <c r="L1333" s="9" t="s">
        <v>10030</v>
      </c>
      <c r="M1333" s="9">
        <v>84.39308809</v>
      </c>
      <c r="N1333" s="10">
        <v>74.3781353</v>
      </c>
      <c r="O1333" s="10" t="s">
        <v>10031</v>
      </c>
      <c r="P1333" s="9">
        <v>9082026.0</v>
      </c>
      <c r="Q1333" s="7" t="str">
        <f>IF(OR(ISBLANK(M1333), ISBLANK(N1333)), "", IF(N1333 &lt; Sheet3!$B$6, "Insufficient Reviews", IF(M1333 &gt;= Sheet3!$B$2, "Highly Reliable", IF(M1333 &gt;= Sheet3!$B$3, "Reliable", IF(M1333 &gt;= Sheet3!$B$4, "Mixed Reviews", "Low Reliability")))))</f>
        <v>Highly Reliable</v>
      </c>
    </row>
    <row r="1334">
      <c r="A1334" s="3">
        <f t="shared" si="1"/>
        <v>1333</v>
      </c>
      <c r="B1334" s="9" t="s">
        <v>10032</v>
      </c>
      <c r="C1334" s="10">
        <v>39.6025319</v>
      </c>
      <c r="D1334" s="10">
        <v>-75.787607</v>
      </c>
      <c r="E1334" s="9" t="s">
        <v>10033</v>
      </c>
      <c r="F1334" s="9" t="s">
        <v>10001</v>
      </c>
      <c r="G1334" s="9" t="s">
        <v>10034</v>
      </c>
      <c r="H1334" s="9" t="s">
        <v>43</v>
      </c>
      <c r="I1334" s="9" t="s">
        <v>91</v>
      </c>
      <c r="J1334" s="9" t="s">
        <v>10035</v>
      </c>
      <c r="K1334" s="12" t="s">
        <v>10036</v>
      </c>
      <c r="L1334" s="9" t="s">
        <v>10037</v>
      </c>
      <c r="M1334" s="9">
        <v>87.78</v>
      </c>
      <c r="N1334" s="10">
        <v>76.83333333</v>
      </c>
      <c r="O1334" s="10" t="s">
        <v>6740</v>
      </c>
      <c r="P1334" s="9">
        <v>9082026.0</v>
      </c>
      <c r="Q1334" s="7" t="str">
        <f>IF(OR(ISBLANK(M1334), ISBLANK(N1334)), "", IF(N1334 &lt; Sheet3!$B$6, "Insufficient Reviews", IF(M1334 &gt;= Sheet3!$B$2, "Highly Reliable", IF(M1334 &gt;= Sheet3!$B$3, "Reliable", IF(M1334 &gt;= Sheet3!$B$4, "Mixed Reviews", "Low Reliability")))))</f>
        <v>Highly Reliable</v>
      </c>
    </row>
    <row r="1335">
      <c r="A1335" s="3">
        <f t="shared" si="1"/>
        <v>1334</v>
      </c>
      <c r="B1335" s="9" t="s">
        <v>10038</v>
      </c>
      <c r="C1335" s="10">
        <v>38.804821</v>
      </c>
      <c r="D1335" s="10">
        <v>-77.2369665</v>
      </c>
      <c r="E1335" s="9" t="s">
        <v>10039</v>
      </c>
      <c r="F1335" s="9" t="s">
        <v>10040</v>
      </c>
      <c r="G1335" s="9"/>
      <c r="H1335" s="9" t="s">
        <v>135</v>
      </c>
      <c r="I1335" s="9" t="s">
        <v>91</v>
      </c>
      <c r="J1335" s="9" t="s">
        <v>10041</v>
      </c>
      <c r="K1335" s="12" t="s">
        <v>10042</v>
      </c>
      <c r="L1335" s="9" t="s">
        <v>10043</v>
      </c>
      <c r="M1335" s="9">
        <v>86.36808895</v>
      </c>
      <c r="N1335" s="10">
        <v>53.88156061</v>
      </c>
      <c r="O1335" s="10" t="s">
        <v>4889</v>
      </c>
      <c r="P1335" s="9">
        <v>9082026.0</v>
      </c>
      <c r="Q1335" s="7" t="str">
        <f>IF(OR(ISBLANK(M1335), ISBLANK(N1335)), "", IF(N1335 &lt; Sheet3!$B$6, "Insufficient Reviews", IF(M1335 &gt;= Sheet3!$B$2, "Highly Reliable", IF(M1335 &gt;= Sheet3!$B$3, "Reliable", IF(M1335 &gt;= Sheet3!$B$4, "Mixed Reviews", "Low Reliability")))))</f>
        <v>Highly Reliable</v>
      </c>
    </row>
    <row r="1336">
      <c r="A1336" s="3">
        <f t="shared" si="1"/>
        <v>1335</v>
      </c>
      <c r="B1336" s="11"/>
      <c r="C1336" s="10">
        <v>41.7032936</v>
      </c>
      <c r="D1336" s="10">
        <v>-87.9357745</v>
      </c>
      <c r="E1336" s="9" t="s">
        <v>10044</v>
      </c>
      <c r="F1336" s="9" t="s">
        <v>10045</v>
      </c>
      <c r="G1336" s="11"/>
      <c r="H1336" s="9" t="s">
        <v>43</v>
      </c>
      <c r="I1336" s="9" t="s">
        <v>91</v>
      </c>
      <c r="J1336" s="9" t="s">
        <v>10046</v>
      </c>
      <c r="K1336" s="12" t="s">
        <v>10047</v>
      </c>
      <c r="L1336" s="9" t="s">
        <v>10048</v>
      </c>
      <c r="M1336" s="9">
        <v>74.51872678</v>
      </c>
      <c r="N1336" s="10">
        <v>69.86107299</v>
      </c>
      <c r="O1336" s="10" t="s">
        <v>10049</v>
      </c>
      <c r="P1336" s="9">
        <v>9082026.0</v>
      </c>
      <c r="Q1336" s="7" t="str">
        <f>IF(OR(ISBLANK(M1336), ISBLANK(N1336)), "", IF(N1336 &lt; Sheet3!$B$6, "Insufficient Reviews", IF(M1336 &gt;= Sheet3!$B$2, "Highly Reliable", IF(M1336 &gt;= Sheet3!$B$3, "Reliable", IF(M1336 &gt;= Sheet3!$B$4, "Mixed Reviews", "Low Reliability")))))</f>
        <v>Reliable</v>
      </c>
    </row>
    <row r="1337">
      <c r="A1337" s="3">
        <f t="shared" si="1"/>
        <v>1336</v>
      </c>
      <c r="B1337" s="9" t="s">
        <v>10050</v>
      </c>
      <c r="C1337" s="10">
        <v>39.4080391</v>
      </c>
      <c r="D1337" s="10">
        <v>-77.423315</v>
      </c>
      <c r="E1337" s="9" t="s">
        <v>10051</v>
      </c>
      <c r="F1337" s="9" t="s">
        <v>10052</v>
      </c>
      <c r="G1337" s="9" t="s">
        <v>10053</v>
      </c>
      <c r="H1337" s="9"/>
      <c r="I1337" s="9" t="s">
        <v>44</v>
      </c>
      <c r="J1337" s="9" t="s">
        <v>10054</v>
      </c>
      <c r="K1337" s="12" t="s">
        <v>10055</v>
      </c>
      <c r="L1337" s="9" t="s">
        <v>10056</v>
      </c>
      <c r="M1337" s="9">
        <v>15.0</v>
      </c>
      <c r="N1337" s="10">
        <v>31.83333333</v>
      </c>
      <c r="O1337" s="10" t="s">
        <v>5852</v>
      </c>
      <c r="P1337" s="9">
        <v>9082026.0</v>
      </c>
      <c r="Q1337" s="7" t="str">
        <f>IF(OR(ISBLANK(M1337), ISBLANK(N1337)), "", IF(N1337 &lt; Sheet3!$B$6, "Insufficient Reviews", IF(M1337 &gt;= Sheet3!$B$2, "Highly Reliable", IF(M1337 &gt;= Sheet3!$B$3, "Reliable", IF(M1337 &gt;= Sheet3!$B$4, "Mixed Reviews", "Low Reliability")))))</f>
        <v>Insufficient Reviews</v>
      </c>
    </row>
    <row r="1338">
      <c r="A1338" s="3">
        <f t="shared" si="1"/>
        <v>1337</v>
      </c>
      <c r="B1338" s="9" t="s">
        <v>10057</v>
      </c>
      <c r="C1338" s="10">
        <v>38.8877342</v>
      </c>
      <c r="D1338" s="10">
        <v>-77.0952014</v>
      </c>
      <c r="E1338" s="9" t="s">
        <v>10058</v>
      </c>
      <c r="F1338" s="9" t="s">
        <v>10059</v>
      </c>
      <c r="G1338" s="9" t="s">
        <v>10060</v>
      </c>
      <c r="H1338" s="9" t="s">
        <v>135</v>
      </c>
      <c r="I1338" s="9" t="s">
        <v>35</v>
      </c>
      <c r="J1338" s="9" t="s">
        <v>10061</v>
      </c>
      <c r="K1338" s="9"/>
      <c r="L1338" s="9" t="s">
        <v>10062</v>
      </c>
      <c r="M1338" s="9">
        <v>63.27727539</v>
      </c>
      <c r="N1338" s="10">
        <v>48.39947208</v>
      </c>
      <c r="O1338" s="10" t="s">
        <v>10063</v>
      </c>
      <c r="P1338" s="9">
        <v>9082026.0</v>
      </c>
      <c r="Q1338" s="7" t="str">
        <f>IF(OR(ISBLANK(M1338), ISBLANK(N1338)), "", IF(N1338 &lt; Sheet3!$B$6, "Insufficient Reviews", IF(M1338 &gt;= Sheet3!$B$2, "Highly Reliable", IF(M1338 &gt;= Sheet3!$B$3, "Reliable", IF(M1338 &gt;= Sheet3!$B$4, "Mixed Reviews", "Low Reliability")))))</f>
        <v>Mixed Reviews</v>
      </c>
    </row>
    <row r="1339">
      <c r="A1339" s="3">
        <f t="shared" si="1"/>
        <v>1338</v>
      </c>
      <c r="B1339" s="9" t="s">
        <v>10064</v>
      </c>
      <c r="C1339" s="10">
        <v>42.1243385</v>
      </c>
      <c r="D1339" s="10">
        <v>-80.0931669</v>
      </c>
      <c r="E1339" s="9" t="s">
        <v>10065</v>
      </c>
      <c r="F1339" s="9" t="s">
        <v>10066</v>
      </c>
      <c r="G1339" s="9" t="s">
        <v>10067</v>
      </c>
      <c r="H1339" s="9" t="s">
        <v>126</v>
      </c>
      <c r="I1339" s="9" t="s">
        <v>35</v>
      </c>
      <c r="J1339" s="9" t="s">
        <v>10068</v>
      </c>
      <c r="K1339" s="12" t="s">
        <v>10069</v>
      </c>
      <c r="L1339" s="9" t="s">
        <v>10070</v>
      </c>
      <c r="M1339" s="9">
        <v>80.84003448</v>
      </c>
      <c r="N1339" s="10">
        <v>66.37335153</v>
      </c>
      <c r="O1339" s="10" t="s">
        <v>10071</v>
      </c>
      <c r="P1339" s="9">
        <v>9082026.0</v>
      </c>
      <c r="Q1339" s="7" t="str">
        <f>IF(OR(ISBLANK(M1339), ISBLANK(N1339)), "", IF(N1339 &lt; Sheet3!$B$6, "Insufficient Reviews", IF(M1339 &gt;= Sheet3!$B$2, "Highly Reliable", IF(M1339 &gt;= Sheet3!$B$3, "Reliable", IF(M1339 &gt;= Sheet3!$B$4, "Mixed Reviews", "Low Reliability")))))</f>
        <v>Reliable</v>
      </c>
    </row>
    <row r="1340">
      <c r="A1340" s="3">
        <f t="shared" si="1"/>
        <v>1339</v>
      </c>
      <c r="B1340" s="9" t="s">
        <v>10072</v>
      </c>
      <c r="C1340" s="10">
        <v>39.2870647</v>
      </c>
      <c r="D1340" s="10">
        <v>-76.6275189</v>
      </c>
      <c r="E1340" s="9" t="s">
        <v>10073</v>
      </c>
      <c r="F1340" s="9" t="s">
        <v>10074</v>
      </c>
      <c r="G1340" s="9"/>
      <c r="H1340" s="11"/>
      <c r="I1340" s="9" t="s">
        <v>91</v>
      </c>
      <c r="J1340" s="9" t="s">
        <v>10075</v>
      </c>
      <c r="K1340" s="12" t="s">
        <v>10076</v>
      </c>
      <c r="L1340" s="9" t="s">
        <v>10077</v>
      </c>
      <c r="M1340" s="9">
        <v>72.0</v>
      </c>
      <c r="N1340" s="10">
        <v>37.69219126</v>
      </c>
      <c r="O1340" s="10" t="s">
        <v>10078</v>
      </c>
      <c r="P1340" s="9">
        <v>9082026.0</v>
      </c>
      <c r="Q1340" s="7" t="str">
        <f>IF(OR(ISBLANK(M1340), ISBLANK(N1340)), "", IF(N1340 &lt; Sheet3!$B$6, "Insufficient Reviews", IF(M1340 &gt;= Sheet3!$B$2, "Highly Reliable", IF(M1340 &gt;= Sheet3!$B$3, "Reliable", IF(M1340 &gt;= Sheet3!$B$4, "Mixed Reviews", "Low Reliability")))))</f>
        <v>Insufficient Reviews</v>
      </c>
    </row>
    <row r="1341">
      <c r="A1341" s="3">
        <f t="shared" si="1"/>
        <v>1340</v>
      </c>
      <c r="B1341" s="9" t="s">
        <v>10079</v>
      </c>
      <c r="C1341" s="10">
        <v>39.3899153</v>
      </c>
      <c r="D1341" s="10">
        <v>-76.4921597</v>
      </c>
      <c r="E1341" s="9" t="s">
        <v>10080</v>
      </c>
      <c r="F1341" s="9" t="s">
        <v>10081</v>
      </c>
      <c r="G1341" s="9" t="s">
        <v>4186</v>
      </c>
      <c r="H1341" s="9" t="s">
        <v>10082</v>
      </c>
      <c r="I1341" s="9" t="s">
        <v>44</v>
      </c>
      <c r="J1341" s="9" t="s">
        <v>10083</v>
      </c>
      <c r="K1341" s="12" t="s">
        <v>10084</v>
      </c>
      <c r="L1341" s="9" t="s">
        <v>10085</v>
      </c>
      <c r="M1341" s="9">
        <v>74.44635199</v>
      </c>
      <c r="N1341" s="10">
        <v>69.43813865</v>
      </c>
      <c r="O1341" s="10" t="s">
        <v>10086</v>
      </c>
      <c r="P1341" s="9">
        <v>9082026.0</v>
      </c>
      <c r="Q1341" s="7" t="str">
        <f>IF(OR(ISBLANK(M1341), ISBLANK(N1341)), "", IF(N1341 &lt; Sheet3!$B$6, "Insufficient Reviews", IF(M1341 &gt;= Sheet3!$B$2, "Highly Reliable", IF(M1341 &gt;= Sheet3!$B$3, "Reliable", IF(M1341 &gt;= Sheet3!$B$4, "Mixed Reviews", "Low Reliability")))))</f>
        <v>Reliable</v>
      </c>
    </row>
    <row r="1342">
      <c r="A1342" s="3">
        <f t="shared" si="1"/>
        <v>1341</v>
      </c>
      <c r="B1342" s="9" t="s">
        <v>10087</v>
      </c>
      <c r="C1342" s="10">
        <v>39.39333</v>
      </c>
      <c r="D1342" s="10">
        <v>-76.62237</v>
      </c>
      <c r="E1342" s="9" t="s">
        <v>10088</v>
      </c>
      <c r="F1342" s="9" t="s">
        <v>10089</v>
      </c>
      <c r="G1342" s="9" t="s">
        <v>10090</v>
      </c>
      <c r="H1342" s="9" t="s">
        <v>135</v>
      </c>
      <c r="I1342" s="9" t="s">
        <v>91</v>
      </c>
      <c r="J1342" s="9" t="s">
        <v>10091</v>
      </c>
      <c r="K1342" s="12" t="s">
        <v>10092</v>
      </c>
      <c r="L1342" s="9" t="s">
        <v>10093</v>
      </c>
      <c r="M1342" s="9">
        <v>76.54192095</v>
      </c>
      <c r="N1342" s="10">
        <v>71.27710576</v>
      </c>
      <c r="O1342" s="10" t="s">
        <v>10094</v>
      </c>
      <c r="P1342" s="9">
        <v>9082026.0</v>
      </c>
      <c r="Q1342" s="7" t="str">
        <f>IF(OR(ISBLANK(M1342), ISBLANK(N1342)), "", IF(N1342 &lt; Sheet3!$B$6, "Insufficient Reviews", IF(M1342 &gt;= Sheet3!$B$2, "Highly Reliable", IF(M1342 &gt;= Sheet3!$B$3, "Reliable", IF(M1342 &gt;= Sheet3!$B$4, "Mixed Reviews", "Low Reliability")))))</f>
        <v>Reliable</v>
      </c>
    </row>
    <row r="1343">
      <c r="A1343" s="3">
        <f t="shared" si="1"/>
        <v>1342</v>
      </c>
      <c r="B1343" s="11"/>
      <c r="C1343" s="10">
        <v>45.5401878</v>
      </c>
      <c r="D1343" s="10">
        <v>-122.7381666</v>
      </c>
      <c r="E1343" s="9" t="s">
        <v>10095</v>
      </c>
      <c r="F1343" s="9" t="s">
        <v>10096</v>
      </c>
      <c r="G1343" s="11"/>
      <c r="H1343" s="9" t="s">
        <v>135</v>
      </c>
      <c r="I1343" s="9" t="s">
        <v>203</v>
      </c>
      <c r="J1343" s="9" t="s">
        <v>10097</v>
      </c>
      <c r="K1343" s="12" t="s">
        <v>10098</v>
      </c>
      <c r="L1343" s="9" t="s">
        <v>10099</v>
      </c>
      <c r="M1343" s="9">
        <v>20.5</v>
      </c>
      <c r="N1343" s="10">
        <v>31.83333333</v>
      </c>
      <c r="O1343" s="10" t="s">
        <v>290</v>
      </c>
      <c r="P1343" s="9">
        <v>9082026.0</v>
      </c>
      <c r="Q1343" s="7" t="str">
        <f>IF(OR(ISBLANK(M1343), ISBLANK(N1343)), "", IF(N1343 &lt; Sheet3!$B$6, "Insufficient Reviews", IF(M1343 &gt;= Sheet3!$B$2, "Highly Reliable", IF(M1343 &gt;= Sheet3!$B$3, "Reliable", IF(M1343 &gt;= Sheet3!$B$4, "Mixed Reviews", "Low Reliability")))))</f>
        <v>Insufficient Reviews</v>
      </c>
    </row>
    <row r="1344">
      <c r="A1344" s="3">
        <f t="shared" si="1"/>
        <v>1343</v>
      </c>
      <c r="B1344" s="9" t="s">
        <v>10100</v>
      </c>
      <c r="C1344" s="10">
        <v>39.5221549</v>
      </c>
      <c r="D1344" s="10">
        <v>-76.5762699</v>
      </c>
      <c r="E1344" s="9" t="s">
        <v>10101</v>
      </c>
      <c r="F1344" s="9" t="s">
        <v>10102</v>
      </c>
      <c r="G1344" s="9" t="s">
        <v>10103</v>
      </c>
      <c r="H1344" s="9" t="s">
        <v>10104</v>
      </c>
      <c r="I1344" s="9" t="s">
        <v>27</v>
      </c>
      <c r="J1344" s="9" t="s">
        <v>10105</v>
      </c>
      <c r="K1344" s="12" t="s">
        <v>10106</v>
      </c>
      <c r="L1344" s="9" t="s">
        <v>10107</v>
      </c>
      <c r="M1344" s="9">
        <v>82.63945059</v>
      </c>
      <c r="N1344" s="10">
        <v>93.3826291</v>
      </c>
      <c r="O1344" s="10" t="s">
        <v>10108</v>
      </c>
      <c r="P1344" s="9">
        <v>9082026.0</v>
      </c>
      <c r="Q1344" s="7" t="str">
        <f>IF(OR(ISBLANK(M1344), ISBLANK(N1344)), "", IF(N1344 &lt; Sheet3!$B$6, "Insufficient Reviews", IF(M1344 &gt;= Sheet3!$B$2, "Highly Reliable", IF(M1344 &gt;= Sheet3!$B$3, "Reliable", IF(M1344 &gt;= Sheet3!$B$4, "Mixed Reviews", "Low Reliability")))))</f>
        <v>Highly Reliable</v>
      </c>
    </row>
    <row r="1345">
      <c r="A1345" s="3">
        <f t="shared" si="1"/>
        <v>1344</v>
      </c>
      <c r="B1345" s="9" t="s">
        <v>10109</v>
      </c>
      <c r="C1345" s="10">
        <v>39.3272399</v>
      </c>
      <c r="D1345" s="10">
        <v>-76.6342895</v>
      </c>
      <c r="E1345" s="9" t="s">
        <v>10110</v>
      </c>
      <c r="F1345" s="9" t="s">
        <v>10111</v>
      </c>
      <c r="G1345" s="9" t="s">
        <v>10112</v>
      </c>
      <c r="H1345" s="9" t="s">
        <v>10113</v>
      </c>
      <c r="I1345" s="9" t="s">
        <v>81</v>
      </c>
      <c r="J1345" s="9" t="s">
        <v>10114</v>
      </c>
      <c r="K1345" s="12" t="s">
        <v>10115</v>
      </c>
      <c r="L1345" s="9" t="s">
        <v>10116</v>
      </c>
      <c r="M1345" s="9">
        <v>82.88362935</v>
      </c>
      <c r="N1345" s="10">
        <v>72.28818207</v>
      </c>
      <c r="O1345" s="10" t="s">
        <v>10117</v>
      </c>
      <c r="P1345" s="9">
        <v>9082026.0</v>
      </c>
      <c r="Q1345" s="7" t="str">
        <f>IF(OR(ISBLANK(M1345), ISBLANK(N1345)), "", IF(N1345 &lt; Sheet3!$B$6, "Insufficient Reviews", IF(M1345 &gt;= Sheet3!$B$2, "Highly Reliable", IF(M1345 &gt;= Sheet3!$B$3, "Reliable", IF(M1345 &gt;= Sheet3!$B$4, "Mixed Reviews", "Low Reliability")))))</f>
        <v>Highly Reliable</v>
      </c>
    </row>
    <row r="1346">
      <c r="A1346" s="3">
        <f t="shared" si="1"/>
        <v>1345</v>
      </c>
      <c r="B1346" s="9" t="s">
        <v>10118</v>
      </c>
      <c r="C1346" s="10">
        <v>39.5003738</v>
      </c>
      <c r="D1346" s="10">
        <v>-76.53125</v>
      </c>
      <c r="E1346" s="9" t="s">
        <v>10119</v>
      </c>
      <c r="F1346" s="9" t="s">
        <v>10120</v>
      </c>
      <c r="G1346" s="9"/>
      <c r="H1346" s="9" t="s">
        <v>3699</v>
      </c>
      <c r="I1346" s="9" t="s">
        <v>81</v>
      </c>
      <c r="J1346" s="9" t="s">
        <v>10121</v>
      </c>
      <c r="K1346" s="12" t="s">
        <v>10122</v>
      </c>
      <c r="L1346" s="9" t="s">
        <v>10123</v>
      </c>
      <c r="M1346" s="9">
        <v>72.34658176</v>
      </c>
      <c r="N1346" s="10">
        <v>72.61935659</v>
      </c>
      <c r="O1346" s="10" t="s">
        <v>10124</v>
      </c>
      <c r="P1346" s="9">
        <v>9082026.0</v>
      </c>
      <c r="Q1346" s="7" t="str">
        <f>IF(OR(ISBLANK(M1346), ISBLANK(N1346)), "", IF(N1346 &lt; Sheet3!$B$6, "Insufficient Reviews", IF(M1346 &gt;= Sheet3!$B$2, "Highly Reliable", IF(M1346 &gt;= Sheet3!$B$3, "Reliable", IF(M1346 &gt;= Sheet3!$B$4, "Mixed Reviews", "Low Reliability")))))</f>
        <v>Reliable</v>
      </c>
    </row>
    <row r="1347">
      <c r="A1347" s="3">
        <f t="shared" si="1"/>
        <v>1346</v>
      </c>
      <c r="B1347" s="9" t="s">
        <v>10125</v>
      </c>
      <c r="C1347" s="10">
        <v>39.2690975</v>
      </c>
      <c r="D1347" s="10">
        <v>-77.0205527</v>
      </c>
      <c r="E1347" s="9" t="s">
        <v>10126</v>
      </c>
      <c r="F1347" s="9" t="s">
        <v>10127</v>
      </c>
      <c r="G1347" s="9" t="s">
        <v>10128</v>
      </c>
      <c r="H1347" s="9" t="s">
        <v>10129</v>
      </c>
      <c r="I1347" s="9" t="s">
        <v>91</v>
      </c>
      <c r="J1347" s="9" t="s">
        <v>10130</v>
      </c>
      <c r="K1347" s="12" t="s">
        <v>10131</v>
      </c>
      <c r="L1347" s="9" t="s">
        <v>10132</v>
      </c>
      <c r="M1347" s="9">
        <v>82.22560873</v>
      </c>
      <c r="N1347" s="10">
        <v>93.01638809</v>
      </c>
      <c r="O1347" s="10" t="s">
        <v>10133</v>
      </c>
      <c r="P1347" s="9">
        <v>9082026.0</v>
      </c>
      <c r="Q1347" s="7" t="str">
        <f>IF(OR(ISBLANK(M1347), ISBLANK(N1347)), "", IF(N1347 &lt; Sheet3!$B$6, "Insufficient Reviews", IF(M1347 &gt;= Sheet3!$B$2, "Highly Reliable", IF(M1347 &gt;= Sheet3!$B$3, "Reliable", IF(M1347 &gt;= Sheet3!$B$4, "Mixed Reviews", "Low Reliability")))))</f>
        <v>Highly Reliable</v>
      </c>
    </row>
    <row r="1348">
      <c r="A1348" s="3">
        <f t="shared" si="1"/>
        <v>1347</v>
      </c>
      <c r="B1348" s="9" t="s">
        <v>10134</v>
      </c>
      <c r="C1348" s="10">
        <v>39.3086544</v>
      </c>
      <c r="D1348" s="10">
        <v>-77.2346889</v>
      </c>
      <c r="E1348" s="9" t="s">
        <v>10135</v>
      </c>
      <c r="F1348" s="9" t="s">
        <v>10136</v>
      </c>
      <c r="G1348" s="9" t="s">
        <v>10137</v>
      </c>
      <c r="H1348" s="9" t="s">
        <v>126</v>
      </c>
      <c r="I1348" s="9" t="s">
        <v>44</v>
      </c>
      <c r="J1348" s="9" t="s">
        <v>10138</v>
      </c>
      <c r="K1348" s="12" t="s">
        <v>10139</v>
      </c>
      <c r="L1348" s="9" t="s">
        <v>10140</v>
      </c>
      <c r="M1348" s="9">
        <v>76.5</v>
      </c>
      <c r="N1348" s="10">
        <v>35.6627623</v>
      </c>
      <c r="O1348" s="10" t="s">
        <v>6212</v>
      </c>
      <c r="P1348" s="9">
        <v>9082026.0</v>
      </c>
      <c r="Q1348" s="7" t="str">
        <f>IF(OR(ISBLANK(M1348), ISBLANK(N1348)), "", IF(N1348 &lt; Sheet3!$B$6, "Insufficient Reviews", IF(M1348 &gt;= Sheet3!$B$2, "Highly Reliable", IF(M1348 &gt;= Sheet3!$B$3, "Reliable", IF(M1348 &gt;= Sheet3!$B$4, "Mixed Reviews", "Low Reliability")))))</f>
        <v>Insufficient Reviews</v>
      </c>
    </row>
    <row r="1349">
      <c r="A1349" s="3">
        <f t="shared" si="1"/>
        <v>1348</v>
      </c>
      <c r="B1349" s="9" t="s">
        <v>10141</v>
      </c>
      <c r="C1349" s="10">
        <v>39.0585726</v>
      </c>
      <c r="D1349" s="10">
        <v>-76.601834</v>
      </c>
      <c r="E1349" s="9" t="s">
        <v>10142</v>
      </c>
      <c r="F1349" s="9" t="s">
        <v>10143</v>
      </c>
      <c r="G1349" s="9" t="s">
        <v>10144</v>
      </c>
      <c r="H1349" s="9" t="s">
        <v>2077</v>
      </c>
      <c r="I1349" s="9" t="s">
        <v>91</v>
      </c>
      <c r="J1349" s="9" t="s">
        <v>10145</v>
      </c>
      <c r="K1349" s="12" t="s">
        <v>10146</v>
      </c>
      <c r="L1349" s="9" t="s">
        <v>10147</v>
      </c>
      <c r="M1349" s="9">
        <v>77.26018926</v>
      </c>
      <c r="N1349" s="10">
        <v>61.65342439</v>
      </c>
      <c r="O1349" s="10" t="s">
        <v>10148</v>
      </c>
      <c r="P1349" s="9">
        <v>9082026.0</v>
      </c>
      <c r="Q1349" s="7" t="str">
        <f>IF(OR(ISBLANK(M1349), ISBLANK(N1349)), "", IF(N1349 &lt; Sheet3!$B$6, "Insufficient Reviews", IF(M1349 &gt;= Sheet3!$B$2, "Highly Reliable", IF(M1349 &gt;= Sheet3!$B$3, "Reliable", IF(M1349 &gt;= Sheet3!$B$4, "Mixed Reviews", "Low Reliability")))))</f>
        <v>Reliable</v>
      </c>
    </row>
    <row r="1350">
      <c r="A1350" s="3">
        <f t="shared" si="1"/>
        <v>1349</v>
      </c>
      <c r="B1350" s="9" t="s">
        <v>10149</v>
      </c>
      <c r="C1350" s="10">
        <v>38.6168174</v>
      </c>
      <c r="D1350" s="10">
        <v>-76.9061709</v>
      </c>
      <c r="E1350" s="9" t="s">
        <v>10150</v>
      </c>
      <c r="F1350" s="9" t="s">
        <v>10151</v>
      </c>
      <c r="G1350" s="9" t="s">
        <v>10152</v>
      </c>
      <c r="H1350" s="9" t="s">
        <v>312</v>
      </c>
      <c r="I1350" s="9" t="s">
        <v>44</v>
      </c>
      <c r="J1350" s="9" t="s">
        <v>10153</v>
      </c>
      <c r="K1350" s="12" t="s">
        <v>10154</v>
      </c>
      <c r="L1350" s="9" t="s">
        <v>10155</v>
      </c>
      <c r="M1350" s="9">
        <v>62.1</v>
      </c>
      <c r="N1350" s="10">
        <v>40.84389958</v>
      </c>
      <c r="O1350" s="10" t="s">
        <v>10156</v>
      </c>
      <c r="P1350" s="9">
        <v>9082026.0</v>
      </c>
      <c r="Q1350" s="7" t="str">
        <f>IF(OR(ISBLANK(M1350), ISBLANK(N1350)), "", IF(N1350 &lt; Sheet3!$B$6, "Insufficient Reviews", IF(M1350 &gt;= Sheet3!$B$2, "Highly Reliable", IF(M1350 &gt;= Sheet3!$B$3, "Reliable", IF(M1350 &gt;= Sheet3!$B$4, "Mixed Reviews", "Low Reliability")))))</f>
        <v>Mixed Reviews</v>
      </c>
    </row>
    <row r="1351">
      <c r="A1351" s="3">
        <f t="shared" si="1"/>
        <v>1350</v>
      </c>
      <c r="B1351" s="9" t="s">
        <v>10157</v>
      </c>
      <c r="C1351" s="10">
        <v>39.2903848</v>
      </c>
      <c r="D1351" s="10">
        <v>-76.6121893</v>
      </c>
      <c r="E1351" s="9" t="s">
        <v>10158</v>
      </c>
      <c r="F1351" s="9" t="s">
        <v>10159</v>
      </c>
      <c r="G1351" s="9" t="s">
        <v>10160</v>
      </c>
      <c r="H1351" s="9"/>
      <c r="I1351" s="9" t="s">
        <v>27</v>
      </c>
      <c r="J1351" s="9" t="s">
        <v>10161</v>
      </c>
      <c r="K1351" s="12" t="s">
        <v>10162</v>
      </c>
      <c r="L1351" s="9" t="s">
        <v>10163</v>
      </c>
      <c r="M1351" s="9">
        <v>82.11838129</v>
      </c>
      <c r="N1351" s="10">
        <v>56.48801937</v>
      </c>
      <c r="O1351" s="10" t="s">
        <v>10164</v>
      </c>
      <c r="P1351" s="9">
        <v>9082026.0</v>
      </c>
      <c r="Q1351" s="7" t="str">
        <f>IF(OR(ISBLANK(M1351), ISBLANK(N1351)), "", IF(N1351 &lt; Sheet3!$B$6, "Insufficient Reviews", IF(M1351 &gt;= Sheet3!$B$2, "Highly Reliable", IF(M1351 &gt;= Sheet3!$B$3, "Reliable", IF(M1351 &gt;= Sheet3!$B$4, "Mixed Reviews", "Low Reliability")))))</f>
        <v>Highly Reliable</v>
      </c>
    </row>
    <row r="1352">
      <c r="A1352" s="3">
        <f t="shared" si="1"/>
        <v>1351</v>
      </c>
      <c r="B1352" s="9" t="s">
        <v>10165</v>
      </c>
      <c r="C1352" s="10">
        <v>39.4210472</v>
      </c>
      <c r="D1352" s="10">
        <v>-76.7680753</v>
      </c>
      <c r="E1352" s="9" t="s">
        <v>10166</v>
      </c>
      <c r="F1352" s="9" t="s">
        <v>10167</v>
      </c>
      <c r="G1352" s="9" t="s">
        <v>10168</v>
      </c>
      <c r="H1352" s="9"/>
      <c r="I1352" s="9" t="s">
        <v>44</v>
      </c>
      <c r="J1352" s="9" t="s">
        <v>10169</v>
      </c>
      <c r="K1352" s="12" t="s">
        <v>10170</v>
      </c>
      <c r="L1352" s="9" t="s">
        <v>10171</v>
      </c>
      <c r="M1352" s="9">
        <v>80.07569853</v>
      </c>
      <c r="N1352" s="10">
        <v>71.03022771</v>
      </c>
      <c r="O1352" s="10" t="s">
        <v>10172</v>
      </c>
      <c r="P1352" s="9">
        <v>9082026.0</v>
      </c>
      <c r="Q1352" s="7" t="str">
        <f>IF(OR(ISBLANK(M1352), ISBLANK(N1352)), "", IF(N1352 &lt; Sheet3!$B$6, "Insufficient Reviews", IF(M1352 &gt;= Sheet3!$B$2, "Highly Reliable", IF(M1352 &gt;= Sheet3!$B$3, "Reliable", IF(M1352 &gt;= Sheet3!$B$4, "Mixed Reviews", "Low Reliability")))))</f>
        <v>Reliable</v>
      </c>
    </row>
    <row r="1353">
      <c r="A1353" s="3">
        <f t="shared" si="1"/>
        <v>1352</v>
      </c>
      <c r="B1353" s="9" t="s">
        <v>10173</v>
      </c>
      <c r="C1353" s="10">
        <v>39.4030269</v>
      </c>
      <c r="D1353" s="10">
        <v>-76.9535692</v>
      </c>
      <c r="E1353" s="9" t="s">
        <v>10174</v>
      </c>
      <c r="F1353" s="9" t="s">
        <v>10175</v>
      </c>
      <c r="G1353" s="9"/>
      <c r="H1353" s="9" t="s">
        <v>135</v>
      </c>
      <c r="I1353" s="9" t="s">
        <v>44</v>
      </c>
      <c r="J1353" s="9" t="s">
        <v>10176</v>
      </c>
      <c r="K1353" s="12" t="s">
        <v>10177</v>
      </c>
      <c r="L1353" s="9" t="s">
        <v>10178</v>
      </c>
      <c r="M1353" s="9">
        <v>81.7480966</v>
      </c>
      <c r="N1353" s="10">
        <v>72.81055963</v>
      </c>
      <c r="O1353" s="10" t="s">
        <v>6635</v>
      </c>
      <c r="P1353" s="9">
        <v>9082026.0</v>
      </c>
      <c r="Q1353" s="7" t="str">
        <f>IF(OR(ISBLANK(M1353), ISBLANK(N1353)), "", IF(N1353 &lt; Sheet3!$B$6, "Insufficient Reviews", IF(M1353 &gt;= Sheet3!$B$2, "Highly Reliable", IF(M1353 &gt;= Sheet3!$B$3, "Reliable", IF(M1353 &gt;= Sheet3!$B$4, "Mixed Reviews", "Low Reliability")))))</f>
        <v>Reliable</v>
      </c>
    </row>
    <row r="1354">
      <c r="A1354" s="3">
        <f t="shared" si="1"/>
        <v>1353</v>
      </c>
      <c r="B1354" s="9" t="s">
        <v>10179</v>
      </c>
      <c r="C1354" s="10">
        <v>39.4419204</v>
      </c>
      <c r="D1354" s="10">
        <v>-77.3950161</v>
      </c>
      <c r="E1354" s="9" t="s">
        <v>10180</v>
      </c>
      <c r="F1354" s="9" t="s">
        <v>10181</v>
      </c>
      <c r="G1354" s="9"/>
      <c r="H1354" s="9" t="s">
        <v>10182</v>
      </c>
      <c r="I1354" s="9" t="s">
        <v>180</v>
      </c>
      <c r="J1354" s="9" t="s">
        <v>10183</v>
      </c>
      <c r="K1354" s="12" t="s">
        <v>10184</v>
      </c>
      <c r="L1354" s="9" t="s">
        <v>10185</v>
      </c>
      <c r="M1354" s="9">
        <v>65.64447184</v>
      </c>
      <c r="N1354" s="10">
        <v>58.06720236</v>
      </c>
      <c r="O1354" s="10" t="s">
        <v>10186</v>
      </c>
      <c r="P1354" s="9">
        <v>9082026.0</v>
      </c>
      <c r="Q1354" s="7" t="str">
        <f>IF(OR(ISBLANK(M1354), ISBLANK(N1354)), "", IF(N1354 &lt; Sheet3!$B$6, "Insufficient Reviews", IF(M1354 &gt;= Sheet3!$B$2, "Highly Reliable", IF(M1354 &gt;= Sheet3!$B$3, "Reliable", IF(M1354 &gt;= Sheet3!$B$4, "Mixed Reviews", "Low Reliability")))))</f>
        <v>Mixed Reviews</v>
      </c>
    </row>
    <row r="1355">
      <c r="A1355" s="3">
        <f t="shared" si="1"/>
        <v>1354</v>
      </c>
      <c r="B1355" s="9" t="s">
        <v>10187</v>
      </c>
      <c r="C1355" s="10">
        <v>39.376119</v>
      </c>
      <c r="D1355" s="10">
        <v>-76.5401558</v>
      </c>
      <c r="E1355" s="9" t="s">
        <v>10188</v>
      </c>
      <c r="F1355" s="9" t="s">
        <v>10189</v>
      </c>
      <c r="G1355" s="9" t="s">
        <v>10190</v>
      </c>
      <c r="H1355" s="9" t="s">
        <v>6492</v>
      </c>
      <c r="I1355" s="9" t="s">
        <v>44</v>
      </c>
      <c r="J1355" s="9" t="s">
        <v>10191</v>
      </c>
      <c r="K1355" s="12" t="s">
        <v>10192</v>
      </c>
      <c r="L1355" s="9" t="s">
        <v>10193</v>
      </c>
      <c r="M1355" s="9">
        <v>78.0</v>
      </c>
      <c r="N1355" s="10">
        <v>61.15885793</v>
      </c>
      <c r="O1355" s="10" t="s">
        <v>10194</v>
      </c>
      <c r="P1355" s="9">
        <v>9082026.0</v>
      </c>
      <c r="Q1355" s="7" t="str">
        <f>IF(OR(ISBLANK(M1355), ISBLANK(N1355)), "", IF(N1355 &lt; Sheet3!$B$6, "Insufficient Reviews", IF(M1355 &gt;= Sheet3!$B$2, "Highly Reliable", IF(M1355 &gt;= Sheet3!$B$3, "Reliable", IF(M1355 &gt;= Sheet3!$B$4, "Mixed Reviews", "Low Reliability")))))</f>
        <v>Reliable</v>
      </c>
    </row>
    <row r="1356">
      <c r="A1356" s="3">
        <f t="shared" si="1"/>
        <v>1355</v>
      </c>
      <c r="B1356" s="9" t="s">
        <v>10195</v>
      </c>
      <c r="C1356" s="10">
        <v>39.3948274</v>
      </c>
      <c r="D1356" s="10">
        <v>-76.5776721</v>
      </c>
      <c r="E1356" s="9" t="s">
        <v>10196</v>
      </c>
      <c r="F1356" s="9" t="s">
        <v>10197</v>
      </c>
      <c r="G1356" s="9"/>
      <c r="H1356" s="9" t="s">
        <v>135</v>
      </c>
      <c r="I1356" s="9" t="s">
        <v>44</v>
      </c>
      <c r="J1356" s="9" t="s">
        <v>10198</v>
      </c>
      <c r="K1356" s="12" t="s">
        <v>10199</v>
      </c>
      <c r="L1356" s="9" t="s">
        <v>10200</v>
      </c>
      <c r="M1356" s="9">
        <v>80.12441832</v>
      </c>
      <c r="N1356" s="10">
        <v>70.38489683</v>
      </c>
      <c r="O1356" s="10" t="s">
        <v>10201</v>
      </c>
      <c r="P1356" s="9">
        <v>9082026.0</v>
      </c>
      <c r="Q1356" s="7" t="str">
        <f>IF(OR(ISBLANK(M1356), ISBLANK(N1356)), "", IF(N1356 &lt; Sheet3!$B$6, "Insufficient Reviews", IF(M1356 &gt;= Sheet3!$B$2, "Highly Reliable", IF(M1356 &gt;= Sheet3!$B$3, "Reliable", IF(M1356 &gt;= Sheet3!$B$4, "Mixed Reviews", "Low Reliability")))))</f>
        <v>Reliable</v>
      </c>
    </row>
    <row r="1357">
      <c r="A1357" s="3">
        <f t="shared" si="1"/>
        <v>1356</v>
      </c>
      <c r="B1357" s="9" t="s">
        <v>10202</v>
      </c>
      <c r="C1357" s="10">
        <v>39.3976481</v>
      </c>
      <c r="D1357" s="10">
        <v>-76.4843293</v>
      </c>
      <c r="E1357" s="9" t="s">
        <v>10203</v>
      </c>
      <c r="F1357" s="9" t="s">
        <v>10204</v>
      </c>
      <c r="G1357" s="9" t="s">
        <v>10205</v>
      </c>
      <c r="H1357" s="9" t="s">
        <v>126</v>
      </c>
      <c r="I1357" s="9" t="s">
        <v>44</v>
      </c>
      <c r="J1357" s="9" t="s">
        <v>10206</v>
      </c>
      <c r="K1357" s="12" t="s">
        <v>10207</v>
      </c>
      <c r="L1357" s="9" t="s">
        <v>10208</v>
      </c>
      <c r="M1357" s="9">
        <v>79.96922561</v>
      </c>
      <c r="N1357" s="10">
        <v>71.62551035</v>
      </c>
      <c r="O1357" s="10" t="s">
        <v>10209</v>
      </c>
      <c r="P1357" s="9">
        <v>9082026.0</v>
      </c>
      <c r="Q1357" s="7" t="str">
        <f>IF(OR(ISBLANK(M1357), ISBLANK(N1357)), "", IF(N1357 &lt; Sheet3!$B$6, "Insufficient Reviews", IF(M1357 &gt;= Sheet3!$B$2, "Highly Reliable", IF(M1357 &gt;= Sheet3!$B$3, "Reliable", IF(M1357 &gt;= Sheet3!$B$4, "Mixed Reviews", "Low Reliability")))))</f>
        <v>Reliable</v>
      </c>
    </row>
    <row r="1358">
      <c r="A1358" s="3">
        <f t="shared" si="1"/>
        <v>1357</v>
      </c>
      <c r="B1358" s="9" t="s">
        <v>10210</v>
      </c>
      <c r="C1358" s="10">
        <v>39.1752638</v>
      </c>
      <c r="D1358" s="10">
        <v>-77.2678243</v>
      </c>
      <c r="E1358" s="9" t="s">
        <v>10211</v>
      </c>
      <c r="F1358" s="9" t="s">
        <v>10212</v>
      </c>
      <c r="G1358" s="9"/>
      <c r="H1358" s="9" t="s">
        <v>10213</v>
      </c>
      <c r="I1358" s="9" t="s">
        <v>44</v>
      </c>
      <c r="J1358" s="9" t="s">
        <v>10214</v>
      </c>
      <c r="K1358" s="12" t="s">
        <v>10215</v>
      </c>
      <c r="L1358" s="9" t="s">
        <v>10216</v>
      </c>
      <c r="M1358" s="9">
        <v>70.5</v>
      </c>
      <c r="N1358" s="10">
        <v>45.08098097</v>
      </c>
      <c r="O1358" s="10" t="s">
        <v>10217</v>
      </c>
      <c r="P1358" s="9">
        <v>9082026.0</v>
      </c>
      <c r="Q1358" s="7" t="str">
        <f>IF(OR(ISBLANK(M1358), ISBLANK(N1358)), "", IF(N1358 &lt; Sheet3!$B$6, "Insufficient Reviews", IF(M1358 &gt;= Sheet3!$B$2, "Highly Reliable", IF(M1358 &gt;= Sheet3!$B$3, "Reliable", IF(M1358 &gt;= Sheet3!$B$4, "Mixed Reviews", "Low Reliability")))))</f>
        <v>Reliable</v>
      </c>
    </row>
    <row r="1359">
      <c r="A1359" s="3">
        <f t="shared" si="1"/>
        <v>1358</v>
      </c>
      <c r="B1359" s="9" t="s">
        <v>10218</v>
      </c>
      <c r="C1359" s="10">
        <v>39.5196966</v>
      </c>
      <c r="D1359" s="10">
        <v>-76.1866672</v>
      </c>
      <c r="E1359" s="9" t="s">
        <v>10219</v>
      </c>
      <c r="F1359" s="9" t="s">
        <v>10220</v>
      </c>
      <c r="G1359" s="11"/>
      <c r="H1359" s="9" t="s">
        <v>10221</v>
      </c>
      <c r="I1359" s="9" t="s">
        <v>44</v>
      </c>
      <c r="J1359" s="9" t="s">
        <v>10222</v>
      </c>
      <c r="K1359" s="12" t="s">
        <v>10223</v>
      </c>
      <c r="L1359" s="9" t="s">
        <v>10224</v>
      </c>
      <c r="M1359" s="9">
        <v>82.84394808</v>
      </c>
      <c r="N1359" s="10">
        <v>59.17074607</v>
      </c>
      <c r="O1359" s="10" t="s">
        <v>10225</v>
      </c>
      <c r="P1359" s="9">
        <v>9082026.0</v>
      </c>
      <c r="Q1359" s="7" t="str">
        <f>IF(OR(ISBLANK(M1359), ISBLANK(N1359)), "", IF(N1359 &lt; Sheet3!$B$6, "Insufficient Reviews", IF(M1359 &gt;= Sheet3!$B$2, "Highly Reliable", IF(M1359 &gt;= Sheet3!$B$3, "Reliable", IF(M1359 &gt;= Sheet3!$B$4, "Mixed Reviews", "Low Reliability")))))</f>
        <v>Highly Reliable</v>
      </c>
    </row>
    <row r="1360">
      <c r="A1360" s="3">
        <f t="shared" si="1"/>
        <v>1359</v>
      </c>
      <c r="B1360" s="9" t="s">
        <v>10226</v>
      </c>
      <c r="C1360" s="10">
        <v>38.9116069</v>
      </c>
      <c r="D1360" s="10">
        <v>-77.0245722</v>
      </c>
      <c r="E1360" s="9" t="s">
        <v>10227</v>
      </c>
      <c r="F1360" s="9" t="s">
        <v>10228</v>
      </c>
      <c r="G1360" s="9"/>
      <c r="H1360" s="9" t="s">
        <v>10229</v>
      </c>
      <c r="I1360" s="9" t="s">
        <v>44</v>
      </c>
      <c r="J1360" s="9" t="s">
        <v>10230</v>
      </c>
      <c r="K1360" s="12" t="s">
        <v>10231</v>
      </c>
      <c r="L1360" s="9" t="s">
        <v>10232</v>
      </c>
      <c r="M1360" s="9">
        <v>64.0704908</v>
      </c>
      <c r="N1360" s="10">
        <v>68.4399364</v>
      </c>
      <c r="O1360" s="10" t="s">
        <v>10233</v>
      </c>
      <c r="P1360" s="9">
        <v>9082026.0</v>
      </c>
      <c r="Q1360" s="7" t="str">
        <f>IF(OR(ISBLANK(M1360), ISBLANK(N1360)), "", IF(N1360 &lt; Sheet3!$B$6, "Insufficient Reviews", IF(M1360 &gt;= Sheet3!$B$2, "Highly Reliable", IF(M1360 &gt;= Sheet3!$B$3, "Reliable", IF(M1360 &gt;= Sheet3!$B$4, "Mixed Reviews", "Low Reliability")))))</f>
        <v>Mixed Reviews</v>
      </c>
    </row>
    <row r="1361">
      <c r="A1361" s="3">
        <f t="shared" si="1"/>
        <v>1360</v>
      </c>
      <c r="B1361" s="9" t="s">
        <v>10234</v>
      </c>
      <c r="C1361" s="10">
        <v>39.6384194</v>
      </c>
      <c r="D1361" s="10">
        <v>-77.7167905</v>
      </c>
      <c r="E1361" s="9" t="s">
        <v>10235</v>
      </c>
      <c r="F1361" s="9" t="s">
        <v>10236</v>
      </c>
      <c r="G1361" s="9" t="s">
        <v>10237</v>
      </c>
      <c r="H1361" s="9" t="s">
        <v>10238</v>
      </c>
      <c r="I1361" s="9" t="s">
        <v>44</v>
      </c>
      <c r="J1361" s="9" t="s">
        <v>10239</v>
      </c>
      <c r="K1361" s="12" t="s">
        <v>10240</v>
      </c>
      <c r="L1361" s="9" t="s">
        <v>10241</v>
      </c>
      <c r="M1361" s="9">
        <v>74.67969127</v>
      </c>
      <c r="N1361" s="10">
        <v>71.467112</v>
      </c>
      <c r="O1361" s="10" t="s">
        <v>10242</v>
      </c>
      <c r="P1361" s="9">
        <v>9082026.0</v>
      </c>
      <c r="Q1361" s="7" t="str">
        <f>IF(OR(ISBLANK(M1361), ISBLANK(N1361)), "", IF(N1361 &lt; Sheet3!$B$6, "Insufficient Reviews", IF(M1361 &gt;= Sheet3!$B$2, "Highly Reliable", IF(M1361 &gt;= Sheet3!$B$3, "Reliable", IF(M1361 &gt;= Sheet3!$B$4, "Mixed Reviews", "Low Reliability")))))</f>
        <v>Reliable</v>
      </c>
    </row>
    <row r="1362">
      <c r="A1362" s="3">
        <f t="shared" si="1"/>
        <v>1361</v>
      </c>
      <c r="B1362" s="9" t="s">
        <v>10243</v>
      </c>
      <c r="C1362" s="10">
        <v>39.3456456</v>
      </c>
      <c r="D1362" s="10">
        <v>-76.7082176</v>
      </c>
      <c r="E1362" s="9" t="s">
        <v>10244</v>
      </c>
      <c r="F1362" s="9" t="s">
        <v>10245</v>
      </c>
      <c r="G1362" s="11"/>
      <c r="H1362" s="9" t="s">
        <v>2973</v>
      </c>
      <c r="I1362" s="9" t="s">
        <v>91</v>
      </c>
      <c r="J1362" s="9" t="s">
        <v>10246</v>
      </c>
      <c r="K1362" s="12" t="s">
        <v>10247</v>
      </c>
      <c r="L1362" s="9" t="s">
        <v>10248</v>
      </c>
      <c r="M1362" s="9">
        <v>84.14732168</v>
      </c>
      <c r="N1362" s="10">
        <v>95.71599529</v>
      </c>
      <c r="O1362" s="10" t="s">
        <v>10249</v>
      </c>
      <c r="P1362" s="9">
        <v>9082026.0</v>
      </c>
      <c r="Q1362" s="7" t="str">
        <f>IF(OR(ISBLANK(M1362), ISBLANK(N1362)), "", IF(N1362 &lt; Sheet3!$B$6, "Insufficient Reviews", IF(M1362 &gt;= Sheet3!$B$2, "Highly Reliable", IF(M1362 &gt;= Sheet3!$B$3, "Reliable", IF(M1362 &gt;= Sheet3!$B$4, "Mixed Reviews", "Low Reliability")))))</f>
        <v>Highly Reliable</v>
      </c>
    </row>
    <row r="1363">
      <c r="A1363" s="3">
        <f t="shared" si="1"/>
        <v>1362</v>
      </c>
      <c r="B1363" s="9" t="s">
        <v>10250</v>
      </c>
      <c r="C1363" s="10">
        <v>39.1753765</v>
      </c>
      <c r="D1363" s="10">
        <v>-76.873602</v>
      </c>
      <c r="E1363" s="9" t="s">
        <v>10251</v>
      </c>
      <c r="F1363" s="9" t="s">
        <v>10252</v>
      </c>
      <c r="G1363" s="9" t="s">
        <v>10253</v>
      </c>
      <c r="H1363" s="9" t="s">
        <v>10254</v>
      </c>
      <c r="I1363" s="9" t="s">
        <v>35</v>
      </c>
      <c r="J1363" s="9" t="s">
        <v>10255</v>
      </c>
      <c r="K1363" s="12" t="s">
        <v>10256</v>
      </c>
      <c r="L1363" s="9" t="s">
        <v>10257</v>
      </c>
      <c r="M1363" s="9">
        <v>81.1578335</v>
      </c>
      <c r="N1363" s="10">
        <v>73.7041526</v>
      </c>
      <c r="O1363" s="10" t="s">
        <v>10258</v>
      </c>
      <c r="P1363" s="9">
        <v>9082026.0</v>
      </c>
      <c r="Q1363" s="7" t="str">
        <f>IF(OR(ISBLANK(M1363), ISBLANK(N1363)), "", IF(N1363 &lt; Sheet3!$B$6, "Insufficient Reviews", IF(M1363 &gt;= Sheet3!$B$2, "Highly Reliable", IF(M1363 &gt;= Sheet3!$B$3, "Reliable", IF(M1363 &gt;= Sheet3!$B$4, "Mixed Reviews", "Low Reliability")))))</f>
        <v>Reliable</v>
      </c>
    </row>
    <row r="1364">
      <c r="A1364" s="10"/>
      <c r="B1364" s="9"/>
      <c r="C1364" s="10"/>
      <c r="D1364" s="10"/>
      <c r="E1364" s="9"/>
      <c r="F1364" s="9"/>
      <c r="G1364" s="9"/>
      <c r="H1364" s="9"/>
      <c r="I1364" s="9"/>
      <c r="J1364" s="9"/>
      <c r="K1364" s="9"/>
      <c r="L1364" s="9"/>
      <c r="M1364" s="9"/>
      <c r="N1364" s="10"/>
      <c r="O1364" s="10"/>
      <c r="P1364" s="9"/>
    </row>
    <row r="1365">
      <c r="A1365" s="10"/>
      <c r="B1365" s="9"/>
      <c r="C1365" s="10"/>
      <c r="D1365" s="10"/>
      <c r="E1365" s="9"/>
      <c r="F1365" s="9"/>
      <c r="G1365" s="9"/>
      <c r="H1365" s="9"/>
      <c r="I1365" s="9"/>
      <c r="J1365" s="9"/>
      <c r="K1365" s="9"/>
      <c r="L1365" s="9"/>
      <c r="M1365" s="9"/>
      <c r="N1365" s="10"/>
      <c r="O1365" s="10"/>
      <c r="P1365" s="9"/>
    </row>
    <row r="1366">
      <c r="A1366" s="10"/>
      <c r="B1366" s="9"/>
      <c r="C1366" s="10"/>
      <c r="D1366" s="10"/>
      <c r="E1366" s="9"/>
      <c r="F1366" s="9"/>
      <c r="G1366" s="9"/>
      <c r="H1366" s="9"/>
      <c r="I1366" s="9"/>
      <c r="J1366" s="9"/>
      <c r="K1366" s="9"/>
      <c r="L1366" s="9"/>
      <c r="M1366" s="9"/>
      <c r="N1366" s="10"/>
      <c r="O1366" s="10"/>
      <c r="P1366" s="9"/>
    </row>
    <row r="1367">
      <c r="A1367" s="10"/>
      <c r="B1367" s="9"/>
      <c r="C1367" s="10"/>
      <c r="D1367" s="10"/>
      <c r="E1367" s="9"/>
      <c r="F1367" s="9"/>
      <c r="G1367" s="9"/>
      <c r="H1367" s="9"/>
      <c r="I1367" s="9"/>
      <c r="J1367" s="9"/>
      <c r="K1367" s="9"/>
      <c r="L1367" s="9"/>
      <c r="M1367" s="9"/>
      <c r="N1367" s="10"/>
      <c r="O1367" s="10"/>
      <c r="P1367" s="9"/>
    </row>
    <row r="1368">
      <c r="A1368" s="10"/>
      <c r="B1368" s="9"/>
      <c r="C1368" s="10"/>
      <c r="D1368" s="10"/>
      <c r="E1368" s="9"/>
      <c r="F1368" s="9"/>
      <c r="G1368" s="9"/>
      <c r="H1368" s="9"/>
      <c r="I1368" s="9"/>
      <c r="J1368" s="9"/>
      <c r="K1368" s="9"/>
      <c r="L1368" s="9"/>
      <c r="M1368" s="9"/>
      <c r="N1368" s="10"/>
      <c r="O1368" s="10"/>
      <c r="P1368" s="9"/>
    </row>
    <row r="1369">
      <c r="A1369" s="10"/>
      <c r="B1369" s="9"/>
      <c r="C1369" s="10"/>
      <c r="D1369" s="10"/>
      <c r="E1369" s="9"/>
      <c r="F1369" s="9"/>
      <c r="G1369" s="9"/>
      <c r="H1369" s="9"/>
      <c r="I1369" s="9"/>
      <c r="J1369" s="9"/>
      <c r="K1369" s="9"/>
      <c r="L1369" s="9"/>
      <c r="M1369" s="9"/>
      <c r="N1369" s="10"/>
      <c r="O1369" s="10"/>
      <c r="P1369" s="9"/>
    </row>
    <row r="1370">
      <c r="A1370" s="10"/>
      <c r="B1370" s="9"/>
      <c r="C1370" s="10"/>
      <c r="D1370" s="10"/>
      <c r="E1370" s="9"/>
      <c r="F1370" s="9"/>
      <c r="G1370" s="9"/>
      <c r="H1370" s="9"/>
      <c r="I1370" s="9"/>
      <c r="J1370" s="9"/>
      <c r="K1370" s="9"/>
      <c r="L1370" s="9"/>
      <c r="M1370" s="9"/>
      <c r="N1370" s="10"/>
      <c r="O1370" s="10"/>
      <c r="P1370" s="9"/>
    </row>
    <row r="1371">
      <c r="A1371" s="10"/>
      <c r="B1371" s="9"/>
      <c r="C1371" s="10"/>
      <c r="D1371" s="10"/>
      <c r="E1371" s="9"/>
      <c r="F1371" s="9"/>
      <c r="G1371" s="9"/>
      <c r="H1371" s="9"/>
      <c r="I1371" s="9"/>
      <c r="J1371" s="9"/>
      <c r="K1371" s="9"/>
      <c r="L1371" s="9"/>
      <c r="M1371" s="9"/>
      <c r="N1371" s="10"/>
      <c r="O1371" s="10"/>
      <c r="P1371" s="9"/>
    </row>
    <row r="1372">
      <c r="A1372" s="10"/>
      <c r="B1372" s="9"/>
      <c r="C1372" s="10"/>
      <c r="D1372" s="10"/>
      <c r="E1372" s="9"/>
      <c r="F1372" s="9"/>
      <c r="G1372" s="9"/>
      <c r="H1372" s="9"/>
      <c r="I1372" s="9"/>
      <c r="J1372" s="9"/>
      <c r="K1372" s="9"/>
      <c r="L1372" s="9"/>
      <c r="M1372" s="9"/>
      <c r="N1372" s="10"/>
      <c r="O1372" s="10"/>
      <c r="P1372" s="9"/>
    </row>
    <row r="1373">
      <c r="A1373" s="10"/>
      <c r="B1373" s="9"/>
      <c r="C1373" s="10"/>
      <c r="D1373" s="10"/>
      <c r="E1373" s="9"/>
      <c r="F1373" s="9"/>
      <c r="G1373" s="9"/>
      <c r="H1373" s="9"/>
      <c r="I1373" s="9"/>
      <c r="J1373" s="9"/>
      <c r="K1373" s="9"/>
      <c r="L1373" s="9"/>
      <c r="M1373" s="9"/>
      <c r="N1373" s="10"/>
      <c r="O1373" s="10"/>
      <c r="P1373" s="9"/>
    </row>
    <row r="1374">
      <c r="A1374" s="10"/>
      <c r="B1374" s="9"/>
      <c r="C1374" s="10"/>
      <c r="D1374" s="10"/>
      <c r="E1374" s="9"/>
      <c r="F1374" s="9"/>
      <c r="G1374" s="9"/>
      <c r="H1374" s="9"/>
      <c r="I1374" s="9"/>
      <c r="J1374" s="9"/>
      <c r="K1374" s="9"/>
      <c r="L1374" s="9"/>
      <c r="M1374" s="9"/>
      <c r="N1374" s="10"/>
      <c r="O1374" s="10"/>
      <c r="P1374" s="9"/>
    </row>
    <row r="1375">
      <c r="A1375" s="10"/>
      <c r="B1375" s="9"/>
      <c r="C1375" s="10"/>
      <c r="D1375" s="10"/>
      <c r="E1375" s="9"/>
      <c r="F1375" s="9"/>
      <c r="G1375" s="9"/>
      <c r="H1375" s="9"/>
      <c r="I1375" s="9"/>
      <c r="J1375" s="9"/>
      <c r="K1375" s="9"/>
      <c r="L1375" s="9"/>
      <c r="M1375" s="9"/>
      <c r="N1375" s="10"/>
      <c r="O1375" s="10"/>
      <c r="P1375" s="9"/>
    </row>
    <row r="1376">
      <c r="A1376" s="10"/>
      <c r="B1376" s="9"/>
      <c r="C1376" s="10"/>
      <c r="D1376" s="10"/>
      <c r="E1376" s="9"/>
      <c r="F1376" s="9"/>
      <c r="G1376" s="9"/>
      <c r="H1376" s="9"/>
      <c r="I1376" s="9"/>
      <c r="J1376" s="9"/>
      <c r="K1376" s="9"/>
      <c r="L1376" s="9"/>
      <c r="M1376" s="9"/>
      <c r="N1376" s="10"/>
      <c r="O1376" s="10"/>
      <c r="P1376" s="9"/>
    </row>
    <row r="1377">
      <c r="A1377" s="10"/>
      <c r="B1377" s="9"/>
      <c r="C1377" s="10"/>
      <c r="D1377" s="10"/>
      <c r="E1377" s="9"/>
      <c r="F1377" s="9"/>
      <c r="G1377" s="9"/>
      <c r="H1377" s="9"/>
      <c r="I1377" s="9"/>
      <c r="J1377" s="9"/>
      <c r="K1377" s="9"/>
      <c r="L1377" s="9"/>
      <c r="M1377" s="9"/>
      <c r="N1377" s="10"/>
      <c r="O1377" s="10"/>
      <c r="P1377" s="9"/>
    </row>
    <row r="1378">
      <c r="A1378" s="10"/>
      <c r="B1378" s="9"/>
      <c r="C1378" s="10"/>
      <c r="D1378" s="10"/>
      <c r="E1378" s="9"/>
      <c r="F1378" s="9"/>
      <c r="G1378" s="9"/>
      <c r="H1378" s="9"/>
      <c r="I1378" s="9"/>
      <c r="J1378" s="9"/>
      <c r="K1378" s="9"/>
      <c r="L1378" s="9"/>
      <c r="M1378" s="9"/>
      <c r="N1378" s="10"/>
      <c r="O1378" s="10"/>
      <c r="P1378" s="9"/>
    </row>
    <row r="1379">
      <c r="A1379" s="10"/>
      <c r="B1379" s="9"/>
      <c r="C1379" s="10"/>
      <c r="D1379" s="10"/>
      <c r="E1379" s="9"/>
      <c r="F1379" s="9"/>
      <c r="G1379" s="9"/>
      <c r="H1379" s="9"/>
      <c r="I1379" s="9"/>
      <c r="J1379" s="9"/>
      <c r="K1379" s="9"/>
      <c r="L1379" s="9"/>
      <c r="M1379" s="9"/>
      <c r="N1379" s="10"/>
      <c r="O1379" s="10"/>
      <c r="P1379" s="9"/>
    </row>
    <row r="1380">
      <c r="A1380" s="10"/>
      <c r="B1380" s="9"/>
      <c r="C1380" s="10"/>
      <c r="D1380" s="10"/>
      <c r="E1380" s="9"/>
      <c r="F1380" s="9"/>
      <c r="G1380" s="9"/>
      <c r="H1380" s="9"/>
      <c r="I1380" s="9"/>
      <c r="J1380" s="9"/>
      <c r="K1380" s="9"/>
      <c r="L1380" s="9"/>
      <c r="M1380" s="9"/>
      <c r="N1380" s="10"/>
      <c r="O1380" s="10"/>
      <c r="P1380" s="9"/>
    </row>
    <row r="1381">
      <c r="A1381" s="10"/>
      <c r="B1381" s="9"/>
      <c r="C1381" s="10"/>
      <c r="D1381" s="10"/>
      <c r="E1381" s="9"/>
      <c r="F1381" s="9"/>
      <c r="G1381" s="9"/>
      <c r="H1381" s="9"/>
      <c r="I1381" s="9"/>
      <c r="J1381" s="9"/>
      <c r="K1381" s="9"/>
      <c r="L1381" s="9"/>
      <c r="M1381" s="9"/>
      <c r="N1381" s="10"/>
      <c r="O1381" s="10"/>
      <c r="P1381" s="9"/>
    </row>
    <row r="1382">
      <c r="A1382" s="10"/>
      <c r="B1382" s="9"/>
      <c r="C1382" s="10"/>
      <c r="D1382" s="10"/>
      <c r="E1382" s="9"/>
      <c r="F1382" s="9"/>
      <c r="G1382" s="9"/>
      <c r="H1382" s="9"/>
      <c r="I1382" s="9"/>
      <c r="J1382" s="9"/>
      <c r="K1382" s="9"/>
      <c r="L1382" s="9"/>
      <c r="M1382" s="9"/>
      <c r="N1382" s="10"/>
      <c r="O1382" s="10"/>
      <c r="P1382" s="9"/>
    </row>
    <row r="1383">
      <c r="A1383" s="10"/>
      <c r="B1383" s="9"/>
      <c r="C1383" s="10"/>
      <c r="D1383" s="10"/>
      <c r="E1383" s="9"/>
      <c r="F1383" s="9"/>
      <c r="G1383" s="9"/>
      <c r="H1383" s="9"/>
      <c r="I1383" s="9"/>
      <c r="J1383" s="9"/>
      <c r="K1383" s="9"/>
      <c r="L1383" s="9"/>
      <c r="M1383" s="9"/>
      <c r="N1383" s="10"/>
      <c r="O1383" s="10"/>
      <c r="P1383" s="9"/>
    </row>
    <row r="1384">
      <c r="A1384" s="10"/>
      <c r="B1384" s="9"/>
      <c r="C1384" s="10"/>
      <c r="D1384" s="10"/>
      <c r="E1384" s="9"/>
      <c r="F1384" s="9"/>
      <c r="G1384" s="9"/>
      <c r="H1384" s="9"/>
      <c r="I1384" s="9"/>
      <c r="J1384" s="9"/>
      <c r="K1384" s="9"/>
      <c r="L1384" s="9"/>
      <c r="M1384" s="9"/>
      <c r="N1384" s="10"/>
      <c r="O1384" s="10"/>
      <c r="P1384" s="9"/>
    </row>
    <row r="1385">
      <c r="A1385" s="10"/>
      <c r="B1385" s="9"/>
      <c r="C1385" s="10"/>
      <c r="D1385" s="10"/>
      <c r="E1385" s="9"/>
      <c r="F1385" s="9"/>
      <c r="G1385" s="9"/>
      <c r="H1385" s="9"/>
      <c r="I1385" s="9"/>
      <c r="J1385" s="9"/>
      <c r="K1385" s="9"/>
      <c r="L1385" s="9"/>
      <c r="M1385" s="9"/>
      <c r="N1385" s="10"/>
      <c r="O1385" s="10"/>
      <c r="P1385" s="9"/>
    </row>
    <row r="1386">
      <c r="A1386" s="10"/>
      <c r="B1386" s="9"/>
      <c r="C1386" s="10"/>
      <c r="D1386" s="10"/>
      <c r="E1386" s="9"/>
      <c r="F1386" s="9"/>
      <c r="G1386" s="9"/>
      <c r="H1386" s="9"/>
      <c r="I1386" s="9"/>
      <c r="J1386" s="9"/>
      <c r="K1386" s="9"/>
      <c r="L1386" s="9"/>
      <c r="M1386" s="9"/>
      <c r="N1386" s="10"/>
      <c r="O1386" s="10"/>
      <c r="P1386" s="9"/>
    </row>
    <row r="1387">
      <c r="A1387" s="10"/>
      <c r="B1387" s="9"/>
      <c r="C1387" s="10"/>
      <c r="D1387" s="10"/>
      <c r="E1387" s="9"/>
      <c r="F1387" s="9"/>
      <c r="G1387" s="9"/>
      <c r="H1387" s="9"/>
      <c r="I1387" s="9"/>
      <c r="J1387" s="9"/>
      <c r="K1387" s="9"/>
      <c r="L1387" s="9"/>
      <c r="M1387" s="9"/>
      <c r="N1387" s="10"/>
      <c r="O1387" s="10"/>
      <c r="P1387" s="9"/>
    </row>
    <row r="1388">
      <c r="A1388" s="10"/>
      <c r="B1388" s="9"/>
      <c r="C1388" s="10"/>
      <c r="D1388" s="10"/>
      <c r="E1388" s="9"/>
      <c r="F1388" s="9"/>
      <c r="G1388" s="9"/>
      <c r="H1388" s="9"/>
      <c r="I1388" s="9"/>
      <c r="J1388" s="9"/>
      <c r="K1388" s="9"/>
      <c r="L1388" s="9"/>
      <c r="M1388" s="9"/>
      <c r="N1388" s="10"/>
      <c r="O1388" s="10"/>
      <c r="P1388" s="9"/>
    </row>
    <row r="1389">
      <c r="A1389" s="10"/>
      <c r="B1389" s="9"/>
      <c r="C1389" s="10"/>
      <c r="D1389" s="10"/>
      <c r="E1389" s="9"/>
      <c r="F1389" s="9"/>
      <c r="G1389" s="9"/>
      <c r="H1389" s="9"/>
      <c r="I1389" s="9"/>
      <c r="J1389" s="9"/>
      <c r="K1389" s="9"/>
      <c r="L1389" s="9"/>
      <c r="M1389" s="9"/>
      <c r="N1389" s="10"/>
      <c r="O1389" s="10"/>
      <c r="P1389" s="9"/>
    </row>
    <row r="1390">
      <c r="A1390" s="10"/>
      <c r="B1390" s="9"/>
      <c r="C1390" s="10"/>
      <c r="D1390" s="10"/>
      <c r="E1390" s="9"/>
      <c r="F1390" s="9"/>
      <c r="G1390" s="9"/>
      <c r="H1390" s="9"/>
      <c r="I1390" s="9"/>
      <c r="J1390" s="9"/>
      <c r="K1390" s="9"/>
      <c r="L1390" s="9"/>
      <c r="M1390" s="9"/>
      <c r="N1390" s="10"/>
      <c r="O1390" s="10"/>
      <c r="P1390" s="9"/>
    </row>
    <row r="1391">
      <c r="A1391" s="10"/>
      <c r="B1391" s="9"/>
      <c r="C1391" s="10"/>
      <c r="D1391" s="10"/>
      <c r="E1391" s="9"/>
      <c r="F1391" s="9"/>
      <c r="G1391" s="9"/>
      <c r="H1391" s="9"/>
      <c r="I1391" s="9"/>
      <c r="J1391" s="9"/>
      <c r="K1391" s="9"/>
      <c r="L1391" s="9"/>
      <c r="M1391" s="9"/>
      <c r="N1391" s="10"/>
      <c r="O1391" s="10"/>
      <c r="P1391" s="9"/>
    </row>
    <row r="1392">
      <c r="A1392" s="10"/>
      <c r="B1392" s="9"/>
      <c r="C1392" s="10"/>
      <c r="D1392" s="10"/>
      <c r="E1392" s="9"/>
      <c r="F1392" s="9"/>
      <c r="G1392" s="9"/>
      <c r="H1392" s="9"/>
      <c r="I1392" s="9"/>
      <c r="J1392" s="9"/>
      <c r="K1392" s="9"/>
      <c r="L1392" s="9"/>
      <c r="M1392" s="9"/>
      <c r="N1392" s="10"/>
      <c r="O1392" s="10"/>
      <c r="P1392" s="9"/>
    </row>
    <row r="1393">
      <c r="A1393" s="10"/>
      <c r="B1393" s="9"/>
      <c r="C1393" s="10"/>
      <c r="D1393" s="10"/>
      <c r="E1393" s="9"/>
      <c r="F1393" s="9"/>
      <c r="G1393" s="9"/>
      <c r="H1393" s="9"/>
      <c r="I1393" s="9"/>
      <c r="J1393" s="9"/>
      <c r="K1393" s="9"/>
      <c r="L1393" s="9"/>
      <c r="M1393" s="9"/>
      <c r="N1393" s="10"/>
      <c r="O1393" s="10"/>
      <c r="P1393" s="9"/>
    </row>
    <row r="1394">
      <c r="A1394" s="10"/>
      <c r="B1394" s="9"/>
      <c r="C1394" s="10"/>
      <c r="D1394" s="10"/>
      <c r="E1394" s="9"/>
      <c r="F1394" s="9"/>
      <c r="G1394" s="9"/>
      <c r="H1394" s="9"/>
      <c r="I1394" s="9"/>
      <c r="J1394" s="9"/>
      <c r="K1394" s="9"/>
      <c r="L1394" s="9"/>
      <c r="M1394" s="9"/>
      <c r="N1394" s="10"/>
      <c r="O1394" s="10"/>
      <c r="P1394" s="9"/>
    </row>
    <row r="1395">
      <c r="A1395" s="10"/>
      <c r="B1395" s="9"/>
      <c r="C1395" s="10"/>
      <c r="D1395" s="10"/>
      <c r="E1395" s="9"/>
      <c r="F1395" s="9"/>
      <c r="G1395" s="9"/>
      <c r="H1395" s="9"/>
      <c r="I1395" s="9"/>
      <c r="J1395" s="9"/>
      <c r="K1395" s="9"/>
      <c r="L1395" s="9"/>
      <c r="M1395" s="9"/>
      <c r="N1395" s="10"/>
      <c r="O1395" s="10"/>
      <c r="P1395" s="9"/>
    </row>
    <row r="1396">
      <c r="A1396" s="10"/>
      <c r="B1396" s="9"/>
      <c r="C1396" s="10"/>
      <c r="D1396" s="10"/>
      <c r="E1396" s="9"/>
      <c r="F1396" s="9"/>
      <c r="G1396" s="9"/>
      <c r="H1396" s="9"/>
      <c r="I1396" s="9"/>
      <c r="J1396" s="9"/>
      <c r="K1396" s="9"/>
      <c r="L1396" s="9"/>
      <c r="M1396" s="9"/>
      <c r="N1396" s="10"/>
      <c r="O1396" s="10"/>
      <c r="P1396" s="9"/>
    </row>
    <row r="1397">
      <c r="A1397" s="10"/>
      <c r="B1397" s="9"/>
      <c r="C1397" s="10"/>
      <c r="D1397" s="10"/>
      <c r="E1397" s="9"/>
      <c r="F1397" s="9"/>
      <c r="G1397" s="9"/>
      <c r="H1397" s="9"/>
      <c r="I1397" s="9"/>
      <c r="J1397" s="9"/>
      <c r="K1397" s="9"/>
      <c r="L1397" s="9"/>
      <c r="M1397" s="9"/>
      <c r="N1397" s="10"/>
      <c r="O1397" s="10"/>
      <c r="P1397" s="9"/>
    </row>
    <row r="1398">
      <c r="A1398" s="10"/>
      <c r="B1398" s="9"/>
      <c r="C1398" s="10"/>
      <c r="D1398" s="10"/>
      <c r="E1398" s="9"/>
      <c r="F1398" s="9"/>
      <c r="G1398" s="9"/>
      <c r="H1398" s="9"/>
      <c r="I1398" s="9"/>
      <c r="J1398" s="9"/>
      <c r="K1398" s="9"/>
      <c r="L1398" s="9"/>
      <c r="M1398" s="9"/>
      <c r="N1398" s="10"/>
      <c r="O1398" s="10"/>
      <c r="P1398" s="9"/>
    </row>
    <row r="1399">
      <c r="A1399" s="10"/>
      <c r="B1399" s="9"/>
      <c r="C1399" s="10"/>
      <c r="D1399" s="10"/>
      <c r="E1399" s="9"/>
      <c r="F1399" s="9"/>
      <c r="G1399" s="9"/>
      <c r="H1399" s="9"/>
      <c r="I1399" s="9"/>
      <c r="J1399" s="9"/>
      <c r="K1399" s="9"/>
      <c r="L1399" s="9"/>
      <c r="M1399" s="9"/>
      <c r="N1399" s="10"/>
      <c r="O1399" s="10"/>
      <c r="P1399" s="9"/>
    </row>
    <row r="1400">
      <c r="A1400" s="10"/>
      <c r="B1400" s="9"/>
      <c r="C1400" s="10"/>
      <c r="D1400" s="10"/>
      <c r="E1400" s="9"/>
      <c r="F1400" s="9"/>
      <c r="G1400" s="9"/>
      <c r="H1400" s="9"/>
      <c r="I1400" s="9"/>
      <c r="J1400" s="9"/>
      <c r="K1400" s="9"/>
      <c r="L1400" s="9"/>
      <c r="M1400" s="9"/>
      <c r="N1400" s="10"/>
      <c r="O1400" s="10"/>
      <c r="P1400" s="9"/>
    </row>
    <row r="1401">
      <c r="A1401" s="10"/>
      <c r="B1401" s="9"/>
      <c r="C1401" s="10"/>
      <c r="D1401" s="10"/>
      <c r="E1401" s="9"/>
      <c r="F1401" s="9"/>
      <c r="G1401" s="9"/>
      <c r="H1401" s="9"/>
      <c r="I1401" s="9"/>
      <c r="J1401" s="9"/>
      <c r="K1401" s="9"/>
      <c r="L1401" s="9"/>
      <c r="M1401" s="9"/>
      <c r="N1401" s="10"/>
      <c r="O1401" s="10"/>
      <c r="P1401" s="9"/>
    </row>
    <row r="1402">
      <c r="A1402" s="10"/>
      <c r="B1402" s="9"/>
      <c r="C1402" s="10"/>
      <c r="D1402" s="10"/>
      <c r="E1402" s="9"/>
      <c r="F1402" s="9"/>
      <c r="G1402" s="9"/>
      <c r="H1402" s="9"/>
      <c r="I1402" s="9"/>
      <c r="J1402" s="9"/>
      <c r="K1402" s="9"/>
      <c r="L1402" s="9"/>
      <c r="M1402" s="9"/>
      <c r="N1402" s="10"/>
      <c r="O1402" s="10"/>
      <c r="P1402" s="9"/>
    </row>
    <row r="1403">
      <c r="A1403" s="10"/>
      <c r="B1403" s="9"/>
      <c r="C1403" s="10"/>
      <c r="D1403" s="10"/>
      <c r="E1403" s="9"/>
      <c r="F1403" s="9"/>
      <c r="G1403" s="9"/>
      <c r="H1403" s="9"/>
      <c r="I1403" s="9"/>
      <c r="J1403" s="9"/>
      <c r="K1403" s="9"/>
      <c r="L1403" s="9"/>
      <c r="M1403" s="9"/>
      <c r="N1403" s="10"/>
      <c r="O1403" s="10"/>
      <c r="P1403" s="9"/>
    </row>
    <row r="1404">
      <c r="A1404" s="10"/>
      <c r="B1404" s="9"/>
      <c r="C1404" s="10"/>
      <c r="D1404" s="10"/>
      <c r="E1404" s="9"/>
      <c r="F1404" s="9"/>
      <c r="G1404" s="9"/>
      <c r="H1404" s="9"/>
      <c r="I1404" s="9"/>
      <c r="J1404" s="9"/>
      <c r="K1404" s="9"/>
      <c r="L1404" s="9"/>
      <c r="M1404" s="9"/>
      <c r="N1404" s="10"/>
      <c r="O1404" s="10"/>
      <c r="P1404" s="9"/>
    </row>
    <row r="1405">
      <c r="A1405" s="10"/>
      <c r="B1405" s="9"/>
      <c r="C1405" s="10"/>
      <c r="D1405" s="10"/>
      <c r="E1405" s="9"/>
      <c r="F1405" s="9"/>
      <c r="G1405" s="9"/>
      <c r="H1405" s="9"/>
      <c r="I1405" s="9"/>
      <c r="J1405" s="9"/>
      <c r="K1405" s="9"/>
      <c r="L1405" s="9"/>
      <c r="M1405" s="9"/>
      <c r="N1405" s="10"/>
      <c r="O1405" s="10"/>
      <c r="P1405" s="9"/>
    </row>
    <row r="1406">
      <c r="A1406" s="10"/>
      <c r="B1406" s="9"/>
      <c r="C1406" s="10"/>
      <c r="D1406" s="10"/>
      <c r="E1406" s="9"/>
      <c r="F1406" s="9"/>
      <c r="G1406" s="9"/>
      <c r="H1406" s="9"/>
      <c r="I1406" s="9"/>
      <c r="J1406" s="9"/>
      <c r="K1406" s="9"/>
      <c r="L1406" s="9"/>
      <c r="M1406" s="9"/>
      <c r="N1406" s="10"/>
      <c r="O1406" s="10"/>
      <c r="P1406" s="9"/>
    </row>
    <row r="1407">
      <c r="A1407" s="10"/>
      <c r="B1407" s="9"/>
      <c r="C1407" s="10"/>
      <c r="D1407" s="10"/>
      <c r="E1407" s="9"/>
      <c r="F1407" s="9"/>
      <c r="G1407" s="9"/>
      <c r="H1407" s="9"/>
      <c r="I1407" s="9"/>
      <c r="J1407" s="9"/>
      <c r="K1407" s="9"/>
      <c r="L1407" s="9"/>
      <c r="M1407" s="9"/>
      <c r="N1407" s="10"/>
      <c r="O1407" s="10"/>
      <c r="P1407" s="9"/>
    </row>
    <row r="1408">
      <c r="A1408" s="10"/>
      <c r="B1408" s="9"/>
      <c r="C1408" s="10"/>
      <c r="D1408" s="10"/>
      <c r="E1408" s="9"/>
      <c r="F1408" s="9"/>
      <c r="G1408" s="9"/>
      <c r="H1408" s="9"/>
      <c r="I1408" s="9"/>
      <c r="J1408" s="9"/>
      <c r="K1408" s="9"/>
      <c r="L1408" s="9"/>
      <c r="M1408" s="9"/>
      <c r="N1408" s="10"/>
      <c r="O1408" s="10"/>
      <c r="P1408" s="9"/>
    </row>
    <row r="1409">
      <c r="A1409" s="10"/>
      <c r="B1409" s="9"/>
      <c r="C1409" s="10"/>
      <c r="D1409" s="10"/>
      <c r="E1409" s="9"/>
      <c r="F1409" s="9"/>
      <c r="G1409" s="9"/>
      <c r="H1409" s="9"/>
      <c r="I1409" s="9"/>
      <c r="J1409" s="9"/>
      <c r="K1409" s="9"/>
      <c r="L1409" s="9"/>
      <c r="M1409" s="9"/>
      <c r="N1409" s="10"/>
      <c r="O1409" s="10"/>
      <c r="P1409" s="9"/>
    </row>
    <row r="1410">
      <c r="A1410" s="10"/>
      <c r="B1410" s="9"/>
      <c r="C1410" s="10"/>
      <c r="D1410" s="10"/>
      <c r="E1410" s="9"/>
      <c r="F1410" s="9"/>
      <c r="G1410" s="9"/>
      <c r="H1410" s="9"/>
      <c r="I1410" s="9"/>
      <c r="J1410" s="9"/>
      <c r="K1410" s="9"/>
      <c r="L1410" s="9"/>
      <c r="M1410" s="9"/>
      <c r="N1410" s="10"/>
      <c r="O1410" s="10"/>
      <c r="P1410" s="9"/>
    </row>
    <row r="1411">
      <c r="A1411" s="10"/>
      <c r="B1411" s="9"/>
      <c r="C1411" s="10"/>
      <c r="D1411" s="10"/>
      <c r="E1411" s="9"/>
      <c r="F1411" s="9"/>
      <c r="G1411" s="9"/>
      <c r="H1411" s="9"/>
      <c r="I1411" s="9"/>
      <c r="J1411" s="9"/>
      <c r="K1411" s="9"/>
      <c r="L1411" s="9"/>
      <c r="M1411" s="9"/>
      <c r="N1411" s="10"/>
      <c r="O1411" s="10"/>
      <c r="P1411" s="9"/>
    </row>
    <row r="1412">
      <c r="A1412" s="10"/>
      <c r="B1412" s="9"/>
      <c r="C1412" s="10"/>
      <c r="D1412" s="10"/>
      <c r="E1412" s="9"/>
      <c r="F1412" s="9"/>
      <c r="G1412" s="9"/>
      <c r="H1412" s="9"/>
      <c r="I1412" s="9"/>
      <c r="J1412" s="9"/>
      <c r="K1412" s="9"/>
      <c r="L1412" s="9"/>
      <c r="M1412" s="9"/>
      <c r="N1412" s="10"/>
      <c r="O1412" s="10"/>
      <c r="P1412" s="9"/>
    </row>
    <row r="1413">
      <c r="A1413" s="10"/>
      <c r="B1413" s="9"/>
      <c r="C1413" s="10"/>
      <c r="D1413" s="10"/>
      <c r="E1413" s="9"/>
      <c r="F1413" s="9"/>
      <c r="G1413" s="9"/>
      <c r="H1413" s="9"/>
      <c r="I1413" s="9"/>
      <c r="J1413" s="9"/>
      <c r="K1413" s="9"/>
      <c r="L1413" s="9"/>
      <c r="M1413" s="9"/>
      <c r="N1413" s="10"/>
      <c r="O1413" s="10"/>
      <c r="P1413" s="9"/>
    </row>
    <row r="1414">
      <c r="A1414" s="10"/>
      <c r="B1414" s="9"/>
      <c r="C1414" s="10"/>
      <c r="D1414" s="10"/>
      <c r="E1414" s="9"/>
      <c r="F1414" s="9"/>
      <c r="G1414" s="9"/>
      <c r="H1414" s="9"/>
      <c r="I1414" s="9"/>
      <c r="J1414" s="9"/>
      <c r="K1414" s="9"/>
      <c r="L1414" s="9"/>
      <c r="M1414" s="9"/>
      <c r="N1414" s="10"/>
      <c r="O1414" s="10"/>
      <c r="P1414" s="9"/>
    </row>
    <row r="1415">
      <c r="A1415" s="10"/>
      <c r="B1415" s="9"/>
      <c r="C1415" s="10"/>
      <c r="D1415" s="10"/>
      <c r="E1415" s="9"/>
      <c r="F1415" s="9"/>
      <c r="G1415" s="9"/>
      <c r="H1415" s="9"/>
      <c r="I1415" s="9"/>
      <c r="J1415" s="9"/>
      <c r="K1415" s="9"/>
      <c r="L1415" s="9"/>
      <c r="M1415" s="9"/>
      <c r="N1415" s="10"/>
      <c r="O1415" s="10"/>
      <c r="P1415" s="9"/>
    </row>
    <row r="1416">
      <c r="A1416" s="10"/>
      <c r="B1416" s="9"/>
      <c r="C1416" s="10"/>
      <c r="D1416" s="10"/>
      <c r="E1416" s="9"/>
      <c r="F1416" s="9"/>
      <c r="G1416" s="9"/>
      <c r="H1416" s="9"/>
      <c r="I1416" s="9"/>
      <c r="J1416" s="9"/>
      <c r="K1416" s="9"/>
      <c r="L1416" s="9"/>
      <c r="M1416" s="9"/>
      <c r="N1416" s="10"/>
      <c r="O1416" s="10"/>
      <c r="P1416" s="9"/>
    </row>
    <row r="1417">
      <c r="A1417" s="10"/>
      <c r="B1417" s="9"/>
      <c r="C1417" s="10"/>
      <c r="D1417" s="10"/>
      <c r="E1417" s="9"/>
      <c r="F1417" s="9"/>
      <c r="G1417" s="9"/>
      <c r="H1417" s="9"/>
      <c r="I1417" s="9"/>
      <c r="J1417" s="9"/>
      <c r="K1417" s="9"/>
      <c r="L1417" s="9"/>
      <c r="M1417" s="9"/>
      <c r="N1417" s="10"/>
      <c r="O1417" s="10"/>
      <c r="P1417" s="9"/>
    </row>
    <row r="1418">
      <c r="A1418" s="10"/>
      <c r="B1418" s="9"/>
      <c r="C1418" s="10"/>
      <c r="D1418" s="10"/>
      <c r="E1418" s="9"/>
      <c r="F1418" s="9"/>
      <c r="G1418" s="9"/>
      <c r="H1418" s="9"/>
      <c r="I1418" s="9"/>
      <c r="J1418" s="9"/>
      <c r="K1418" s="9"/>
      <c r="L1418" s="9"/>
      <c r="M1418" s="9"/>
      <c r="N1418" s="10"/>
      <c r="O1418" s="10"/>
      <c r="P1418" s="9"/>
    </row>
    <row r="1419">
      <c r="A1419" s="10"/>
      <c r="B1419" s="9"/>
      <c r="C1419" s="10"/>
      <c r="D1419" s="10"/>
      <c r="E1419" s="9"/>
      <c r="F1419" s="9"/>
      <c r="G1419" s="9"/>
      <c r="H1419" s="9"/>
      <c r="I1419" s="9"/>
      <c r="J1419" s="9"/>
      <c r="K1419" s="9"/>
      <c r="L1419" s="9"/>
      <c r="M1419" s="9"/>
      <c r="N1419" s="10"/>
      <c r="O1419" s="10"/>
      <c r="P1419" s="9"/>
    </row>
    <row r="1420">
      <c r="A1420" s="10"/>
      <c r="B1420" s="9"/>
      <c r="C1420" s="10"/>
      <c r="D1420" s="10"/>
      <c r="E1420" s="9"/>
      <c r="F1420" s="9"/>
      <c r="G1420" s="9"/>
      <c r="H1420" s="9"/>
      <c r="I1420" s="9"/>
      <c r="J1420" s="9"/>
      <c r="K1420" s="9"/>
      <c r="L1420" s="9"/>
      <c r="M1420" s="9"/>
      <c r="N1420" s="10"/>
      <c r="O1420" s="10"/>
      <c r="P1420" s="9"/>
    </row>
    <row r="1421">
      <c r="A1421" s="10"/>
      <c r="B1421" s="9"/>
      <c r="C1421" s="10"/>
      <c r="D1421" s="10"/>
      <c r="E1421" s="9"/>
      <c r="F1421" s="9"/>
      <c r="G1421" s="9"/>
      <c r="H1421" s="9"/>
      <c r="I1421" s="9"/>
      <c r="J1421" s="9"/>
      <c r="K1421" s="9"/>
      <c r="L1421" s="9"/>
      <c r="M1421" s="9"/>
      <c r="N1421" s="10"/>
      <c r="O1421" s="10"/>
      <c r="P1421" s="9"/>
    </row>
    <row r="1422">
      <c r="A1422" s="10"/>
      <c r="B1422" s="9"/>
      <c r="C1422" s="10"/>
      <c r="D1422" s="10"/>
      <c r="E1422" s="9"/>
      <c r="F1422" s="9"/>
      <c r="G1422" s="9"/>
      <c r="H1422" s="9"/>
      <c r="I1422" s="9"/>
      <c r="J1422" s="9"/>
      <c r="K1422" s="9"/>
      <c r="L1422" s="9"/>
      <c r="M1422" s="9"/>
      <c r="N1422" s="10"/>
      <c r="O1422" s="10"/>
      <c r="P1422" s="9"/>
    </row>
    <row r="1423">
      <c r="A1423" s="10"/>
      <c r="B1423" s="9"/>
      <c r="C1423" s="10"/>
      <c r="D1423" s="10"/>
      <c r="E1423" s="9"/>
      <c r="F1423" s="9"/>
      <c r="G1423" s="9"/>
      <c r="H1423" s="9"/>
      <c r="I1423" s="9"/>
      <c r="J1423" s="9"/>
      <c r="K1423" s="9"/>
      <c r="L1423" s="9"/>
      <c r="M1423" s="9"/>
      <c r="N1423" s="10"/>
      <c r="O1423" s="10"/>
      <c r="P1423" s="9"/>
    </row>
    <row r="1424">
      <c r="A1424" s="10"/>
      <c r="B1424" s="9"/>
      <c r="C1424" s="10"/>
      <c r="D1424" s="10"/>
      <c r="E1424" s="9"/>
      <c r="F1424" s="9"/>
      <c r="G1424" s="9"/>
      <c r="H1424" s="9"/>
      <c r="I1424" s="9"/>
      <c r="J1424" s="9"/>
      <c r="K1424" s="9"/>
      <c r="L1424" s="9"/>
      <c r="M1424" s="9"/>
      <c r="N1424" s="10"/>
      <c r="O1424" s="10"/>
      <c r="P1424" s="9"/>
    </row>
    <row r="1425">
      <c r="A1425" s="10"/>
      <c r="B1425" s="9"/>
      <c r="C1425" s="10"/>
      <c r="D1425" s="10"/>
      <c r="E1425" s="9"/>
      <c r="F1425" s="9"/>
      <c r="G1425" s="9"/>
      <c r="H1425" s="9"/>
      <c r="I1425" s="9"/>
      <c r="J1425" s="9"/>
      <c r="K1425" s="9"/>
      <c r="L1425" s="9"/>
      <c r="M1425" s="9"/>
      <c r="N1425" s="10"/>
      <c r="O1425" s="10"/>
      <c r="P1425" s="9"/>
    </row>
    <row r="1426">
      <c r="A1426" s="10"/>
      <c r="B1426" s="9"/>
      <c r="C1426" s="10"/>
      <c r="D1426" s="10"/>
      <c r="E1426" s="9"/>
      <c r="F1426" s="9"/>
      <c r="G1426" s="9"/>
      <c r="H1426" s="9"/>
      <c r="I1426" s="9"/>
      <c r="J1426" s="9"/>
      <c r="K1426" s="9"/>
      <c r="L1426" s="9"/>
      <c r="M1426" s="9"/>
      <c r="N1426" s="10"/>
      <c r="O1426" s="10"/>
      <c r="P1426" s="9"/>
    </row>
    <row r="1427">
      <c r="A1427" s="10"/>
      <c r="B1427" s="9"/>
      <c r="C1427" s="10"/>
      <c r="D1427" s="10"/>
      <c r="E1427" s="9"/>
      <c r="F1427" s="9"/>
      <c r="G1427" s="9"/>
      <c r="H1427" s="9"/>
      <c r="I1427" s="9"/>
      <c r="J1427" s="9"/>
      <c r="K1427" s="9"/>
      <c r="L1427" s="9"/>
      <c r="M1427" s="9"/>
      <c r="N1427" s="10"/>
      <c r="O1427" s="10"/>
      <c r="P1427" s="9"/>
    </row>
    <row r="1428">
      <c r="A1428" s="10"/>
      <c r="B1428" s="9"/>
      <c r="C1428" s="10"/>
      <c r="D1428" s="10"/>
      <c r="E1428" s="9"/>
      <c r="F1428" s="9"/>
      <c r="G1428" s="9"/>
      <c r="H1428" s="9"/>
      <c r="I1428" s="9"/>
      <c r="J1428" s="9"/>
      <c r="K1428" s="9"/>
      <c r="L1428" s="9"/>
      <c r="M1428" s="9"/>
      <c r="N1428" s="10"/>
      <c r="O1428" s="10"/>
      <c r="P1428" s="9"/>
    </row>
    <row r="1429">
      <c r="A1429" s="10"/>
      <c r="B1429" s="9"/>
      <c r="C1429" s="10"/>
      <c r="D1429" s="10"/>
      <c r="E1429" s="9"/>
      <c r="F1429" s="9"/>
      <c r="G1429" s="9"/>
      <c r="H1429" s="9"/>
      <c r="I1429" s="9"/>
      <c r="J1429" s="9"/>
      <c r="K1429" s="9"/>
      <c r="L1429" s="9"/>
      <c r="M1429" s="9"/>
      <c r="N1429" s="10"/>
      <c r="O1429" s="10"/>
      <c r="P1429" s="9"/>
    </row>
    <row r="1430">
      <c r="A1430" s="10"/>
      <c r="B1430" s="9"/>
      <c r="C1430" s="10"/>
      <c r="D1430" s="10"/>
      <c r="E1430" s="9"/>
      <c r="F1430" s="9"/>
      <c r="G1430" s="9"/>
      <c r="H1430" s="9"/>
      <c r="I1430" s="9"/>
      <c r="J1430" s="9"/>
      <c r="K1430" s="9"/>
      <c r="L1430" s="9"/>
      <c r="M1430" s="9"/>
      <c r="N1430" s="10"/>
      <c r="O1430" s="10"/>
      <c r="P1430" s="9"/>
    </row>
    <row r="1431">
      <c r="A1431" s="10"/>
      <c r="B1431" s="9"/>
      <c r="C1431" s="10"/>
      <c r="D1431" s="10"/>
      <c r="E1431" s="9"/>
      <c r="F1431" s="9"/>
      <c r="G1431" s="9"/>
      <c r="H1431" s="9"/>
      <c r="I1431" s="9"/>
      <c r="J1431" s="9"/>
      <c r="K1431" s="9"/>
      <c r="L1431" s="9"/>
      <c r="M1431" s="9"/>
      <c r="N1431" s="10"/>
      <c r="O1431" s="10"/>
      <c r="P1431" s="9"/>
    </row>
    <row r="1432">
      <c r="A1432" s="10"/>
      <c r="B1432" s="9"/>
      <c r="C1432" s="10"/>
      <c r="D1432" s="10"/>
      <c r="E1432" s="9"/>
      <c r="F1432" s="9"/>
      <c r="G1432" s="9"/>
      <c r="H1432" s="9"/>
      <c r="I1432" s="9"/>
      <c r="J1432" s="9"/>
      <c r="K1432" s="9"/>
      <c r="L1432" s="9"/>
      <c r="M1432" s="9"/>
      <c r="N1432" s="10"/>
      <c r="O1432" s="10"/>
      <c r="P1432" s="9"/>
    </row>
    <row r="1433">
      <c r="A1433" s="10"/>
      <c r="B1433" s="9"/>
      <c r="C1433" s="10"/>
      <c r="D1433" s="10"/>
      <c r="E1433" s="9"/>
      <c r="F1433" s="9"/>
      <c r="G1433" s="9"/>
      <c r="H1433" s="9"/>
      <c r="I1433" s="9"/>
      <c r="J1433" s="9"/>
      <c r="K1433" s="9"/>
      <c r="L1433" s="9"/>
      <c r="M1433" s="9"/>
      <c r="N1433" s="10"/>
      <c r="O1433" s="10"/>
      <c r="P1433" s="9"/>
    </row>
    <row r="1434">
      <c r="A1434" s="10"/>
      <c r="B1434" s="9"/>
      <c r="C1434" s="10"/>
      <c r="D1434" s="10"/>
      <c r="E1434" s="9"/>
      <c r="F1434" s="9"/>
      <c r="G1434" s="9"/>
      <c r="H1434" s="9"/>
      <c r="I1434" s="9"/>
      <c r="J1434" s="9"/>
      <c r="K1434" s="9"/>
      <c r="L1434" s="9"/>
      <c r="M1434" s="9"/>
      <c r="N1434" s="10"/>
      <c r="O1434" s="10"/>
      <c r="P1434" s="9"/>
    </row>
    <row r="1435">
      <c r="A1435" s="10"/>
      <c r="B1435" s="9"/>
      <c r="C1435" s="10"/>
      <c r="D1435" s="10"/>
      <c r="E1435" s="9"/>
      <c r="F1435" s="9"/>
      <c r="G1435" s="9"/>
      <c r="H1435" s="9"/>
      <c r="I1435" s="9"/>
      <c r="J1435" s="9"/>
      <c r="K1435" s="9"/>
      <c r="L1435" s="9"/>
      <c r="M1435" s="9"/>
      <c r="N1435" s="10"/>
      <c r="O1435" s="10"/>
      <c r="P1435" s="9"/>
    </row>
    <row r="1436">
      <c r="A1436" s="10"/>
      <c r="B1436" s="9"/>
      <c r="C1436" s="10"/>
      <c r="D1436" s="10"/>
      <c r="E1436" s="9"/>
      <c r="F1436" s="9"/>
      <c r="G1436" s="9"/>
      <c r="H1436" s="9"/>
      <c r="I1436" s="9"/>
      <c r="J1436" s="9"/>
      <c r="K1436" s="9"/>
      <c r="L1436" s="9"/>
      <c r="M1436" s="9"/>
      <c r="N1436" s="10"/>
      <c r="O1436" s="10"/>
      <c r="P1436" s="9"/>
    </row>
    <row r="1437">
      <c r="A1437" s="10"/>
      <c r="B1437" s="9"/>
      <c r="C1437" s="10"/>
      <c r="D1437" s="10"/>
      <c r="E1437" s="9"/>
      <c r="F1437" s="9"/>
      <c r="G1437" s="9"/>
      <c r="H1437" s="9"/>
      <c r="I1437" s="9"/>
      <c r="J1437" s="9"/>
      <c r="K1437" s="9"/>
      <c r="L1437" s="9"/>
      <c r="M1437" s="9"/>
      <c r="N1437" s="10"/>
      <c r="O1437" s="10"/>
      <c r="P1437" s="9"/>
    </row>
    <row r="1438">
      <c r="A1438" s="10"/>
      <c r="B1438" s="9"/>
      <c r="C1438" s="10"/>
      <c r="D1438" s="10"/>
      <c r="E1438" s="9"/>
      <c r="F1438" s="9"/>
      <c r="G1438" s="9"/>
      <c r="H1438" s="9"/>
      <c r="I1438" s="9"/>
      <c r="J1438" s="9"/>
      <c r="K1438" s="9"/>
      <c r="L1438" s="9"/>
      <c r="M1438" s="9"/>
      <c r="N1438" s="10"/>
      <c r="O1438" s="10"/>
      <c r="P1438" s="9"/>
    </row>
    <row r="1439">
      <c r="A1439" s="10"/>
      <c r="B1439" s="9"/>
      <c r="C1439" s="10"/>
      <c r="D1439" s="10"/>
      <c r="E1439" s="9"/>
      <c r="F1439" s="9"/>
      <c r="G1439" s="9"/>
      <c r="H1439" s="9"/>
      <c r="I1439" s="9"/>
      <c r="J1439" s="9"/>
      <c r="K1439" s="9"/>
      <c r="L1439" s="9"/>
      <c r="M1439" s="9"/>
      <c r="N1439" s="10"/>
      <c r="O1439" s="10"/>
      <c r="P1439" s="9"/>
    </row>
    <row r="1440">
      <c r="A1440" s="10"/>
      <c r="B1440" s="9"/>
      <c r="C1440" s="10"/>
      <c r="D1440" s="10"/>
      <c r="E1440" s="9"/>
      <c r="F1440" s="9"/>
      <c r="G1440" s="9"/>
      <c r="H1440" s="9"/>
      <c r="I1440" s="9"/>
      <c r="J1440" s="9"/>
      <c r="K1440" s="9"/>
      <c r="L1440" s="9"/>
      <c r="M1440" s="9"/>
      <c r="N1440" s="10"/>
      <c r="O1440" s="10"/>
      <c r="P1440" s="9"/>
    </row>
    <row r="1441">
      <c r="A1441" s="10"/>
      <c r="B1441" s="9"/>
      <c r="C1441" s="10"/>
      <c r="D1441" s="10"/>
      <c r="E1441" s="9"/>
      <c r="F1441" s="9"/>
      <c r="G1441" s="9"/>
      <c r="H1441" s="9"/>
      <c r="I1441" s="9"/>
      <c r="J1441" s="9"/>
      <c r="K1441" s="9"/>
      <c r="L1441" s="9"/>
      <c r="M1441" s="9"/>
      <c r="N1441" s="10"/>
      <c r="O1441" s="10"/>
      <c r="P1441" s="9"/>
    </row>
    <row r="1442">
      <c r="A1442" s="10"/>
      <c r="B1442" s="9"/>
      <c r="C1442" s="10"/>
      <c r="D1442" s="10"/>
      <c r="E1442" s="9"/>
      <c r="F1442" s="9"/>
      <c r="G1442" s="9"/>
      <c r="H1442" s="9"/>
      <c r="I1442" s="9"/>
      <c r="J1442" s="9"/>
      <c r="K1442" s="9"/>
      <c r="L1442" s="9"/>
      <c r="M1442" s="9"/>
      <c r="N1442" s="10"/>
      <c r="O1442" s="10"/>
      <c r="P1442" s="9"/>
    </row>
    <row r="1443">
      <c r="A1443" s="10"/>
      <c r="B1443" s="9"/>
      <c r="C1443" s="10"/>
      <c r="D1443" s="10"/>
      <c r="E1443" s="9"/>
      <c r="F1443" s="9"/>
      <c r="G1443" s="9"/>
      <c r="H1443" s="9"/>
      <c r="I1443" s="9"/>
      <c r="J1443" s="9"/>
      <c r="K1443" s="9"/>
      <c r="L1443" s="9"/>
      <c r="M1443" s="9"/>
      <c r="N1443" s="10"/>
      <c r="O1443" s="10"/>
      <c r="P1443" s="9"/>
    </row>
    <row r="1444">
      <c r="A1444" s="10"/>
      <c r="B1444" s="9"/>
      <c r="C1444" s="10"/>
      <c r="D1444" s="10"/>
      <c r="E1444" s="9"/>
      <c r="F1444" s="9"/>
      <c r="G1444" s="9"/>
      <c r="H1444" s="9"/>
      <c r="I1444" s="9"/>
      <c r="J1444" s="9"/>
      <c r="K1444" s="9"/>
      <c r="L1444" s="9"/>
      <c r="M1444" s="9"/>
      <c r="N1444" s="10"/>
      <c r="O1444" s="10"/>
      <c r="P1444" s="9"/>
    </row>
    <row r="1445">
      <c r="A1445" s="10"/>
      <c r="B1445" s="9"/>
      <c r="C1445" s="10"/>
      <c r="D1445" s="10"/>
      <c r="E1445" s="9"/>
      <c r="F1445" s="9"/>
      <c r="G1445" s="9"/>
      <c r="H1445" s="9"/>
      <c r="I1445" s="9"/>
      <c r="J1445" s="9"/>
      <c r="K1445" s="9"/>
      <c r="L1445" s="9"/>
      <c r="M1445" s="9"/>
      <c r="N1445" s="10"/>
      <c r="O1445" s="10"/>
      <c r="P1445" s="9"/>
    </row>
    <row r="1446">
      <c r="A1446" s="10"/>
      <c r="B1446" s="9"/>
      <c r="C1446" s="10"/>
      <c r="D1446" s="10"/>
      <c r="E1446" s="9"/>
      <c r="F1446" s="9"/>
      <c r="G1446" s="9"/>
      <c r="H1446" s="9"/>
      <c r="I1446" s="9"/>
      <c r="J1446" s="9"/>
      <c r="K1446" s="9"/>
      <c r="L1446" s="9"/>
      <c r="M1446" s="9"/>
      <c r="N1446" s="10"/>
      <c r="O1446" s="10"/>
      <c r="P1446" s="9"/>
    </row>
    <row r="1447">
      <c r="A1447" s="10"/>
      <c r="B1447" s="9"/>
      <c r="C1447" s="10"/>
      <c r="D1447" s="10"/>
      <c r="E1447" s="9"/>
      <c r="F1447" s="9"/>
      <c r="G1447" s="9"/>
      <c r="H1447" s="9"/>
      <c r="I1447" s="9"/>
      <c r="J1447" s="9"/>
      <c r="K1447" s="9"/>
      <c r="L1447" s="9"/>
      <c r="M1447" s="9"/>
      <c r="N1447" s="10"/>
      <c r="O1447" s="10"/>
      <c r="P1447" s="9"/>
    </row>
    <row r="1448">
      <c r="A1448" s="10"/>
      <c r="B1448" s="9"/>
      <c r="C1448" s="10"/>
      <c r="D1448" s="10"/>
      <c r="E1448" s="9"/>
      <c r="F1448" s="9"/>
      <c r="G1448" s="9"/>
      <c r="H1448" s="9"/>
      <c r="I1448" s="9"/>
      <c r="J1448" s="9"/>
      <c r="K1448" s="9"/>
      <c r="L1448" s="9"/>
      <c r="M1448" s="9"/>
      <c r="N1448" s="10"/>
      <c r="O1448" s="10"/>
      <c r="P1448" s="9"/>
    </row>
    <row r="1449">
      <c r="A1449" s="10"/>
      <c r="B1449" s="9"/>
      <c r="C1449" s="10"/>
      <c r="D1449" s="10"/>
      <c r="E1449" s="9"/>
      <c r="F1449" s="9"/>
      <c r="G1449" s="9"/>
      <c r="H1449" s="9"/>
      <c r="I1449" s="9"/>
      <c r="J1449" s="9"/>
      <c r="K1449" s="9"/>
      <c r="L1449" s="9"/>
      <c r="M1449" s="9"/>
      <c r="N1449" s="10"/>
      <c r="O1449" s="10"/>
      <c r="P1449" s="9"/>
    </row>
    <row r="1450">
      <c r="A1450" s="10"/>
      <c r="B1450" s="9"/>
      <c r="C1450" s="10"/>
      <c r="D1450" s="10"/>
      <c r="E1450" s="9"/>
      <c r="F1450" s="9"/>
      <c r="G1450" s="9"/>
      <c r="H1450" s="9"/>
      <c r="I1450" s="9"/>
      <c r="J1450" s="9"/>
      <c r="K1450" s="9"/>
      <c r="L1450" s="9"/>
      <c r="M1450" s="9"/>
      <c r="N1450" s="10"/>
      <c r="O1450" s="10"/>
      <c r="P1450" s="9"/>
    </row>
    <row r="1451">
      <c r="A1451" s="10"/>
      <c r="B1451" s="9"/>
      <c r="C1451" s="10"/>
      <c r="D1451" s="10"/>
      <c r="E1451" s="9"/>
      <c r="F1451" s="9"/>
      <c r="G1451" s="9"/>
      <c r="H1451" s="9"/>
      <c r="I1451" s="9"/>
      <c r="J1451" s="9"/>
      <c r="K1451" s="9"/>
      <c r="L1451" s="9"/>
      <c r="M1451" s="9"/>
      <c r="N1451" s="10"/>
      <c r="O1451" s="10"/>
      <c r="P1451" s="9"/>
    </row>
    <row r="1452">
      <c r="A1452" s="10"/>
      <c r="B1452" s="9"/>
      <c r="C1452" s="10"/>
      <c r="D1452" s="10"/>
      <c r="E1452" s="9"/>
      <c r="F1452" s="9"/>
      <c r="G1452" s="9"/>
      <c r="H1452" s="9"/>
      <c r="I1452" s="9"/>
      <c r="J1452" s="9"/>
      <c r="K1452" s="9"/>
      <c r="L1452" s="9"/>
      <c r="M1452" s="9"/>
      <c r="N1452" s="10"/>
      <c r="O1452" s="10"/>
      <c r="P1452" s="9"/>
    </row>
    <row r="1453">
      <c r="A1453" s="10"/>
      <c r="B1453" s="9"/>
      <c r="C1453" s="10"/>
      <c r="D1453" s="10"/>
      <c r="E1453" s="9"/>
      <c r="F1453" s="9"/>
      <c r="G1453" s="9"/>
      <c r="H1453" s="9"/>
      <c r="I1453" s="9"/>
      <c r="J1453" s="9"/>
      <c r="K1453" s="9"/>
      <c r="L1453" s="9"/>
      <c r="M1453" s="9"/>
      <c r="N1453" s="10"/>
      <c r="O1453" s="10"/>
      <c r="P1453" s="9"/>
    </row>
    <row r="1454">
      <c r="A1454" s="10"/>
      <c r="B1454" s="9"/>
      <c r="C1454" s="10"/>
      <c r="D1454" s="10"/>
      <c r="E1454" s="9"/>
      <c r="F1454" s="9"/>
      <c r="G1454" s="9"/>
      <c r="H1454" s="9"/>
      <c r="I1454" s="9"/>
      <c r="J1454" s="9"/>
      <c r="K1454" s="9"/>
      <c r="L1454" s="9"/>
      <c r="M1454" s="9"/>
      <c r="N1454" s="10"/>
      <c r="O1454" s="10"/>
      <c r="P1454" s="9"/>
    </row>
    <row r="1455">
      <c r="A1455" s="10"/>
      <c r="B1455" s="9"/>
      <c r="C1455" s="10"/>
      <c r="D1455" s="10"/>
      <c r="E1455" s="9"/>
      <c r="F1455" s="9"/>
      <c r="G1455" s="9"/>
      <c r="H1455" s="9"/>
      <c r="I1455" s="9"/>
      <c r="J1455" s="9"/>
      <c r="K1455" s="9"/>
      <c r="L1455" s="9"/>
      <c r="M1455" s="9"/>
      <c r="N1455" s="10"/>
      <c r="O1455" s="10"/>
      <c r="P1455" s="9"/>
    </row>
    <row r="1456">
      <c r="A1456" s="10"/>
      <c r="B1456" s="9"/>
      <c r="C1456" s="10"/>
      <c r="D1456" s="10"/>
      <c r="E1456" s="9"/>
      <c r="F1456" s="9"/>
      <c r="G1456" s="9"/>
      <c r="H1456" s="9"/>
      <c r="I1456" s="9"/>
      <c r="J1456" s="9"/>
      <c r="K1456" s="9"/>
      <c r="L1456" s="9"/>
      <c r="M1456" s="9"/>
      <c r="N1456" s="10"/>
      <c r="O1456" s="10"/>
      <c r="P1456" s="9"/>
    </row>
    <row r="1457">
      <c r="A1457" s="10"/>
      <c r="B1457" s="9"/>
      <c r="C1457" s="10"/>
      <c r="D1457" s="10"/>
      <c r="E1457" s="9"/>
      <c r="F1457" s="9"/>
      <c r="G1457" s="9"/>
      <c r="H1457" s="9"/>
      <c r="I1457" s="9"/>
      <c r="J1457" s="9"/>
      <c r="K1457" s="9"/>
      <c r="L1457" s="9"/>
      <c r="M1457" s="9"/>
      <c r="N1457" s="10"/>
      <c r="O1457" s="10"/>
      <c r="P1457" s="9"/>
    </row>
    <row r="1458">
      <c r="A1458" s="10"/>
      <c r="B1458" s="9"/>
      <c r="C1458" s="10"/>
      <c r="D1458" s="10"/>
      <c r="E1458" s="9"/>
      <c r="F1458" s="9"/>
      <c r="G1458" s="9"/>
      <c r="H1458" s="9"/>
      <c r="I1458" s="9"/>
      <c r="J1458" s="9"/>
      <c r="K1458" s="9"/>
      <c r="L1458" s="9"/>
      <c r="M1458" s="9"/>
      <c r="N1458" s="10"/>
      <c r="O1458" s="10"/>
      <c r="P1458" s="9"/>
    </row>
    <row r="1459">
      <c r="A1459" s="10"/>
      <c r="B1459" s="9"/>
      <c r="C1459" s="10"/>
      <c r="D1459" s="10"/>
      <c r="E1459" s="9"/>
      <c r="F1459" s="9"/>
      <c r="G1459" s="9"/>
      <c r="H1459" s="9"/>
      <c r="I1459" s="9"/>
      <c r="J1459" s="9"/>
      <c r="K1459" s="9"/>
      <c r="L1459" s="9"/>
      <c r="M1459" s="9"/>
      <c r="N1459" s="10"/>
      <c r="O1459" s="10"/>
      <c r="P1459" s="9"/>
    </row>
    <row r="1460">
      <c r="A1460" s="10"/>
      <c r="B1460" s="9"/>
      <c r="C1460" s="10"/>
      <c r="D1460" s="10"/>
      <c r="E1460" s="9"/>
      <c r="F1460" s="9"/>
      <c r="G1460" s="9"/>
      <c r="H1460" s="9"/>
      <c r="I1460" s="9"/>
      <c r="J1460" s="9"/>
      <c r="K1460" s="9"/>
      <c r="L1460" s="9"/>
      <c r="M1460" s="9"/>
      <c r="N1460" s="10"/>
      <c r="O1460" s="10"/>
      <c r="P1460" s="9"/>
    </row>
    <row r="1461">
      <c r="A1461" s="10"/>
      <c r="B1461" s="9"/>
      <c r="C1461" s="10"/>
      <c r="D1461" s="10"/>
      <c r="E1461" s="9"/>
      <c r="F1461" s="9"/>
      <c r="G1461" s="9"/>
      <c r="H1461" s="9"/>
      <c r="I1461" s="9"/>
      <c r="J1461" s="9"/>
      <c r="K1461" s="9"/>
      <c r="L1461" s="9"/>
      <c r="M1461" s="9"/>
      <c r="N1461" s="10"/>
      <c r="O1461" s="10"/>
      <c r="P1461" s="9"/>
    </row>
    <row r="1462">
      <c r="A1462" s="10"/>
      <c r="B1462" s="9"/>
      <c r="C1462" s="10"/>
      <c r="D1462" s="10"/>
      <c r="E1462" s="9"/>
      <c r="F1462" s="9"/>
      <c r="G1462" s="9"/>
      <c r="H1462" s="9"/>
      <c r="I1462" s="9"/>
      <c r="J1462" s="9"/>
      <c r="K1462" s="9"/>
      <c r="L1462" s="9"/>
      <c r="M1462" s="9"/>
      <c r="N1462" s="10"/>
      <c r="O1462" s="10"/>
      <c r="P1462" s="9"/>
    </row>
    <row r="1463">
      <c r="A1463" s="10"/>
      <c r="B1463" s="9"/>
      <c r="C1463" s="10"/>
      <c r="D1463" s="10"/>
      <c r="E1463" s="9"/>
      <c r="F1463" s="9"/>
      <c r="G1463" s="9"/>
      <c r="H1463" s="9"/>
      <c r="I1463" s="9"/>
      <c r="J1463" s="9"/>
      <c r="K1463" s="9"/>
      <c r="L1463" s="9"/>
      <c r="M1463" s="9"/>
      <c r="N1463" s="10"/>
      <c r="O1463" s="10"/>
      <c r="P1463" s="9"/>
    </row>
    <row r="1464">
      <c r="A1464" s="10"/>
      <c r="B1464" s="9"/>
      <c r="C1464" s="10"/>
      <c r="D1464" s="10"/>
      <c r="E1464" s="9"/>
      <c r="F1464" s="9"/>
      <c r="G1464" s="9"/>
      <c r="H1464" s="9"/>
      <c r="I1464" s="9"/>
      <c r="J1464" s="9"/>
      <c r="K1464" s="9"/>
      <c r="L1464" s="9"/>
      <c r="M1464" s="9"/>
      <c r="N1464" s="10"/>
      <c r="O1464" s="10"/>
      <c r="P1464" s="9"/>
    </row>
    <row r="1465">
      <c r="A1465" s="10"/>
      <c r="B1465" s="9"/>
      <c r="C1465" s="10"/>
      <c r="D1465" s="10"/>
      <c r="E1465" s="9"/>
      <c r="F1465" s="9"/>
      <c r="G1465" s="9"/>
      <c r="H1465" s="9"/>
      <c r="I1465" s="9"/>
      <c r="J1465" s="9"/>
      <c r="K1465" s="9"/>
      <c r="L1465" s="9"/>
      <c r="M1465" s="9"/>
      <c r="N1465" s="10"/>
      <c r="O1465" s="10"/>
      <c r="P1465" s="9"/>
    </row>
    <row r="1466">
      <c r="A1466" s="10"/>
      <c r="B1466" s="9"/>
      <c r="C1466" s="10"/>
      <c r="D1466" s="10"/>
      <c r="E1466" s="9"/>
      <c r="F1466" s="9"/>
      <c r="G1466" s="9"/>
      <c r="H1466" s="9"/>
      <c r="I1466" s="9"/>
      <c r="J1466" s="9"/>
      <c r="K1466" s="9"/>
      <c r="L1466" s="9"/>
      <c r="M1466" s="9"/>
      <c r="N1466" s="10"/>
      <c r="O1466" s="10"/>
      <c r="P1466" s="9"/>
    </row>
    <row r="1467">
      <c r="A1467" s="10"/>
      <c r="B1467" s="9"/>
      <c r="C1467" s="10"/>
      <c r="D1467" s="10"/>
      <c r="E1467" s="9"/>
      <c r="F1467" s="9"/>
      <c r="G1467" s="9"/>
      <c r="H1467" s="9"/>
      <c r="I1467" s="9"/>
      <c r="J1467" s="9"/>
      <c r="K1467" s="9"/>
      <c r="L1467" s="9"/>
      <c r="M1467" s="9"/>
      <c r="N1467" s="10"/>
      <c r="O1467" s="10"/>
      <c r="P1467" s="9"/>
    </row>
    <row r="1468">
      <c r="A1468" s="10"/>
      <c r="B1468" s="9"/>
      <c r="C1468" s="10"/>
      <c r="D1468" s="10"/>
      <c r="E1468" s="9"/>
      <c r="F1468" s="9"/>
      <c r="G1468" s="9"/>
      <c r="H1468" s="9"/>
      <c r="I1468" s="9"/>
      <c r="J1468" s="9"/>
      <c r="K1468" s="9"/>
      <c r="L1468" s="9"/>
      <c r="M1468" s="9"/>
      <c r="N1468" s="10"/>
      <c r="O1468" s="10"/>
      <c r="P1468" s="9"/>
    </row>
    <row r="1469">
      <c r="A1469" s="10"/>
      <c r="B1469" s="9"/>
      <c r="C1469" s="10"/>
      <c r="D1469" s="10"/>
      <c r="E1469" s="9"/>
      <c r="F1469" s="9"/>
      <c r="G1469" s="9"/>
      <c r="H1469" s="9"/>
      <c r="I1469" s="9"/>
      <c r="J1469" s="9"/>
      <c r="K1469" s="9"/>
      <c r="L1469" s="9"/>
      <c r="M1469" s="9"/>
      <c r="N1469" s="10"/>
      <c r="O1469" s="10"/>
      <c r="P1469" s="9"/>
    </row>
    <row r="1470">
      <c r="A1470" s="10"/>
      <c r="B1470" s="9"/>
      <c r="C1470" s="10"/>
      <c r="D1470" s="10"/>
      <c r="E1470" s="9"/>
      <c r="F1470" s="9"/>
      <c r="G1470" s="9"/>
      <c r="H1470" s="9"/>
      <c r="I1470" s="9"/>
      <c r="J1470" s="9"/>
      <c r="K1470" s="9"/>
      <c r="L1470" s="9"/>
      <c r="M1470" s="9"/>
      <c r="N1470" s="10"/>
      <c r="O1470" s="10"/>
      <c r="P1470" s="9"/>
    </row>
    <row r="1471">
      <c r="A1471" s="10"/>
      <c r="B1471" s="9"/>
      <c r="C1471" s="10"/>
      <c r="D1471" s="10"/>
      <c r="E1471" s="9"/>
      <c r="F1471" s="9"/>
      <c r="G1471" s="9"/>
      <c r="H1471" s="9"/>
      <c r="I1471" s="9"/>
      <c r="J1471" s="9"/>
      <c r="K1471" s="9"/>
      <c r="L1471" s="9"/>
      <c r="M1471" s="9"/>
      <c r="N1471" s="10"/>
      <c r="O1471" s="10"/>
      <c r="P1471" s="9"/>
    </row>
    <row r="1472">
      <c r="A1472" s="10"/>
      <c r="B1472" s="9"/>
      <c r="C1472" s="10"/>
      <c r="D1472" s="10"/>
      <c r="E1472" s="9"/>
      <c r="F1472" s="9"/>
      <c r="G1472" s="9"/>
      <c r="H1472" s="9"/>
      <c r="I1472" s="9"/>
      <c r="J1472" s="9"/>
      <c r="K1472" s="9"/>
      <c r="L1472" s="9"/>
      <c r="M1472" s="9"/>
      <c r="N1472" s="10"/>
      <c r="O1472" s="10"/>
      <c r="P1472" s="9"/>
    </row>
    <row r="1473">
      <c r="A1473" s="10"/>
      <c r="B1473" s="9"/>
      <c r="C1473" s="10"/>
      <c r="D1473" s="10"/>
      <c r="E1473" s="9"/>
      <c r="F1473" s="9"/>
      <c r="G1473" s="9"/>
      <c r="H1473" s="9"/>
      <c r="I1473" s="9"/>
      <c r="J1473" s="9"/>
      <c r="K1473" s="9"/>
      <c r="L1473" s="9"/>
      <c r="M1473" s="9"/>
      <c r="N1473" s="10"/>
      <c r="O1473" s="10"/>
      <c r="P1473" s="9"/>
    </row>
    <row r="1474">
      <c r="A1474" s="10"/>
      <c r="B1474" s="9"/>
      <c r="C1474" s="10"/>
      <c r="D1474" s="10"/>
      <c r="E1474" s="9"/>
      <c r="F1474" s="9"/>
      <c r="G1474" s="9"/>
      <c r="H1474" s="9"/>
      <c r="I1474" s="9"/>
      <c r="J1474" s="9"/>
      <c r="K1474" s="9"/>
      <c r="L1474" s="9"/>
      <c r="M1474" s="9"/>
      <c r="N1474" s="10"/>
      <c r="O1474" s="10"/>
      <c r="P1474" s="9"/>
    </row>
    <row r="1475">
      <c r="A1475" s="10"/>
      <c r="B1475" s="9"/>
      <c r="C1475" s="10"/>
      <c r="D1475" s="10"/>
      <c r="E1475" s="9"/>
      <c r="F1475" s="9"/>
      <c r="G1475" s="9"/>
      <c r="H1475" s="9"/>
      <c r="I1475" s="9"/>
      <c r="J1475" s="9"/>
      <c r="K1475" s="9"/>
      <c r="L1475" s="9"/>
      <c r="M1475" s="9"/>
      <c r="N1475" s="10"/>
      <c r="O1475" s="10"/>
      <c r="P1475" s="9"/>
    </row>
    <row r="1476">
      <c r="A1476" s="10"/>
      <c r="B1476" s="9"/>
      <c r="C1476" s="10"/>
      <c r="D1476" s="10"/>
      <c r="E1476" s="9"/>
      <c r="F1476" s="9"/>
      <c r="G1476" s="9"/>
      <c r="H1476" s="9"/>
      <c r="I1476" s="9"/>
      <c r="J1476" s="9"/>
      <c r="K1476" s="9"/>
      <c r="L1476" s="9"/>
      <c r="M1476" s="9"/>
      <c r="N1476" s="10"/>
      <c r="O1476" s="10"/>
      <c r="P1476" s="9"/>
    </row>
    <row r="1477">
      <c r="A1477" s="10"/>
      <c r="B1477" s="9"/>
      <c r="C1477" s="10"/>
      <c r="D1477" s="10"/>
      <c r="E1477" s="9"/>
      <c r="F1477" s="9"/>
      <c r="G1477" s="9"/>
      <c r="H1477" s="9"/>
      <c r="I1477" s="9"/>
      <c r="J1477" s="9"/>
      <c r="K1477" s="9"/>
      <c r="L1477" s="9"/>
      <c r="M1477" s="9"/>
      <c r="N1477" s="10"/>
      <c r="O1477" s="10"/>
      <c r="P1477" s="9"/>
    </row>
    <row r="1478">
      <c r="A1478" s="10"/>
      <c r="B1478" s="9"/>
      <c r="C1478" s="10"/>
      <c r="D1478" s="10"/>
      <c r="E1478" s="9"/>
      <c r="F1478" s="9"/>
      <c r="G1478" s="9"/>
      <c r="H1478" s="9"/>
      <c r="I1478" s="9"/>
      <c r="J1478" s="9"/>
      <c r="K1478" s="9"/>
      <c r="L1478" s="9"/>
      <c r="M1478" s="9"/>
      <c r="N1478" s="10"/>
      <c r="O1478" s="10"/>
      <c r="P1478" s="9"/>
    </row>
    <row r="1479">
      <c r="A1479" s="10"/>
      <c r="B1479" s="9"/>
      <c r="C1479" s="10"/>
      <c r="D1479" s="10"/>
      <c r="E1479" s="9"/>
      <c r="F1479" s="9"/>
      <c r="G1479" s="9"/>
      <c r="H1479" s="9"/>
      <c r="I1479" s="9"/>
      <c r="J1479" s="9"/>
      <c r="K1479" s="9"/>
      <c r="L1479" s="9"/>
      <c r="M1479" s="9"/>
      <c r="N1479" s="10"/>
      <c r="O1479" s="10"/>
      <c r="P1479" s="9"/>
    </row>
    <row r="1480">
      <c r="A1480" s="10"/>
      <c r="B1480" s="9"/>
      <c r="C1480" s="10"/>
      <c r="D1480" s="10"/>
      <c r="E1480" s="9"/>
      <c r="F1480" s="9"/>
      <c r="G1480" s="9"/>
      <c r="H1480" s="9"/>
      <c r="I1480" s="9"/>
      <c r="J1480" s="9"/>
      <c r="K1480" s="9"/>
      <c r="L1480" s="9"/>
      <c r="M1480" s="9"/>
      <c r="N1480" s="10"/>
      <c r="O1480" s="10"/>
      <c r="P1480" s="9"/>
    </row>
    <row r="1481">
      <c r="A1481" s="10"/>
      <c r="B1481" s="9"/>
      <c r="C1481" s="10"/>
      <c r="D1481" s="10"/>
      <c r="E1481" s="9"/>
      <c r="F1481" s="9"/>
      <c r="G1481" s="9"/>
      <c r="H1481" s="9"/>
      <c r="I1481" s="9"/>
      <c r="J1481" s="9"/>
      <c r="K1481" s="9"/>
      <c r="L1481" s="9"/>
      <c r="M1481" s="9"/>
      <c r="N1481" s="10"/>
      <c r="O1481" s="10"/>
      <c r="P1481" s="9"/>
    </row>
    <row r="1482">
      <c r="A1482" s="10"/>
      <c r="B1482" s="9"/>
      <c r="C1482" s="10"/>
      <c r="D1482" s="10"/>
      <c r="E1482" s="9"/>
      <c r="F1482" s="9"/>
      <c r="G1482" s="9"/>
      <c r="H1482" s="9"/>
      <c r="I1482" s="9"/>
      <c r="J1482" s="9"/>
      <c r="K1482" s="9"/>
      <c r="L1482" s="9"/>
      <c r="M1482" s="9"/>
      <c r="N1482" s="10"/>
      <c r="O1482" s="10"/>
      <c r="P1482" s="9"/>
    </row>
    <row r="1483">
      <c r="A1483" s="10"/>
      <c r="B1483" s="9"/>
      <c r="C1483" s="10"/>
      <c r="D1483" s="10"/>
      <c r="E1483" s="9"/>
      <c r="F1483" s="9"/>
      <c r="G1483" s="9"/>
      <c r="H1483" s="9"/>
      <c r="I1483" s="9"/>
      <c r="J1483" s="9"/>
      <c r="K1483" s="9"/>
      <c r="L1483" s="9"/>
      <c r="M1483" s="9"/>
      <c r="N1483" s="10"/>
      <c r="O1483" s="10"/>
      <c r="P1483" s="9"/>
    </row>
    <row r="1484">
      <c r="A1484" s="10"/>
      <c r="B1484" s="9"/>
      <c r="C1484" s="10"/>
      <c r="D1484" s="10"/>
      <c r="E1484" s="9"/>
      <c r="F1484" s="9"/>
      <c r="G1484" s="9"/>
      <c r="H1484" s="9"/>
      <c r="I1484" s="9"/>
      <c r="J1484" s="9"/>
      <c r="K1484" s="9"/>
      <c r="L1484" s="9"/>
      <c r="M1484" s="9"/>
      <c r="N1484" s="10"/>
      <c r="O1484" s="10"/>
      <c r="P1484" s="9"/>
    </row>
    <row r="1485">
      <c r="A1485" s="10"/>
      <c r="B1485" s="9"/>
      <c r="C1485" s="10"/>
      <c r="D1485" s="10"/>
      <c r="E1485" s="9"/>
      <c r="F1485" s="9"/>
      <c r="G1485" s="9"/>
      <c r="H1485" s="9"/>
      <c r="I1485" s="9"/>
      <c r="J1485" s="9"/>
      <c r="K1485" s="9"/>
      <c r="L1485" s="9"/>
      <c r="M1485" s="9"/>
      <c r="N1485" s="10"/>
      <c r="O1485" s="10"/>
      <c r="P1485" s="9"/>
    </row>
    <row r="1486">
      <c r="A1486" s="10"/>
      <c r="B1486" s="9"/>
      <c r="C1486" s="10"/>
      <c r="D1486" s="10"/>
      <c r="E1486" s="9"/>
      <c r="F1486" s="9"/>
      <c r="G1486" s="9"/>
      <c r="H1486" s="9"/>
      <c r="I1486" s="9"/>
      <c r="J1486" s="9"/>
      <c r="K1486" s="9"/>
      <c r="L1486" s="9"/>
      <c r="M1486" s="9"/>
      <c r="N1486" s="10"/>
      <c r="O1486" s="10"/>
      <c r="P1486" s="9"/>
    </row>
    <row r="1487">
      <c r="A1487" s="10"/>
      <c r="B1487" s="9"/>
      <c r="C1487" s="10"/>
      <c r="D1487" s="10"/>
      <c r="E1487" s="9"/>
      <c r="F1487" s="9"/>
      <c r="G1487" s="9"/>
      <c r="H1487" s="9"/>
      <c r="I1487" s="9"/>
      <c r="J1487" s="9"/>
      <c r="K1487" s="9"/>
      <c r="L1487" s="9"/>
      <c r="M1487" s="9"/>
      <c r="N1487" s="10"/>
      <c r="O1487" s="10"/>
      <c r="P1487" s="9"/>
    </row>
    <row r="1488">
      <c r="A1488" s="10"/>
      <c r="B1488" s="9"/>
      <c r="C1488" s="10"/>
      <c r="D1488" s="10"/>
      <c r="E1488" s="9"/>
      <c r="F1488" s="9"/>
      <c r="G1488" s="9"/>
      <c r="H1488" s="9"/>
      <c r="I1488" s="9"/>
      <c r="J1488" s="9"/>
      <c r="K1488" s="9"/>
      <c r="L1488" s="9"/>
      <c r="M1488" s="9"/>
      <c r="N1488" s="10"/>
      <c r="O1488" s="10"/>
      <c r="P1488" s="9"/>
    </row>
    <row r="1489">
      <c r="A1489" s="10"/>
      <c r="B1489" s="9"/>
      <c r="C1489" s="10"/>
      <c r="D1489" s="10"/>
      <c r="E1489" s="9"/>
      <c r="F1489" s="9"/>
      <c r="G1489" s="9"/>
      <c r="H1489" s="9"/>
      <c r="I1489" s="9"/>
      <c r="J1489" s="9"/>
      <c r="K1489" s="9"/>
      <c r="L1489" s="9"/>
      <c r="M1489" s="9"/>
      <c r="N1489" s="10"/>
      <c r="O1489" s="10"/>
      <c r="P1489" s="9"/>
    </row>
    <row r="1490">
      <c r="A1490" s="10"/>
      <c r="B1490" s="9"/>
      <c r="C1490" s="10"/>
      <c r="D1490" s="10"/>
      <c r="E1490" s="9"/>
      <c r="F1490" s="9"/>
      <c r="G1490" s="9"/>
      <c r="H1490" s="9"/>
      <c r="I1490" s="9"/>
      <c r="J1490" s="9"/>
      <c r="K1490" s="9"/>
      <c r="L1490" s="9"/>
      <c r="M1490" s="9"/>
      <c r="N1490" s="10"/>
      <c r="O1490" s="10"/>
      <c r="P1490" s="9"/>
    </row>
    <row r="1491">
      <c r="A1491" s="10"/>
      <c r="B1491" s="9"/>
      <c r="C1491" s="10"/>
      <c r="D1491" s="10"/>
      <c r="E1491" s="9"/>
      <c r="F1491" s="9"/>
      <c r="G1491" s="9"/>
      <c r="H1491" s="9"/>
      <c r="I1491" s="9"/>
      <c r="J1491" s="9"/>
      <c r="K1491" s="9"/>
      <c r="L1491" s="9"/>
      <c r="M1491" s="9"/>
      <c r="N1491" s="10"/>
      <c r="O1491" s="10"/>
      <c r="P1491" s="9"/>
    </row>
    <row r="1492">
      <c r="A1492" s="10"/>
      <c r="B1492" s="9"/>
      <c r="C1492" s="10"/>
      <c r="D1492" s="10"/>
      <c r="E1492" s="9"/>
      <c r="F1492" s="9"/>
      <c r="G1492" s="9"/>
      <c r="H1492" s="9"/>
      <c r="I1492" s="9"/>
      <c r="J1492" s="9"/>
      <c r="K1492" s="9"/>
      <c r="L1492" s="9"/>
      <c r="M1492" s="9"/>
      <c r="N1492" s="10"/>
      <c r="O1492" s="10"/>
      <c r="P1492" s="9"/>
    </row>
    <row r="1493">
      <c r="A1493" s="10"/>
      <c r="B1493" s="9"/>
      <c r="C1493" s="10"/>
      <c r="D1493" s="10"/>
      <c r="E1493" s="9"/>
      <c r="F1493" s="9"/>
      <c r="G1493" s="9"/>
      <c r="H1493" s="9"/>
      <c r="I1493" s="9"/>
      <c r="J1493" s="9"/>
      <c r="K1493" s="9"/>
      <c r="L1493" s="9"/>
      <c r="M1493" s="9"/>
      <c r="N1493" s="10"/>
      <c r="O1493" s="10"/>
      <c r="P1493" s="9"/>
    </row>
    <row r="1494">
      <c r="A1494" s="10"/>
      <c r="B1494" s="9"/>
      <c r="C1494" s="10"/>
      <c r="D1494" s="10"/>
      <c r="E1494" s="9"/>
      <c r="F1494" s="9"/>
      <c r="G1494" s="9"/>
      <c r="H1494" s="9"/>
      <c r="I1494" s="9"/>
      <c r="J1494" s="9"/>
      <c r="K1494" s="9"/>
      <c r="L1494" s="9"/>
      <c r="M1494" s="9"/>
      <c r="N1494" s="10"/>
      <c r="O1494" s="10"/>
      <c r="P1494" s="9"/>
    </row>
    <row r="1495">
      <c r="A1495" s="10"/>
      <c r="B1495" s="9"/>
      <c r="C1495" s="10"/>
      <c r="D1495" s="10"/>
      <c r="E1495" s="9"/>
      <c r="F1495" s="9"/>
      <c r="G1495" s="9"/>
      <c r="H1495" s="9"/>
      <c r="I1495" s="9"/>
      <c r="J1495" s="9"/>
      <c r="K1495" s="9"/>
      <c r="L1495" s="9"/>
      <c r="M1495" s="9"/>
      <c r="N1495" s="10"/>
      <c r="O1495" s="10"/>
      <c r="P1495" s="9"/>
    </row>
    <row r="1496">
      <c r="A1496" s="10"/>
      <c r="B1496" s="9"/>
      <c r="C1496" s="10"/>
      <c r="D1496" s="10"/>
      <c r="E1496" s="9"/>
      <c r="F1496" s="9"/>
      <c r="G1496" s="9"/>
      <c r="H1496" s="9"/>
      <c r="I1496" s="9"/>
      <c r="J1496" s="9"/>
      <c r="K1496" s="9"/>
      <c r="L1496" s="9"/>
      <c r="M1496" s="9"/>
      <c r="N1496" s="10"/>
      <c r="O1496" s="10"/>
      <c r="P1496" s="9"/>
    </row>
    <row r="1497">
      <c r="A1497" s="10"/>
      <c r="B1497" s="9"/>
      <c r="C1497" s="10"/>
      <c r="D1497" s="10"/>
      <c r="E1497" s="9"/>
      <c r="F1497" s="9"/>
      <c r="G1497" s="9"/>
      <c r="H1497" s="9"/>
      <c r="I1497" s="9"/>
      <c r="J1497" s="9"/>
      <c r="K1497" s="9"/>
      <c r="L1497" s="9"/>
      <c r="M1497" s="9"/>
      <c r="N1497" s="10"/>
      <c r="O1497" s="10"/>
      <c r="P1497" s="9"/>
    </row>
    <row r="1498">
      <c r="A1498" s="10"/>
      <c r="B1498" s="9"/>
      <c r="C1498" s="10"/>
      <c r="D1498" s="10"/>
      <c r="E1498" s="9"/>
      <c r="F1498" s="9"/>
      <c r="G1498" s="9"/>
      <c r="H1498" s="9"/>
      <c r="I1498" s="9"/>
      <c r="J1498" s="9"/>
      <c r="K1498" s="9"/>
      <c r="L1498" s="9"/>
      <c r="M1498" s="9"/>
      <c r="N1498" s="10"/>
      <c r="O1498" s="10"/>
      <c r="P1498" s="9"/>
    </row>
    <row r="1499">
      <c r="A1499" s="10"/>
      <c r="B1499" s="9"/>
      <c r="C1499" s="10"/>
      <c r="D1499" s="10"/>
      <c r="E1499" s="9"/>
      <c r="F1499" s="9"/>
      <c r="G1499" s="9"/>
      <c r="H1499" s="9"/>
      <c r="I1499" s="9"/>
      <c r="J1499" s="9"/>
      <c r="K1499" s="9"/>
      <c r="L1499" s="9"/>
      <c r="M1499" s="9"/>
      <c r="N1499" s="10"/>
      <c r="O1499" s="10"/>
      <c r="P1499" s="9"/>
    </row>
    <row r="1500">
      <c r="A1500" s="10"/>
      <c r="B1500" s="9"/>
      <c r="C1500" s="10"/>
      <c r="D1500" s="10"/>
      <c r="E1500" s="9"/>
      <c r="F1500" s="9"/>
      <c r="G1500" s="9"/>
      <c r="H1500" s="9"/>
      <c r="I1500" s="9"/>
      <c r="J1500" s="9"/>
      <c r="K1500" s="9"/>
      <c r="L1500" s="9"/>
      <c r="M1500" s="9"/>
      <c r="N1500" s="10"/>
      <c r="O1500" s="10"/>
      <c r="P1500" s="9"/>
    </row>
    <row r="1501">
      <c r="A1501" s="10"/>
      <c r="B1501" s="9"/>
      <c r="C1501" s="10"/>
      <c r="D1501" s="10"/>
      <c r="E1501" s="9"/>
      <c r="F1501" s="9"/>
      <c r="G1501" s="9"/>
      <c r="H1501" s="9"/>
      <c r="I1501" s="9"/>
      <c r="J1501" s="9"/>
      <c r="K1501" s="9"/>
      <c r="L1501" s="9"/>
      <c r="M1501" s="9"/>
      <c r="N1501" s="10"/>
      <c r="O1501" s="10"/>
      <c r="P1501" s="9"/>
    </row>
    <row r="1502">
      <c r="A1502" s="10"/>
      <c r="B1502" s="9"/>
      <c r="C1502" s="10"/>
      <c r="D1502" s="10"/>
      <c r="E1502" s="9"/>
      <c r="F1502" s="9"/>
      <c r="G1502" s="9"/>
      <c r="H1502" s="9"/>
      <c r="I1502" s="9"/>
      <c r="J1502" s="9"/>
      <c r="K1502" s="9"/>
      <c r="L1502" s="9"/>
      <c r="M1502" s="9"/>
      <c r="N1502" s="10"/>
      <c r="O1502" s="10"/>
      <c r="P1502" s="9"/>
    </row>
    <row r="1503">
      <c r="A1503" s="10"/>
      <c r="B1503" s="9"/>
      <c r="C1503" s="10"/>
      <c r="D1503" s="10"/>
      <c r="E1503" s="9"/>
      <c r="F1503" s="9"/>
      <c r="G1503" s="9"/>
      <c r="H1503" s="9"/>
      <c r="I1503" s="9"/>
      <c r="J1503" s="9"/>
      <c r="K1503" s="9"/>
      <c r="L1503" s="9"/>
      <c r="M1503" s="9"/>
      <c r="N1503" s="10"/>
      <c r="O1503" s="10"/>
      <c r="P1503" s="9"/>
    </row>
    <row r="1504">
      <c r="A1504" s="10"/>
      <c r="B1504" s="9"/>
      <c r="C1504" s="10"/>
      <c r="D1504" s="10"/>
      <c r="E1504" s="9"/>
      <c r="F1504" s="9"/>
      <c r="G1504" s="9"/>
      <c r="H1504" s="9"/>
      <c r="I1504" s="9"/>
      <c r="J1504" s="9"/>
      <c r="K1504" s="9"/>
      <c r="L1504" s="9"/>
      <c r="M1504" s="9"/>
      <c r="N1504" s="10"/>
      <c r="O1504" s="10"/>
      <c r="P1504" s="9"/>
    </row>
    <row r="1505">
      <c r="A1505" s="10"/>
      <c r="B1505" s="9"/>
      <c r="C1505" s="10"/>
      <c r="D1505" s="10"/>
      <c r="E1505" s="9"/>
      <c r="F1505" s="9"/>
      <c r="G1505" s="9"/>
      <c r="H1505" s="9"/>
      <c r="I1505" s="9"/>
      <c r="J1505" s="9"/>
      <c r="K1505" s="9"/>
      <c r="L1505" s="9"/>
      <c r="M1505" s="9"/>
      <c r="N1505" s="10"/>
      <c r="O1505" s="10"/>
      <c r="P1505" s="9"/>
    </row>
    <row r="1506">
      <c r="A1506" s="10"/>
      <c r="B1506" s="9"/>
      <c r="C1506" s="10"/>
      <c r="D1506" s="10"/>
      <c r="E1506" s="9"/>
      <c r="F1506" s="9"/>
      <c r="G1506" s="9"/>
      <c r="H1506" s="9"/>
      <c r="I1506" s="9"/>
      <c r="J1506" s="9"/>
      <c r="K1506" s="9"/>
      <c r="L1506" s="9"/>
      <c r="M1506" s="9"/>
      <c r="N1506" s="10"/>
      <c r="O1506" s="10"/>
      <c r="P1506" s="9"/>
    </row>
    <row r="1507">
      <c r="A1507" s="10"/>
      <c r="B1507" s="9"/>
      <c r="C1507" s="10"/>
      <c r="D1507" s="10"/>
      <c r="E1507" s="9"/>
      <c r="F1507" s="9"/>
      <c r="G1507" s="9"/>
      <c r="H1507" s="9"/>
      <c r="I1507" s="9"/>
      <c r="J1507" s="9"/>
      <c r="K1507" s="9"/>
      <c r="L1507" s="9"/>
      <c r="M1507" s="9"/>
      <c r="N1507" s="10"/>
      <c r="O1507" s="10"/>
      <c r="P1507" s="9"/>
    </row>
    <row r="1508">
      <c r="A1508" s="10"/>
      <c r="B1508" s="9"/>
      <c r="C1508" s="10"/>
      <c r="D1508" s="10"/>
      <c r="E1508" s="9"/>
      <c r="F1508" s="9"/>
      <c r="G1508" s="9"/>
      <c r="H1508" s="9"/>
      <c r="I1508" s="9"/>
      <c r="J1508" s="9"/>
      <c r="K1508" s="9"/>
      <c r="L1508" s="9"/>
      <c r="M1508" s="9"/>
      <c r="N1508" s="10"/>
      <c r="O1508" s="10"/>
      <c r="P1508" s="9"/>
    </row>
    <row r="1509">
      <c r="A1509" s="10"/>
      <c r="B1509" s="9"/>
      <c r="C1509" s="10"/>
      <c r="D1509" s="10"/>
      <c r="E1509" s="9"/>
      <c r="F1509" s="9"/>
      <c r="G1509" s="9"/>
      <c r="H1509" s="9"/>
      <c r="I1509" s="9"/>
      <c r="J1509" s="9"/>
      <c r="K1509" s="9"/>
      <c r="L1509" s="9"/>
      <c r="M1509" s="9"/>
      <c r="N1509" s="10"/>
      <c r="O1509" s="10"/>
      <c r="P1509" s="9"/>
    </row>
    <row r="1510">
      <c r="A1510" s="10"/>
      <c r="B1510" s="9"/>
      <c r="C1510" s="10"/>
      <c r="D1510" s="10"/>
      <c r="E1510" s="9"/>
      <c r="F1510" s="9"/>
      <c r="G1510" s="9"/>
      <c r="H1510" s="9"/>
      <c r="I1510" s="9"/>
      <c r="J1510" s="9"/>
      <c r="K1510" s="9"/>
      <c r="L1510" s="9"/>
      <c r="M1510" s="9"/>
      <c r="N1510" s="10"/>
      <c r="O1510" s="10"/>
      <c r="P1510" s="9"/>
    </row>
    <row r="1511">
      <c r="A1511" s="10"/>
      <c r="B1511" s="9"/>
      <c r="C1511" s="10"/>
      <c r="D1511" s="10"/>
      <c r="E1511" s="9"/>
      <c r="F1511" s="9"/>
      <c r="G1511" s="9"/>
      <c r="H1511" s="9"/>
      <c r="I1511" s="9"/>
      <c r="J1511" s="9"/>
      <c r="K1511" s="9"/>
      <c r="L1511" s="9"/>
      <c r="M1511" s="9"/>
      <c r="N1511" s="10"/>
      <c r="O1511" s="10"/>
      <c r="P1511" s="9"/>
    </row>
    <row r="1512">
      <c r="A1512" s="10"/>
      <c r="B1512" s="9"/>
      <c r="C1512" s="10"/>
      <c r="D1512" s="10"/>
      <c r="E1512" s="9"/>
      <c r="F1512" s="9"/>
      <c r="G1512" s="9"/>
      <c r="H1512" s="9"/>
      <c r="I1512" s="9"/>
      <c r="J1512" s="9"/>
      <c r="K1512" s="9"/>
      <c r="L1512" s="9"/>
      <c r="M1512" s="9"/>
      <c r="N1512" s="10"/>
      <c r="O1512" s="10"/>
      <c r="P1512" s="9"/>
    </row>
    <row r="1513">
      <c r="A1513" s="10"/>
      <c r="B1513" s="9"/>
      <c r="C1513" s="10"/>
      <c r="D1513" s="10"/>
      <c r="E1513" s="9"/>
      <c r="F1513" s="9"/>
      <c r="G1513" s="9"/>
      <c r="H1513" s="9"/>
      <c r="I1513" s="9"/>
      <c r="J1513" s="9"/>
      <c r="K1513" s="9"/>
      <c r="L1513" s="9"/>
      <c r="M1513" s="9"/>
      <c r="N1513" s="10"/>
      <c r="O1513" s="10"/>
      <c r="P1513" s="9"/>
    </row>
    <row r="1514">
      <c r="A1514" s="10"/>
      <c r="B1514" s="9"/>
      <c r="C1514" s="10"/>
      <c r="D1514" s="10"/>
      <c r="E1514" s="9"/>
      <c r="F1514" s="9"/>
      <c r="G1514" s="9"/>
      <c r="H1514" s="9"/>
      <c r="I1514" s="9"/>
      <c r="J1514" s="9"/>
      <c r="K1514" s="9"/>
      <c r="L1514" s="9"/>
      <c r="M1514" s="9"/>
      <c r="N1514" s="10"/>
      <c r="O1514" s="10"/>
      <c r="P1514" s="9"/>
    </row>
    <row r="1515">
      <c r="A1515" s="10"/>
      <c r="B1515" s="9"/>
      <c r="C1515" s="10"/>
      <c r="D1515" s="10"/>
      <c r="E1515" s="9"/>
      <c r="F1515" s="9"/>
      <c r="G1515" s="9"/>
      <c r="H1515" s="9"/>
      <c r="I1515" s="9"/>
      <c r="J1515" s="9"/>
      <c r="K1515" s="9"/>
      <c r="L1515" s="9"/>
      <c r="M1515" s="9"/>
      <c r="N1515" s="10"/>
      <c r="O1515" s="10"/>
      <c r="P1515" s="9"/>
    </row>
    <row r="1516">
      <c r="A1516" s="10"/>
      <c r="B1516" s="9"/>
      <c r="C1516" s="10"/>
      <c r="D1516" s="10"/>
      <c r="E1516" s="9"/>
      <c r="F1516" s="9"/>
      <c r="G1516" s="9"/>
      <c r="H1516" s="9"/>
      <c r="I1516" s="9"/>
      <c r="J1516" s="9"/>
      <c r="K1516" s="9"/>
      <c r="L1516" s="9"/>
      <c r="M1516" s="9"/>
      <c r="N1516" s="10"/>
      <c r="O1516" s="10"/>
      <c r="P1516" s="9"/>
    </row>
    <row r="1517">
      <c r="A1517" s="10"/>
      <c r="B1517" s="9"/>
      <c r="C1517" s="10"/>
      <c r="D1517" s="10"/>
      <c r="E1517" s="9"/>
      <c r="F1517" s="9"/>
      <c r="G1517" s="9"/>
      <c r="H1517" s="9"/>
      <c r="I1517" s="9"/>
      <c r="J1517" s="9"/>
      <c r="K1517" s="9"/>
      <c r="L1517" s="9"/>
      <c r="M1517" s="9"/>
      <c r="N1517" s="10"/>
      <c r="O1517" s="10"/>
      <c r="P1517" s="9"/>
    </row>
    <row r="1518">
      <c r="A1518" s="10"/>
      <c r="B1518" s="9"/>
      <c r="C1518" s="10"/>
      <c r="D1518" s="10"/>
      <c r="E1518" s="9"/>
      <c r="F1518" s="9"/>
      <c r="G1518" s="9"/>
      <c r="H1518" s="9"/>
      <c r="I1518" s="9"/>
      <c r="J1518" s="9"/>
      <c r="K1518" s="9"/>
      <c r="L1518" s="9"/>
      <c r="M1518" s="9"/>
      <c r="N1518" s="10"/>
      <c r="O1518" s="10"/>
      <c r="P1518" s="9"/>
    </row>
    <row r="1519">
      <c r="A1519" s="10"/>
      <c r="B1519" s="9"/>
      <c r="C1519" s="10"/>
      <c r="D1519" s="10"/>
      <c r="E1519" s="9"/>
      <c r="F1519" s="9"/>
      <c r="G1519" s="9"/>
      <c r="H1519" s="9"/>
      <c r="I1519" s="9"/>
      <c r="J1519" s="9"/>
      <c r="K1519" s="9"/>
      <c r="L1519" s="9"/>
      <c r="M1519" s="9"/>
      <c r="N1519" s="10"/>
      <c r="O1519" s="10"/>
      <c r="P1519" s="9"/>
    </row>
    <row r="1520">
      <c r="A1520" s="10"/>
      <c r="B1520" s="9"/>
      <c r="C1520" s="10"/>
      <c r="D1520" s="10"/>
      <c r="E1520" s="9"/>
      <c r="F1520" s="9"/>
      <c r="G1520" s="9"/>
      <c r="H1520" s="9"/>
      <c r="I1520" s="9"/>
      <c r="J1520" s="9"/>
      <c r="K1520" s="9"/>
      <c r="L1520" s="9"/>
      <c r="M1520" s="9"/>
      <c r="N1520" s="10"/>
      <c r="O1520" s="10"/>
      <c r="P1520" s="9"/>
    </row>
    <row r="1521">
      <c r="A1521" s="10"/>
      <c r="B1521" s="9"/>
      <c r="C1521" s="10"/>
      <c r="D1521" s="10"/>
      <c r="E1521" s="9"/>
      <c r="F1521" s="9"/>
      <c r="G1521" s="9"/>
      <c r="H1521" s="9"/>
      <c r="I1521" s="9"/>
      <c r="J1521" s="9"/>
      <c r="K1521" s="9"/>
      <c r="L1521" s="9"/>
      <c r="M1521" s="9"/>
      <c r="N1521" s="10"/>
      <c r="O1521" s="10"/>
      <c r="P1521" s="9"/>
    </row>
    <row r="1522">
      <c r="A1522" s="10"/>
      <c r="B1522" s="9"/>
      <c r="C1522" s="10"/>
      <c r="D1522" s="10"/>
      <c r="E1522" s="9"/>
      <c r="F1522" s="9"/>
      <c r="G1522" s="9"/>
      <c r="H1522" s="9"/>
      <c r="I1522" s="9"/>
      <c r="J1522" s="9"/>
      <c r="K1522" s="9"/>
      <c r="L1522" s="9"/>
      <c r="M1522" s="9"/>
      <c r="N1522" s="10"/>
      <c r="O1522" s="10"/>
      <c r="P1522" s="9"/>
    </row>
    <row r="1523">
      <c r="A1523" s="10"/>
      <c r="B1523" s="9"/>
      <c r="C1523" s="10"/>
      <c r="D1523" s="10"/>
      <c r="E1523" s="9"/>
      <c r="F1523" s="9"/>
      <c r="G1523" s="9"/>
      <c r="H1523" s="9"/>
      <c r="I1523" s="9"/>
      <c r="J1523" s="9"/>
      <c r="K1523" s="9"/>
      <c r="L1523" s="9"/>
      <c r="M1523" s="9"/>
      <c r="N1523" s="10"/>
      <c r="O1523" s="10"/>
      <c r="P1523" s="9"/>
    </row>
    <row r="1524">
      <c r="A1524" s="10"/>
      <c r="B1524" s="9"/>
      <c r="C1524" s="10"/>
      <c r="D1524" s="10"/>
      <c r="E1524" s="9"/>
      <c r="F1524" s="9"/>
      <c r="G1524" s="9"/>
      <c r="H1524" s="9"/>
      <c r="I1524" s="9"/>
      <c r="J1524" s="9"/>
      <c r="K1524" s="9"/>
      <c r="L1524" s="9"/>
      <c r="M1524" s="9"/>
      <c r="N1524" s="10"/>
      <c r="O1524" s="10"/>
      <c r="P1524" s="9"/>
    </row>
    <row r="1525">
      <c r="A1525" s="10"/>
      <c r="B1525" s="9"/>
      <c r="C1525" s="10"/>
      <c r="D1525" s="10"/>
      <c r="E1525" s="9"/>
      <c r="F1525" s="9"/>
      <c r="G1525" s="9"/>
      <c r="H1525" s="9"/>
      <c r="I1525" s="9"/>
      <c r="J1525" s="9"/>
      <c r="K1525" s="9"/>
      <c r="L1525" s="9"/>
      <c r="M1525" s="9"/>
      <c r="N1525" s="10"/>
      <c r="O1525" s="10"/>
      <c r="P1525" s="9"/>
    </row>
    <row r="1526">
      <c r="A1526" s="10"/>
      <c r="B1526" s="9"/>
      <c r="C1526" s="10"/>
      <c r="D1526" s="10"/>
      <c r="E1526" s="9"/>
      <c r="F1526" s="9"/>
      <c r="G1526" s="9"/>
      <c r="H1526" s="9"/>
      <c r="I1526" s="9"/>
      <c r="J1526" s="9"/>
      <c r="K1526" s="9"/>
      <c r="L1526" s="9"/>
      <c r="M1526" s="9"/>
      <c r="N1526" s="10"/>
      <c r="O1526" s="10"/>
      <c r="P1526" s="9"/>
    </row>
    <row r="1527">
      <c r="A1527" s="10"/>
      <c r="B1527" s="9"/>
      <c r="C1527" s="10"/>
      <c r="D1527" s="10"/>
      <c r="E1527" s="9"/>
      <c r="F1527" s="9"/>
      <c r="G1527" s="9"/>
      <c r="H1527" s="9"/>
      <c r="I1527" s="9"/>
      <c r="J1527" s="9"/>
      <c r="K1527" s="9"/>
      <c r="L1527" s="9"/>
      <c r="M1527" s="9"/>
      <c r="N1527" s="10"/>
      <c r="O1527" s="10"/>
      <c r="P1527" s="9"/>
    </row>
    <row r="1528">
      <c r="A1528" s="10"/>
      <c r="B1528" s="9"/>
      <c r="C1528" s="10"/>
      <c r="D1528" s="10"/>
      <c r="E1528" s="9"/>
      <c r="F1528" s="9"/>
      <c r="G1528" s="9"/>
      <c r="H1528" s="9"/>
      <c r="I1528" s="9"/>
      <c r="J1528" s="9"/>
      <c r="K1528" s="9"/>
      <c r="L1528" s="9"/>
      <c r="M1528" s="9"/>
      <c r="N1528" s="10"/>
      <c r="O1528" s="10"/>
      <c r="P1528" s="9"/>
    </row>
    <row r="1529">
      <c r="A1529" s="10"/>
      <c r="B1529" s="9"/>
      <c r="C1529" s="10"/>
      <c r="D1529" s="10"/>
      <c r="E1529" s="9"/>
      <c r="F1529" s="9"/>
      <c r="G1529" s="9"/>
      <c r="H1529" s="9"/>
      <c r="I1529" s="9"/>
      <c r="J1529" s="9"/>
      <c r="K1529" s="9"/>
      <c r="L1529" s="9"/>
      <c r="M1529" s="9"/>
      <c r="N1529" s="10"/>
      <c r="O1529" s="10"/>
      <c r="P1529" s="9"/>
    </row>
    <row r="1530">
      <c r="A1530" s="10"/>
      <c r="B1530" s="9"/>
      <c r="C1530" s="10"/>
      <c r="D1530" s="10"/>
      <c r="E1530" s="9"/>
      <c r="F1530" s="9"/>
      <c r="G1530" s="9"/>
      <c r="H1530" s="9"/>
      <c r="I1530" s="9"/>
      <c r="J1530" s="9"/>
      <c r="K1530" s="9"/>
      <c r="L1530" s="9"/>
      <c r="M1530" s="9"/>
      <c r="N1530" s="10"/>
      <c r="O1530" s="10"/>
      <c r="P1530" s="9"/>
    </row>
    <row r="1531">
      <c r="A1531" s="10"/>
      <c r="B1531" s="9"/>
      <c r="C1531" s="10"/>
      <c r="D1531" s="10"/>
      <c r="E1531" s="9"/>
      <c r="F1531" s="9"/>
      <c r="G1531" s="9"/>
      <c r="H1531" s="9"/>
      <c r="I1531" s="9"/>
      <c r="J1531" s="9"/>
      <c r="K1531" s="9"/>
      <c r="L1531" s="9"/>
      <c r="M1531" s="9"/>
      <c r="N1531" s="10"/>
      <c r="O1531" s="10"/>
      <c r="P1531" s="9"/>
    </row>
    <row r="1532">
      <c r="A1532" s="10"/>
      <c r="B1532" s="9"/>
      <c r="C1532" s="10"/>
      <c r="D1532" s="10"/>
      <c r="E1532" s="9"/>
      <c r="F1532" s="9"/>
      <c r="G1532" s="9"/>
      <c r="H1532" s="9"/>
      <c r="I1532" s="9"/>
      <c r="J1532" s="9"/>
      <c r="K1532" s="9"/>
      <c r="L1532" s="9"/>
      <c r="M1532" s="9"/>
      <c r="N1532" s="10"/>
      <c r="O1532" s="10"/>
      <c r="P1532" s="9"/>
    </row>
    <row r="1533">
      <c r="A1533" s="10"/>
      <c r="B1533" s="9"/>
      <c r="C1533" s="10"/>
      <c r="D1533" s="10"/>
      <c r="E1533" s="9"/>
      <c r="F1533" s="9"/>
      <c r="G1533" s="9"/>
      <c r="H1533" s="9"/>
      <c r="I1533" s="9"/>
      <c r="J1533" s="9"/>
      <c r="K1533" s="9"/>
      <c r="L1533" s="9"/>
      <c r="M1533" s="9"/>
      <c r="N1533" s="10"/>
      <c r="O1533" s="10"/>
      <c r="P1533" s="9"/>
    </row>
    <row r="1534">
      <c r="A1534" s="10"/>
      <c r="B1534" s="9"/>
      <c r="C1534" s="10"/>
      <c r="D1534" s="10"/>
      <c r="E1534" s="9"/>
      <c r="F1534" s="9"/>
      <c r="G1534" s="9"/>
      <c r="H1534" s="9"/>
      <c r="I1534" s="9"/>
      <c r="J1534" s="9"/>
      <c r="K1534" s="9"/>
      <c r="L1534" s="9"/>
      <c r="M1534" s="9"/>
      <c r="N1534" s="10"/>
      <c r="O1534" s="10"/>
      <c r="P1534" s="9"/>
    </row>
    <row r="1535">
      <c r="A1535" s="10"/>
      <c r="B1535" s="9"/>
      <c r="C1535" s="10"/>
      <c r="D1535" s="10"/>
      <c r="E1535" s="9"/>
      <c r="F1535" s="9"/>
      <c r="G1535" s="9"/>
      <c r="H1535" s="9"/>
      <c r="I1535" s="9"/>
      <c r="J1535" s="9"/>
      <c r="K1535" s="9"/>
      <c r="L1535" s="9"/>
      <c r="M1535" s="9"/>
      <c r="N1535" s="10"/>
      <c r="O1535" s="10"/>
      <c r="P1535" s="9"/>
    </row>
    <row r="1536">
      <c r="A1536" s="10"/>
      <c r="B1536" s="9"/>
      <c r="C1536" s="10"/>
      <c r="D1536" s="10"/>
      <c r="E1536" s="9"/>
      <c r="F1536" s="9"/>
      <c r="G1536" s="9"/>
      <c r="H1536" s="9"/>
      <c r="I1536" s="9"/>
      <c r="J1536" s="9"/>
      <c r="K1536" s="9"/>
      <c r="L1536" s="9"/>
      <c r="M1536" s="9"/>
      <c r="N1536" s="10"/>
      <c r="O1536" s="10"/>
      <c r="P1536" s="9"/>
    </row>
    <row r="1537">
      <c r="A1537" s="10"/>
      <c r="B1537" s="9"/>
      <c r="C1537" s="10"/>
      <c r="D1537" s="10"/>
      <c r="E1537" s="9"/>
      <c r="F1537" s="9"/>
      <c r="G1537" s="9"/>
      <c r="H1537" s="9"/>
      <c r="I1537" s="9"/>
      <c r="J1537" s="9"/>
      <c r="K1537" s="9"/>
      <c r="L1537" s="9"/>
      <c r="M1537" s="9"/>
      <c r="N1537" s="10"/>
      <c r="O1537" s="10"/>
      <c r="P1537" s="9"/>
    </row>
    <row r="1538">
      <c r="A1538" s="10"/>
      <c r="B1538" s="9"/>
      <c r="C1538" s="10"/>
      <c r="D1538" s="10"/>
      <c r="E1538" s="9"/>
      <c r="F1538" s="9"/>
      <c r="G1538" s="9"/>
      <c r="H1538" s="9"/>
      <c r="I1538" s="9"/>
      <c r="J1538" s="9"/>
      <c r="K1538" s="9"/>
      <c r="L1538" s="9"/>
      <c r="M1538" s="9"/>
      <c r="N1538" s="10"/>
      <c r="O1538" s="10"/>
      <c r="P1538" s="9"/>
    </row>
    <row r="1539">
      <c r="A1539" s="10"/>
      <c r="B1539" s="9"/>
      <c r="C1539" s="10"/>
      <c r="D1539" s="10"/>
      <c r="E1539" s="9"/>
      <c r="F1539" s="9"/>
      <c r="G1539" s="9"/>
      <c r="H1539" s="9"/>
      <c r="I1539" s="9"/>
      <c r="J1539" s="9"/>
      <c r="K1539" s="9"/>
      <c r="L1539" s="9"/>
      <c r="M1539" s="9"/>
      <c r="N1539" s="10"/>
      <c r="O1539" s="10"/>
      <c r="P1539" s="9"/>
    </row>
    <row r="1540">
      <c r="A1540" s="10"/>
      <c r="B1540" s="9"/>
      <c r="C1540" s="10"/>
      <c r="D1540" s="10"/>
      <c r="E1540" s="9"/>
      <c r="F1540" s="9"/>
      <c r="G1540" s="9"/>
      <c r="H1540" s="9"/>
      <c r="I1540" s="9"/>
      <c r="J1540" s="9"/>
      <c r="K1540" s="9"/>
      <c r="L1540" s="9"/>
      <c r="M1540" s="9"/>
      <c r="N1540" s="10"/>
      <c r="O1540" s="10"/>
      <c r="P1540" s="9"/>
    </row>
    <row r="1541">
      <c r="A1541" s="10"/>
      <c r="B1541" s="9"/>
      <c r="C1541" s="10"/>
      <c r="D1541" s="10"/>
      <c r="E1541" s="9"/>
      <c r="F1541" s="9"/>
      <c r="G1541" s="9"/>
      <c r="H1541" s="9"/>
      <c r="I1541" s="9"/>
      <c r="J1541" s="9"/>
      <c r="K1541" s="9"/>
      <c r="L1541" s="9"/>
      <c r="M1541" s="9"/>
      <c r="N1541" s="10"/>
      <c r="O1541" s="10"/>
      <c r="P1541" s="9"/>
    </row>
    <row r="1542">
      <c r="A1542" s="10"/>
      <c r="B1542" s="9"/>
      <c r="C1542" s="10"/>
      <c r="D1542" s="10"/>
      <c r="E1542" s="9"/>
      <c r="F1542" s="9"/>
      <c r="G1542" s="9"/>
      <c r="H1542" s="9"/>
      <c r="I1542" s="9"/>
      <c r="J1542" s="9"/>
      <c r="K1542" s="9"/>
      <c r="L1542" s="9"/>
      <c r="M1542" s="9"/>
      <c r="N1542" s="10"/>
      <c r="O1542" s="10"/>
      <c r="P1542" s="9"/>
    </row>
    <row r="1543">
      <c r="A1543" s="10"/>
      <c r="B1543" s="9"/>
      <c r="C1543" s="10"/>
      <c r="D1543" s="10"/>
      <c r="E1543" s="9"/>
      <c r="F1543" s="9"/>
      <c r="G1543" s="9"/>
      <c r="H1543" s="9"/>
      <c r="I1543" s="9"/>
      <c r="J1543" s="9"/>
      <c r="K1543" s="9"/>
      <c r="L1543" s="9"/>
      <c r="M1543" s="9"/>
      <c r="N1543" s="10"/>
      <c r="O1543" s="10"/>
      <c r="P1543" s="9"/>
    </row>
    <row r="1544">
      <c r="A1544" s="10"/>
      <c r="B1544" s="9"/>
      <c r="C1544" s="10"/>
      <c r="D1544" s="10"/>
      <c r="E1544" s="9"/>
      <c r="F1544" s="9"/>
      <c r="G1544" s="9"/>
      <c r="H1544" s="9"/>
      <c r="I1544" s="9"/>
      <c r="J1544" s="9"/>
      <c r="K1544" s="9"/>
      <c r="L1544" s="9"/>
      <c r="M1544" s="9"/>
      <c r="N1544" s="10"/>
      <c r="O1544" s="10"/>
      <c r="P1544" s="9"/>
    </row>
    <row r="1545">
      <c r="A1545" s="10"/>
      <c r="B1545" s="9"/>
      <c r="C1545" s="10"/>
      <c r="D1545" s="10"/>
      <c r="E1545" s="9"/>
      <c r="F1545" s="9"/>
      <c r="G1545" s="9"/>
      <c r="H1545" s="9"/>
      <c r="I1545" s="9"/>
      <c r="J1545" s="9"/>
      <c r="K1545" s="9"/>
      <c r="L1545" s="9"/>
      <c r="M1545" s="9"/>
      <c r="N1545" s="10"/>
      <c r="O1545" s="10"/>
      <c r="P1545" s="9"/>
    </row>
    <row r="1546">
      <c r="A1546" s="10"/>
      <c r="B1546" s="9"/>
      <c r="C1546" s="10"/>
      <c r="D1546" s="10"/>
      <c r="E1546" s="9"/>
      <c r="F1546" s="9"/>
      <c r="G1546" s="9"/>
      <c r="H1546" s="9"/>
      <c r="I1546" s="9"/>
      <c r="J1546" s="9"/>
      <c r="K1546" s="9"/>
      <c r="L1546" s="9"/>
      <c r="M1546" s="9"/>
      <c r="N1546" s="10"/>
      <c r="O1546" s="10"/>
      <c r="P1546" s="9"/>
    </row>
    <row r="1547">
      <c r="A1547" s="10"/>
      <c r="B1547" s="9"/>
      <c r="C1547" s="10"/>
      <c r="D1547" s="10"/>
      <c r="E1547" s="9"/>
      <c r="F1547" s="9"/>
      <c r="G1547" s="9"/>
      <c r="H1547" s="9"/>
      <c r="I1547" s="9"/>
      <c r="J1547" s="9"/>
      <c r="K1547" s="9"/>
      <c r="L1547" s="9"/>
      <c r="M1547" s="9"/>
      <c r="N1547" s="10"/>
      <c r="O1547" s="10"/>
      <c r="P1547" s="9"/>
    </row>
    <row r="1548">
      <c r="A1548" s="10"/>
      <c r="B1548" s="9"/>
      <c r="C1548" s="10"/>
      <c r="D1548" s="10"/>
      <c r="E1548" s="9"/>
      <c r="F1548" s="9"/>
      <c r="G1548" s="9"/>
      <c r="H1548" s="9"/>
      <c r="I1548" s="9"/>
      <c r="J1548" s="9"/>
      <c r="K1548" s="9"/>
      <c r="L1548" s="9"/>
      <c r="M1548" s="9"/>
      <c r="N1548" s="10"/>
      <c r="O1548" s="10"/>
      <c r="P1548" s="9"/>
    </row>
    <row r="1549">
      <c r="A1549" s="10"/>
      <c r="B1549" s="9"/>
      <c r="C1549" s="10"/>
      <c r="D1549" s="10"/>
      <c r="E1549" s="9"/>
      <c r="F1549" s="9"/>
      <c r="G1549" s="9"/>
      <c r="H1549" s="9"/>
      <c r="I1549" s="9"/>
      <c r="J1549" s="9"/>
      <c r="K1549" s="9"/>
      <c r="L1549" s="9"/>
      <c r="M1549" s="9"/>
      <c r="N1549" s="10"/>
      <c r="O1549" s="10"/>
      <c r="P1549" s="9"/>
    </row>
    <row r="1550">
      <c r="A1550" s="10"/>
      <c r="B1550" s="9"/>
      <c r="C1550" s="10"/>
      <c r="D1550" s="10"/>
      <c r="E1550" s="9"/>
      <c r="F1550" s="9"/>
      <c r="G1550" s="9"/>
      <c r="H1550" s="9"/>
      <c r="I1550" s="9"/>
      <c r="J1550" s="9"/>
      <c r="K1550" s="9"/>
      <c r="L1550" s="9"/>
      <c r="M1550" s="9"/>
      <c r="N1550" s="10"/>
      <c r="O1550" s="10"/>
      <c r="P1550" s="9"/>
    </row>
    <row r="1551">
      <c r="A1551" s="10"/>
      <c r="B1551" s="9"/>
      <c r="C1551" s="10"/>
      <c r="D1551" s="10"/>
      <c r="E1551" s="9"/>
      <c r="F1551" s="9"/>
      <c r="G1551" s="9"/>
      <c r="H1551" s="9"/>
      <c r="I1551" s="9"/>
      <c r="J1551" s="9"/>
      <c r="K1551" s="9"/>
      <c r="L1551" s="9"/>
      <c r="M1551" s="9"/>
      <c r="N1551" s="10"/>
      <c r="O1551" s="10"/>
      <c r="P1551" s="9"/>
    </row>
    <row r="1552">
      <c r="A1552" s="10"/>
      <c r="B1552" s="9"/>
      <c r="C1552" s="10"/>
      <c r="D1552" s="10"/>
      <c r="E1552" s="9"/>
      <c r="F1552" s="9"/>
      <c r="G1552" s="9"/>
      <c r="H1552" s="9"/>
      <c r="I1552" s="9"/>
      <c r="J1552" s="9"/>
      <c r="K1552" s="9"/>
      <c r="L1552" s="9"/>
      <c r="M1552" s="9"/>
      <c r="N1552" s="10"/>
      <c r="O1552" s="10"/>
      <c r="P1552" s="9"/>
    </row>
    <row r="1553">
      <c r="A1553" s="10"/>
      <c r="B1553" s="9"/>
      <c r="C1553" s="10"/>
      <c r="D1553" s="10"/>
      <c r="E1553" s="9"/>
      <c r="F1553" s="9"/>
      <c r="G1553" s="9"/>
      <c r="H1553" s="9"/>
      <c r="I1553" s="9"/>
      <c r="J1553" s="9"/>
      <c r="K1553" s="9"/>
      <c r="L1553" s="9"/>
      <c r="M1553" s="9"/>
      <c r="N1553" s="10"/>
      <c r="O1553" s="10"/>
      <c r="P1553" s="9"/>
    </row>
    <row r="1554">
      <c r="A1554" s="10"/>
      <c r="B1554" s="9"/>
      <c r="C1554" s="10"/>
      <c r="D1554" s="10"/>
      <c r="E1554" s="9"/>
      <c r="F1554" s="9"/>
      <c r="G1554" s="9"/>
      <c r="H1554" s="9"/>
      <c r="I1554" s="9"/>
      <c r="J1554" s="9"/>
      <c r="K1554" s="9"/>
      <c r="L1554" s="9"/>
      <c r="M1554" s="9"/>
      <c r="N1554" s="10"/>
      <c r="O1554" s="10"/>
      <c r="P1554" s="9"/>
    </row>
    <row r="1555">
      <c r="A1555" s="10"/>
      <c r="B1555" s="9"/>
      <c r="C1555" s="10"/>
      <c r="D1555" s="10"/>
      <c r="E1555" s="9"/>
      <c r="F1555" s="9"/>
      <c r="G1555" s="9"/>
      <c r="H1555" s="9"/>
      <c r="I1555" s="9"/>
      <c r="J1555" s="9"/>
      <c r="K1555" s="9"/>
      <c r="L1555" s="9"/>
      <c r="M1555" s="9"/>
      <c r="N1555" s="10"/>
      <c r="O1555" s="10"/>
      <c r="P1555" s="9"/>
    </row>
    <row r="1556">
      <c r="A1556" s="10"/>
      <c r="B1556" s="9"/>
      <c r="C1556" s="10"/>
      <c r="D1556" s="10"/>
      <c r="E1556" s="9"/>
      <c r="F1556" s="9"/>
      <c r="G1556" s="9"/>
      <c r="H1556" s="9"/>
      <c r="I1556" s="9"/>
      <c r="J1556" s="9"/>
      <c r="K1556" s="9"/>
      <c r="L1556" s="9"/>
      <c r="M1556" s="9"/>
      <c r="N1556" s="10"/>
      <c r="O1556" s="10"/>
      <c r="P1556" s="9"/>
    </row>
    <row r="1557">
      <c r="A1557" s="10"/>
      <c r="B1557" s="9"/>
      <c r="C1557" s="10"/>
      <c r="D1557" s="10"/>
      <c r="E1557" s="9"/>
      <c r="F1557" s="9"/>
      <c r="G1557" s="9"/>
      <c r="H1557" s="9"/>
      <c r="I1557" s="9"/>
      <c r="J1557" s="9"/>
      <c r="K1557" s="9"/>
      <c r="L1557" s="9"/>
      <c r="M1557" s="9"/>
      <c r="N1557" s="10"/>
      <c r="O1557" s="10"/>
      <c r="P1557" s="9"/>
    </row>
    <row r="1558">
      <c r="A1558" s="10"/>
      <c r="B1558" s="9"/>
      <c r="C1558" s="10"/>
      <c r="D1558" s="10"/>
      <c r="E1558" s="9"/>
      <c r="F1558" s="9"/>
      <c r="G1558" s="9"/>
      <c r="H1558" s="9"/>
      <c r="I1558" s="9"/>
      <c r="J1558" s="9"/>
      <c r="K1558" s="9"/>
      <c r="L1558" s="9"/>
      <c r="M1558" s="9"/>
      <c r="N1558" s="10"/>
      <c r="O1558" s="10"/>
      <c r="P1558" s="9"/>
    </row>
    <row r="1559">
      <c r="A1559" s="10"/>
      <c r="B1559" s="9"/>
      <c r="C1559" s="10"/>
      <c r="D1559" s="10"/>
      <c r="E1559" s="9"/>
      <c r="F1559" s="9"/>
      <c r="G1559" s="9"/>
      <c r="H1559" s="9"/>
      <c r="I1559" s="9"/>
      <c r="J1559" s="9"/>
      <c r="K1559" s="9"/>
      <c r="L1559" s="9"/>
      <c r="M1559" s="9"/>
      <c r="N1559" s="10"/>
      <c r="O1559" s="10"/>
      <c r="P1559" s="9"/>
    </row>
    <row r="1560">
      <c r="A1560" s="10"/>
      <c r="B1560" s="9"/>
      <c r="C1560" s="10"/>
      <c r="D1560" s="10"/>
      <c r="E1560" s="9"/>
      <c r="F1560" s="9"/>
      <c r="G1560" s="9"/>
      <c r="H1560" s="9"/>
      <c r="I1560" s="9"/>
      <c r="J1560" s="9"/>
      <c r="K1560" s="9"/>
      <c r="L1560" s="9"/>
      <c r="M1560" s="9"/>
      <c r="N1560" s="10"/>
      <c r="O1560" s="10"/>
      <c r="P1560" s="9"/>
    </row>
    <row r="1561">
      <c r="A1561" s="10"/>
      <c r="B1561" s="9"/>
      <c r="C1561" s="10"/>
      <c r="D1561" s="10"/>
      <c r="E1561" s="9"/>
      <c r="F1561" s="9"/>
      <c r="G1561" s="9"/>
      <c r="H1561" s="9"/>
      <c r="I1561" s="9"/>
      <c r="J1561" s="9"/>
      <c r="K1561" s="9"/>
      <c r="L1561" s="9"/>
      <c r="M1561" s="9"/>
      <c r="N1561" s="10"/>
      <c r="O1561" s="10"/>
      <c r="P1561" s="9"/>
    </row>
    <row r="1562">
      <c r="A1562" s="10"/>
      <c r="B1562" s="9"/>
      <c r="C1562" s="10"/>
      <c r="D1562" s="10"/>
      <c r="E1562" s="9"/>
      <c r="F1562" s="9"/>
      <c r="G1562" s="9"/>
      <c r="H1562" s="9"/>
      <c r="I1562" s="9"/>
      <c r="J1562" s="9"/>
      <c r="K1562" s="9"/>
      <c r="L1562" s="9"/>
      <c r="M1562" s="9"/>
      <c r="N1562" s="10"/>
      <c r="O1562" s="10"/>
      <c r="P1562" s="9"/>
    </row>
    <row r="1563">
      <c r="A1563" s="10"/>
      <c r="B1563" s="9"/>
      <c r="C1563" s="10"/>
      <c r="D1563" s="10"/>
      <c r="E1563" s="9"/>
      <c r="F1563" s="9"/>
      <c r="G1563" s="9"/>
      <c r="H1563" s="9"/>
      <c r="I1563" s="9"/>
      <c r="J1563" s="9"/>
      <c r="K1563" s="9"/>
      <c r="L1563" s="9"/>
      <c r="M1563" s="9"/>
      <c r="N1563" s="10"/>
      <c r="O1563" s="10"/>
      <c r="P1563" s="9"/>
    </row>
    <row r="1564">
      <c r="A1564" s="10"/>
      <c r="B1564" s="9"/>
      <c r="C1564" s="10"/>
      <c r="D1564" s="10"/>
      <c r="E1564" s="9"/>
      <c r="F1564" s="9"/>
      <c r="G1564" s="9"/>
      <c r="H1564" s="9"/>
      <c r="I1564" s="9"/>
      <c r="J1564" s="9"/>
      <c r="K1564" s="9"/>
      <c r="L1564" s="9"/>
      <c r="M1564" s="9"/>
      <c r="N1564" s="10"/>
      <c r="O1564" s="10"/>
      <c r="P1564" s="9"/>
    </row>
    <row r="1565">
      <c r="A1565" s="10"/>
      <c r="B1565" s="9"/>
      <c r="C1565" s="10"/>
      <c r="D1565" s="10"/>
      <c r="E1565" s="9"/>
      <c r="F1565" s="9"/>
      <c r="G1565" s="9"/>
      <c r="H1565" s="9"/>
      <c r="I1565" s="9"/>
      <c r="J1565" s="9"/>
      <c r="K1565" s="9"/>
      <c r="L1565" s="9"/>
      <c r="M1565" s="9"/>
      <c r="N1565" s="10"/>
      <c r="O1565" s="10"/>
      <c r="P1565" s="9"/>
    </row>
    <row r="1566">
      <c r="A1566" s="10"/>
      <c r="B1566" s="9"/>
      <c r="C1566" s="10"/>
      <c r="D1566" s="10"/>
      <c r="E1566" s="9"/>
      <c r="F1566" s="9"/>
      <c r="G1566" s="9"/>
      <c r="H1566" s="9"/>
      <c r="I1566" s="9"/>
      <c r="J1566" s="9"/>
      <c r="K1566" s="9"/>
      <c r="L1566" s="9"/>
      <c r="M1566" s="9"/>
      <c r="N1566" s="10"/>
      <c r="O1566" s="10"/>
      <c r="P1566" s="9"/>
    </row>
    <row r="1567">
      <c r="A1567" s="10"/>
      <c r="B1567" s="9"/>
      <c r="C1567" s="10"/>
      <c r="D1567" s="10"/>
      <c r="E1567" s="9"/>
      <c r="F1567" s="9"/>
      <c r="G1567" s="9"/>
      <c r="H1567" s="9"/>
      <c r="I1567" s="9"/>
      <c r="J1567" s="9"/>
      <c r="K1567" s="9"/>
      <c r="L1567" s="9"/>
      <c r="M1567" s="9"/>
      <c r="N1567" s="10"/>
      <c r="O1567" s="10"/>
      <c r="P1567" s="9"/>
    </row>
    <row r="1568">
      <c r="A1568" s="10"/>
      <c r="B1568" s="9"/>
      <c r="C1568" s="10"/>
      <c r="D1568" s="10"/>
      <c r="E1568" s="9"/>
      <c r="F1568" s="9"/>
      <c r="G1568" s="9"/>
      <c r="H1568" s="9"/>
      <c r="I1568" s="9"/>
      <c r="J1568" s="9"/>
      <c r="K1568" s="9"/>
      <c r="L1568" s="9"/>
      <c r="M1568" s="9"/>
      <c r="N1568" s="10"/>
      <c r="O1568" s="10"/>
      <c r="P1568" s="9"/>
    </row>
    <row r="1569">
      <c r="A1569" s="10"/>
      <c r="B1569" s="9"/>
      <c r="C1569" s="10"/>
      <c r="D1569" s="10"/>
      <c r="E1569" s="9"/>
      <c r="F1569" s="9"/>
      <c r="G1569" s="9"/>
      <c r="H1569" s="9"/>
      <c r="I1569" s="9"/>
      <c r="J1569" s="9"/>
      <c r="K1569" s="9"/>
      <c r="L1569" s="9"/>
      <c r="M1569" s="9"/>
      <c r="N1569" s="10"/>
      <c r="O1569" s="10"/>
      <c r="P1569" s="9"/>
    </row>
    <row r="1570">
      <c r="A1570" s="10"/>
      <c r="B1570" s="9"/>
      <c r="C1570" s="10"/>
      <c r="D1570" s="10"/>
      <c r="E1570" s="9"/>
      <c r="F1570" s="9"/>
      <c r="G1570" s="9"/>
      <c r="H1570" s="9"/>
      <c r="I1570" s="9"/>
      <c r="J1570" s="9"/>
      <c r="K1570" s="9"/>
      <c r="L1570" s="9"/>
      <c r="M1570" s="9"/>
      <c r="N1570" s="10"/>
      <c r="O1570" s="10"/>
      <c r="P1570" s="9"/>
    </row>
    <row r="1571">
      <c r="A1571" s="10"/>
      <c r="B1571" s="9"/>
      <c r="C1571" s="10"/>
      <c r="D1571" s="10"/>
      <c r="E1571" s="9"/>
      <c r="F1571" s="9"/>
      <c r="G1571" s="9"/>
      <c r="H1571" s="9"/>
      <c r="I1571" s="9"/>
      <c r="J1571" s="9"/>
      <c r="K1571" s="9"/>
      <c r="L1571" s="9"/>
      <c r="M1571" s="9"/>
      <c r="N1571" s="10"/>
      <c r="O1571" s="10"/>
      <c r="P1571" s="9"/>
    </row>
    <row r="1572">
      <c r="A1572" s="10"/>
      <c r="B1572" s="9"/>
      <c r="C1572" s="10"/>
      <c r="D1572" s="10"/>
      <c r="E1572" s="9"/>
      <c r="F1572" s="9"/>
      <c r="G1572" s="9"/>
      <c r="H1572" s="9"/>
      <c r="I1572" s="9"/>
      <c r="J1572" s="9"/>
      <c r="K1572" s="9"/>
      <c r="L1572" s="9"/>
      <c r="M1572" s="9"/>
      <c r="N1572" s="10"/>
      <c r="O1572" s="10"/>
      <c r="P1572" s="9"/>
    </row>
    <row r="1573">
      <c r="A1573" s="10"/>
      <c r="B1573" s="9"/>
      <c r="C1573" s="10"/>
      <c r="D1573" s="10"/>
      <c r="E1573" s="9"/>
      <c r="F1573" s="9"/>
      <c r="G1573" s="9"/>
      <c r="H1573" s="9"/>
      <c r="I1573" s="9"/>
      <c r="J1573" s="9"/>
      <c r="K1573" s="9"/>
      <c r="L1573" s="9"/>
      <c r="M1573" s="9"/>
      <c r="N1573" s="10"/>
      <c r="O1573" s="10"/>
      <c r="P1573" s="9"/>
    </row>
    <row r="1574">
      <c r="A1574" s="10"/>
      <c r="B1574" s="9"/>
      <c r="C1574" s="10"/>
      <c r="D1574" s="10"/>
      <c r="E1574" s="9"/>
      <c r="F1574" s="9"/>
      <c r="G1574" s="9"/>
      <c r="H1574" s="9"/>
      <c r="I1574" s="9"/>
      <c r="J1574" s="9"/>
      <c r="K1574" s="9"/>
      <c r="L1574" s="9"/>
      <c r="M1574" s="9"/>
      <c r="N1574" s="10"/>
      <c r="O1574" s="10"/>
      <c r="P1574" s="9"/>
    </row>
    <row r="1575">
      <c r="A1575" s="10"/>
      <c r="B1575" s="9"/>
      <c r="C1575" s="10"/>
      <c r="D1575" s="10"/>
      <c r="E1575" s="9"/>
      <c r="F1575" s="9"/>
      <c r="G1575" s="9"/>
      <c r="H1575" s="9"/>
      <c r="I1575" s="9"/>
      <c r="J1575" s="9"/>
      <c r="K1575" s="9"/>
      <c r="L1575" s="9"/>
      <c r="M1575" s="9"/>
      <c r="N1575" s="10"/>
      <c r="O1575" s="10"/>
      <c r="P1575" s="9"/>
    </row>
    <row r="1576">
      <c r="A1576" s="10"/>
      <c r="B1576" s="9"/>
      <c r="C1576" s="10"/>
      <c r="D1576" s="10"/>
      <c r="E1576" s="9"/>
      <c r="F1576" s="9"/>
      <c r="G1576" s="9"/>
      <c r="H1576" s="9"/>
      <c r="I1576" s="9"/>
      <c r="J1576" s="9"/>
      <c r="K1576" s="9"/>
      <c r="L1576" s="9"/>
      <c r="M1576" s="9"/>
      <c r="N1576" s="10"/>
      <c r="O1576" s="10"/>
      <c r="P1576" s="9"/>
    </row>
    <row r="1577">
      <c r="A1577" s="10"/>
      <c r="B1577" s="9"/>
      <c r="C1577" s="10"/>
      <c r="D1577" s="10"/>
      <c r="E1577" s="9"/>
      <c r="F1577" s="9"/>
      <c r="G1577" s="9"/>
      <c r="H1577" s="9"/>
      <c r="I1577" s="9"/>
      <c r="J1577" s="9"/>
      <c r="K1577" s="9"/>
      <c r="L1577" s="9"/>
      <c r="M1577" s="9"/>
      <c r="N1577" s="10"/>
      <c r="O1577" s="10"/>
      <c r="P1577" s="9"/>
    </row>
    <row r="1578">
      <c r="A1578" s="10"/>
      <c r="B1578" s="9"/>
      <c r="C1578" s="10"/>
      <c r="D1578" s="10"/>
      <c r="E1578" s="9"/>
      <c r="F1578" s="9"/>
      <c r="G1578" s="9"/>
      <c r="H1578" s="9"/>
      <c r="I1578" s="9"/>
      <c r="J1578" s="9"/>
      <c r="K1578" s="9"/>
      <c r="L1578" s="9"/>
      <c r="M1578" s="9"/>
      <c r="N1578" s="10"/>
      <c r="O1578" s="10"/>
      <c r="P1578" s="9"/>
    </row>
    <row r="1579">
      <c r="A1579" s="10"/>
      <c r="B1579" s="9"/>
      <c r="C1579" s="10"/>
      <c r="D1579" s="10"/>
      <c r="E1579" s="9"/>
      <c r="F1579" s="9"/>
      <c r="G1579" s="9"/>
      <c r="H1579" s="9"/>
      <c r="I1579" s="9"/>
      <c r="J1579" s="9"/>
      <c r="K1579" s="9"/>
      <c r="L1579" s="9"/>
      <c r="M1579" s="9"/>
      <c r="N1579" s="10"/>
      <c r="O1579" s="10"/>
      <c r="P1579" s="9"/>
    </row>
    <row r="1580">
      <c r="A1580" s="10"/>
      <c r="B1580" s="9"/>
      <c r="C1580" s="10"/>
      <c r="D1580" s="10"/>
      <c r="E1580" s="9"/>
      <c r="F1580" s="9"/>
      <c r="G1580" s="9"/>
      <c r="H1580" s="9"/>
      <c r="I1580" s="9"/>
      <c r="J1580" s="9"/>
      <c r="K1580" s="9"/>
      <c r="L1580" s="9"/>
      <c r="M1580" s="9"/>
      <c r="N1580" s="10"/>
      <c r="O1580" s="10"/>
      <c r="P1580" s="9"/>
    </row>
    <row r="1581">
      <c r="A1581" s="10"/>
      <c r="B1581" s="9"/>
      <c r="C1581" s="10"/>
      <c r="D1581" s="10"/>
      <c r="E1581" s="9"/>
      <c r="F1581" s="9"/>
      <c r="G1581" s="9"/>
      <c r="H1581" s="9"/>
      <c r="I1581" s="9"/>
      <c r="J1581" s="9"/>
      <c r="K1581" s="9"/>
      <c r="L1581" s="9"/>
      <c r="M1581" s="9"/>
      <c r="N1581" s="10"/>
      <c r="O1581" s="10"/>
      <c r="P1581" s="9"/>
    </row>
    <row r="1582">
      <c r="A1582" s="10"/>
      <c r="B1582" s="9"/>
      <c r="C1582" s="10"/>
      <c r="D1582" s="10"/>
      <c r="E1582" s="9"/>
      <c r="F1582" s="9"/>
      <c r="G1582" s="9"/>
      <c r="H1582" s="9"/>
      <c r="I1582" s="9"/>
      <c r="J1582" s="9"/>
      <c r="K1582" s="9"/>
      <c r="L1582" s="9"/>
      <c r="M1582" s="9"/>
      <c r="N1582" s="10"/>
      <c r="O1582" s="10"/>
      <c r="P1582" s="9"/>
    </row>
    <row r="1583">
      <c r="A1583" s="10"/>
      <c r="B1583" s="9"/>
      <c r="C1583" s="10"/>
      <c r="D1583" s="10"/>
      <c r="E1583" s="9"/>
      <c r="F1583" s="9"/>
      <c r="G1583" s="9"/>
      <c r="H1583" s="9"/>
      <c r="I1583" s="9"/>
      <c r="J1583" s="9"/>
      <c r="K1583" s="9"/>
      <c r="L1583" s="9"/>
      <c r="M1583" s="9"/>
      <c r="N1583" s="10"/>
      <c r="O1583" s="10"/>
      <c r="P1583" s="9"/>
    </row>
    <row r="1584">
      <c r="A1584" s="10"/>
      <c r="B1584" s="9"/>
      <c r="C1584" s="10"/>
      <c r="D1584" s="10"/>
      <c r="E1584" s="9"/>
      <c r="F1584" s="9"/>
      <c r="G1584" s="9"/>
      <c r="H1584" s="9"/>
      <c r="I1584" s="9"/>
      <c r="J1584" s="9"/>
      <c r="K1584" s="9"/>
      <c r="L1584" s="9"/>
      <c r="M1584" s="9"/>
      <c r="N1584" s="10"/>
      <c r="O1584" s="10"/>
      <c r="P1584" s="9"/>
    </row>
    <row r="1585">
      <c r="A1585" s="10"/>
      <c r="B1585" s="9"/>
      <c r="C1585" s="10"/>
      <c r="D1585" s="10"/>
      <c r="E1585" s="9"/>
      <c r="F1585" s="9"/>
      <c r="G1585" s="9"/>
      <c r="H1585" s="9"/>
      <c r="I1585" s="9"/>
      <c r="J1585" s="9"/>
      <c r="K1585" s="9"/>
      <c r="L1585" s="9"/>
      <c r="M1585" s="9"/>
      <c r="N1585" s="10"/>
      <c r="O1585" s="10"/>
      <c r="P1585" s="9"/>
    </row>
    <row r="1586">
      <c r="A1586" s="10"/>
      <c r="B1586" s="9"/>
      <c r="C1586" s="10"/>
      <c r="D1586" s="10"/>
      <c r="E1586" s="9"/>
      <c r="F1586" s="9"/>
      <c r="G1586" s="9"/>
      <c r="H1586" s="9"/>
      <c r="I1586" s="9"/>
      <c r="J1586" s="9"/>
      <c r="K1586" s="9"/>
      <c r="L1586" s="9"/>
      <c r="M1586" s="9"/>
      <c r="N1586" s="10"/>
      <c r="O1586" s="10"/>
      <c r="P1586" s="9"/>
    </row>
    <row r="1587">
      <c r="A1587" s="10"/>
      <c r="B1587" s="9"/>
      <c r="C1587" s="10"/>
      <c r="D1587" s="10"/>
      <c r="E1587" s="9"/>
      <c r="F1587" s="9"/>
      <c r="G1587" s="9"/>
      <c r="H1587" s="9"/>
      <c r="I1587" s="9"/>
      <c r="J1587" s="9"/>
      <c r="K1587" s="9"/>
      <c r="L1587" s="9"/>
      <c r="M1587" s="9"/>
      <c r="N1587" s="10"/>
      <c r="O1587" s="10"/>
      <c r="P1587" s="9"/>
    </row>
    <row r="1588">
      <c r="A1588" s="10"/>
      <c r="B1588" s="9"/>
      <c r="C1588" s="10"/>
      <c r="D1588" s="10"/>
      <c r="E1588" s="9"/>
      <c r="F1588" s="9"/>
      <c r="G1588" s="9"/>
      <c r="H1588" s="9"/>
      <c r="I1588" s="9"/>
      <c r="J1588" s="9"/>
      <c r="K1588" s="9"/>
      <c r="L1588" s="9"/>
      <c r="M1588" s="9"/>
      <c r="N1588" s="10"/>
      <c r="O1588" s="10"/>
      <c r="P1588" s="9"/>
    </row>
    <row r="1589">
      <c r="A1589" s="10"/>
      <c r="B1589" s="9"/>
      <c r="C1589" s="10"/>
      <c r="D1589" s="10"/>
      <c r="E1589" s="9"/>
      <c r="F1589" s="9"/>
      <c r="G1589" s="9"/>
      <c r="H1589" s="9"/>
      <c r="I1589" s="9"/>
      <c r="J1589" s="9"/>
      <c r="K1589" s="9"/>
      <c r="L1589" s="9"/>
      <c r="M1589" s="9"/>
      <c r="N1589" s="10"/>
      <c r="O1589" s="10"/>
      <c r="P1589" s="9"/>
    </row>
    <row r="1590">
      <c r="A1590" s="10"/>
      <c r="B1590" s="9"/>
      <c r="C1590" s="10"/>
      <c r="D1590" s="10"/>
      <c r="E1590" s="9"/>
      <c r="F1590" s="9"/>
      <c r="G1590" s="9"/>
      <c r="H1590" s="9"/>
      <c r="I1590" s="9"/>
      <c r="J1590" s="9"/>
      <c r="K1590" s="9"/>
      <c r="L1590" s="9"/>
      <c r="M1590" s="9"/>
      <c r="N1590" s="10"/>
      <c r="O1590" s="10"/>
      <c r="P1590" s="9"/>
    </row>
    <row r="1591">
      <c r="A1591" s="10"/>
      <c r="B1591" s="9"/>
      <c r="C1591" s="10"/>
      <c r="D1591" s="10"/>
      <c r="E1591" s="9"/>
      <c r="F1591" s="9"/>
      <c r="G1591" s="9"/>
      <c r="H1591" s="9"/>
      <c r="I1591" s="9"/>
      <c r="J1591" s="9"/>
      <c r="K1591" s="9"/>
      <c r="L1591" s="9"/>
      <c r="M1591" s="9"/>
      <c r="N1591" s="10"/>
      <c r="O1591" s="10"/>
      <c r="P1591" s="9"/>
    </row>
    <row r="1592">
      <c r="A1592" s="10"/>
      <c r="B1592" s="9"/>
      <c r="C1592" s="10"/>
      <c r="D1592" s="10"/>
      <c r="E1592" s="9"/>
      <c r="F1592" s="9"/>
      <c r="G1592" s="9"/>
      <c r="H1592" s="9"/>
      <c r="I1592" s="9"/>
      <c r="J1592" s="9"/>
      <c r="K1592" s="9"/>
      <c r="L1592" s="9"/>
      <c r="M1592" s="9"/>
      <c r="N1592" s="10"/>
      <c r="O1592" s="10"/>
      <c r="P1592" s="9"/>
    </row>
    <row r="1593">
      <c r="A1593" s="10"/>
      <c r="B1593" s="9"/>
      <c r="C1593" s="10"/>
      <c r="D1593" s="10"/>
      <c r="E1593" s="9"/>
      <c r="F1593" s="9"/>
      <c r="G1593" s="9"/>
      <c r="H1593" s="9"/>
      <c r="I1593" s="9"/>
      <c r="J1593" s="9"/>
      <c r="K1593" s="9"/>
      <c r="L1593" s="9"/>
      <c r="M1593" s="9"/>
      <c r="N1593" s="10"/>
      <c r="O1593" s="10"/>
      <c r="P1593" s="9"/>
    </row>
    <row r="1594">
      <c r="A1594" s="10"/>
      <c r="B1594" s="9"/>
      <c r="C1594" s="10"/>
      <c r="D1594" s="10"/>
      <c r="E1594" s="9"/>
      <c r="F1594" s="9"/>
      <c r="G1594" s="9"/>
      <c r="H1594" s="9"/>
      <c r="I1594" s="9"/>
      <c r="J1594" s="9"/>
      <c r="K1594" s="9"/>
      <c r="L1594" s="9"/>
      <c r="M1594" s="9"/>
      <c r="N1594" s="10"/>
      <c r="O1594" s="10"/>
      <c r="P1594" s="9"/>
    </row>
    <row r="1595">
      <c r="A1595" s="10"/>
      <c r="B1595" s="9"/>
      <c r="C1595" s="10"/>
      <c r="D1595" s="10"/>
      <c r="E1595" s="9"/>
      <c r="F1595" s="9"/>
      <c r="G1595" s="9"/>
      <c r="H1595" s="9"/>
      <c r="I1595" s="9"/>
      <c r="J1595" s="9"/>
      <c r="K1595" s="9"/>
      <c r="L1595" s="9"/>
      <c r="M1595" s="9"/>
      <c r="N1595" s="10"/>
      <c r="O1595" s="10"/>
      <c r="P1595" s="9"/>
    </row>
    <row r="1596">
      <c r="A1596" s="10"/>
      <c r="B1596" s="9"/>
      <c r="C1596" s="10"/>
      <c r="D1596" s="10"/>
      <c r="E1596" s="9"/>
      <c r="F1596" s="9"/>
      <c r="G1596" s="9"/>
      <c r="H1596" s="9"/>
      <c r="I1596" s="9"/>
      <c r="J1596" s="9"/>
      <c r="K1596" s="9"/>
      <c r="L1596" s="9"/>
      <c r="M1596" s="9"/>
      <c r="N1596" s="10"/>
      <c r="O1596" s="10"/>
      <c r="P1596" s="9"/>
    </row>
    <row r="1597">
      <c r="A1597" s="10"/>
      <c r="B1597" s="9"/>
      <c r="C1597" s="10"/>
      <c r="D1597" s="10"/>
      <c r="E1597" s="9"/>
      <c r="F1597" s="9"/>
      <c r="G1597" s="9"/>
      <c r="H1597" s="9"/>
      <c r="I1597" s="9"/>
      <c r="J1597" s="9"/>
      <c r="K1597" s="9"/>
      <c r="L1597" s="9"/>
      <c r="M1597" s="9"/>
      <c r="N1597" s="10"/>
      <c r="O1597" s="10"/>
      <c r="P1597" s="9"/>
    </row>
    <row r="1598">
      <c r="A1598" s="10"/>
      <c r="B1598" s="9"/>
      <c r="C1598" s="10"/>
      <c r="D1598" s="10"/>
      <c r="E1598" s="9"/>
      <c r="F1598" s="9"/>
      <c r="G1598" s="9"/>
      <c r="H1598" s="9"/>
      <c r="I1598" s="9"/>
      <c r="J1598" s="9"/>
      <c r="K1598" s="9"/>
      <c r="L1598" s="9"/>
      <c r="M1598" s="9"/>
      <c r="N1598" s="10"/>
      <c r="O1598" s="10"/>
      <c r="P1598" s="9"/>
    </row>
    <row r="1599">
      <c r="A1599" s="10"/>
      <c r="B1599" s="9"/>
      <c r="C1599" s="10"/>
      <c r="D1599" s="10"/>
      <c r="E1599" s="9"/>
      <c r="F1599" s="9"/>
      <c r="G1599" s="9"/>
      <c r="H1599" s="9"/>
      <c r="I1599" s="9"/>
      <c r="J1599" s="9"/>
      <c r="K1599" s="9"/>
      <c r="L1599" s="9"/>
      <c r="M1599" s="9"/>
      <c r="N1599" s="10"/>
      <c r="O1599" s="10"/>
      <c r="P1599" s="9"/>
    </row>
    <row r="1600">
      <c r="A1600" s="10"/>
      <c r="B1600" s="9"/>
      <c r="C1600" s="10"/>
      <c r="D1600" s="10"/>
      <c r="E1600" s="9"/>
      <c r="F1600" s="9"/>
      <c r="G1600" s="9"/>
      <c r="H1600" s="9"/>
      <c r="I1600" s="9"/>
      <c r="J1600" s="9"/>
      <c r="K1600" s="9"/>
      <c r="L1600" s="9"/>
      <c r="M1600" s="9"/>
      <c r="N1600" s="10"/>
      <c r="O1600" s="10"/>
      <c r="P1600" s="9"/>
    </row>
    <row r="1601">
      <c r="A1601" s="10"/>
      <c r="B1601" s="9"/>
      <c r="C1601" s="10"/>
      <c r="D1601" s="10"/>
      <c r="E1601" s="9"/>
      <c r="F1601" s="9"/>
      <c r="G1601" s="9"/>
      <c r="H1601" s="9"/>
      <c r="I1601" s="9"/>
      <c r="J1601" s="9"/>
      <c r="K1601" s="9"/>
      <c r="L1601" s="9"/>
      <c r="M1601" s="9"/>
      <c r="N1601" s="10"/>
      <c r="O1601" s="10"/>
      <c r="P1601" s="9"/>
    </row>
    <row r="1602">
      <c r="A1602" s="10"/>
      <c r="B1602" s="9"/>
      <c r="C1602" s="10"/>
      <c r="D1602" s="10"/>
      <c r="E1602" s="9"/>
      <c r="F1602" s="9"/>
      <c r="G1602" s="9"/>
      <c r="H1602" s="9"/>
      <c r="I1602" s="9"/>
      <c r="J1602" s="9"/>
      <c r="K1602" s="9"/>
      <c r="L1602" s="9"/>
      <c r="M1602" s="9"/>
      <c r="N1602" s="10"/>
      <c r="O1602" s="10"/>
      <c r="P1602" s="9"/>
    </row>
    <row r="1603">
      <c r="A1603" s="10"/>
      <c r="B1603" s="9"/>
      <c r="C1603" s="10"/>
      <c r="D1603" s="10"/>
      <c r="E1603" s="9"/>
      <c r="F1603" s="9"/>
      <c r="G1603" s="9"/>
      <c r="H1603" s="9"/>
      <c r="I1603" s="9"/>
      <c r="J1603" s="9"/>
      <c r="K1603" s="9"/>
      <c r="L1603" s="9"/>
      <c r="M1603" s="9"/>
      <c r="N1603" s="10"/>
      <c r="O1603" s="10"/>
      <c r="P1603" s="9"/>
    </row>
    <row r="1604">
      <c r="A1604" s="10"/>
      <c r="B1604" s="9"/>
      <c r="C1604" s="10"/>
      <c r="D1604" s="10"/>
      <c r="E1604" s="9"/>
      <c r="F1604" s="9"/>
      <c r="G1604" s="9"/>
      <c r="H1604" s="9"/>
      <c r="I1604" s="9"/>
      <c r="J1604" s="9"/>
      <c r="K1604" s="9"/>
      <c r="L1604" s="9"/>
      <c r="M1604" s="9"/>
      <c r="N1604" s="10"/>
      <c r="O1604" s="10"/>
      <c r="P1604" s="9"/>
    </row>
    <row r="1605">
      <c r="A1605" s="10"/>
      <c r="B1605" s="9"/>
      <c r="C1605" s="10"/>
      <c r="D1605" s="10"/>
      <c r="E1605" s="9"/>
      <c r="F1605" s="9"/>
      <c r="G1605" s="9"/>
      <c r="H1605" s="9"/>
      <c r="I1605" s="9"/>
      <c r="J1605" s="9"/>
      <c r="K1605" s="9"/>
      <c r="L1605" s="9"/>
      <c r="M1605" s="9"/>
      <c r="N1605" s="10"/>
      <c r="O1605" s="10"/>
      <c r="P1605" s="9"/>
    </row>
    <row r="1606">
      <c r="A1606" s="10"/>
      <c r="B1606" s="9"/>
      <c r="C1606" s="10"/>
      <c r="D1606" s="10"/>
      <c r="E1606" s="9"/>
      <c r="F1606" s="9"/>
      <c r="G1606" s="9"/>
      <c r="H1606" s="9"/>
      <c r="I1606" s="9"/>
      <c r="J1606" s="9"/>
      <c r="K1606" s="9"/>
      <c r="L1606" s="9"/>
      <c r="M1606" s="9"/>
      <c r="N1606" s="10"/>
      <c r="O1606" s="10"/>
      <c r="P1606" s="9"/>
    </row>
    <row r="1607">
      <c r="A1607" s="10"/>
      <c r="B1607" s="9"/>
      <c r="C1607" s="10"/>
      <c r="D1607" s="10"/>
      <c r="E1607" s="9"/>
      <c r="F1607" s="9"/>
      <c r="G1607" s="9"/>
      <c r="H1607" s="9"/>
      <c r="I1607" s="9"/>
      <c r="J1607" s="9"/>
      <c r="K1607" s="9"/>
      <c r="L1607" s="9"/>
      <c r="M1607" s="9"/>
      <c r="N1607" s="10"/>
      <c r="O1607" s="10"/>
      <c r="P1607" s="9"/>
    </row>
    <row r="1608">
      <c r="A1608" s="10"/>
      <c r="B1608" s="9"/>
      <c r="C1608" s="10"/>
      <c r="D1608" s="10"/>
      <c r="E1608" s="9"/>
      <c r="F1608" s="9"/>
      <c r="G1608" s="9"/>
      <c r="H1608" s="9"/>
      <c r="I1608" s="9"/>
      <c r="J1608" s="9"/>
      <c r="K1608" s="9"/>
      <c r="L1608" s="9"/>
      <c r="M1608" s="9"/>
      <c r="N1608" s="10"/>
      <c r="O1608" s="10"/>
      <c r="P1608" s="9"/>
    </row>
    <row r="1609">
      <c r="A1609" s="10"/>
      <c r="B1609" s="9"/>
      <c r="C1609" s="10"/>
      <c r="D1609" s="10"/>
      <c r="E1609" s="9"/>
      <c r="F1609" s="9"/>
      <c r="G1609" s="9"/>
      <c r="H1609" s="9"/>
      <c r="I1609" s="9"/>
      <c r="J1609" s="9"/>
      <c r="K1609" s="9"/>
      <c r="L1609" s="9"/>
      <c r="M1609" s="9"/>
      <c r="N1609" s="10"/>
      <c r="O1609" s="10"/>
      <c r="P1609" s="9"/>
    </row>
    <row r="1610">
      <c r="A1610" s="10"/>
      <c r="B1610" s="9"/>
      <c r="C1610" s="10"/>
      <c r="D1610" s="10"/>
      <c r="E1610" s="9"/>
      <c r="F1610" s="9"/>
      <c r="G1610" s="9"/>
      <c r="H1610" s="9"/>
      <c r="I1610" s="9"/>
      <c r="J1610" s="9"/>
      <c r="K1610" s="9"/>
      <c r="L1610" s="9"/>
      <c r="M1610" s="9"/>
      <c r="N1610" s="10"/>
      <c r="O1610" s="10"/>
      <c r="P1610" s="9"/>
    </row>
    <row r="1611">
      <c r="A1611" s="10"/>
      <c r="B1611" s="9"/>
      <c r="C1611" s="10"/>
      <c r="D1611" s="10"/>
      <c r="E1611" s="9"/>
      <c r="F1611" s="9"/>
      <c r="G1611" s="9"/>
      <c r="H1611" s="9"/>
      <c r="I1611" s="9"/>
      <c r="J1611" s="9"/>
      <c r="K1611" s="9"/>
      <c r="L1611" s="9"/>
      <c r="M1611" s="9"/>
      <c r="N1611" s="10"/>
      <c r="O1611" s="10"/>
      <c r="P1611" s="9"/>
    </row>
    <row r="1612">
      <c r="A1612" s="10"/>
      <c r="B1612" s="9"/>
      <c r="C1612" s="10"/>
      <c r="D1612" s="10"/>
      <c r="E1612" s="9"/>
      <c r="F1612" s="9"/>
      <c r="G1612" s="9"/>
      <c r="H1612" s="9"/>
      <c r="I1612" s="9"/>
      <c r="J1612" s="9"/>
      <c r="K1612" s="9"/>
      <c r="L1612" s="9"/>
      <c r="M1612" s="9"/>
      <c r="N1612" s="10"/>
      <c r="O1612" s="10"/>
      <c r="P1612" s="9"/>
    </row>
    <row r="1613">
      <c r="A1613" s="10"/>
      <c r="B1613" s="9"/>
      <c r="C1613" s="10"/>
      <c r="D1613" s="10"/>
      <c r="E1613" s="9"/>
      <c r="F1613" s="9"/>
      <c r="G1613" s="9"/>
      <c r="H1613" s="9"/>
      <c r="I1613" s="9"/>
      <c r="J1613" s="9"/>
      <c r="K1613" s="9"/>
      <c r="L1613" s="9"/>
      <c r="M1613" s="9"/>
      <c r="N1613" s="10"/>
      <c r="O1613" s="10"/>
      <c r="P1613" s="9"/>
    </row>
    <row r="1614">
      <c r="A1614" s="10"/>
      <c r="B1614" s="9"/>
      <c r="C1614" s="10"/>
      <c r="D1614" s="10"/>
      <c r="E1614" s="9"/>
      <c r="F1614" s="9"/>
      <c r="G1614" s="9"/>
      <c r="H1614" s="9"/>
      <c r="I1614" s="9"/>
      <c r="J1614" s="9"/>
      <c r="K1614" s="9"/>
      <c r="L1614" s="9"/>
      <c r="M1614" s="9"/>
      <c r="N1614" s="10"/>
      <c r="O1614" s="10"/>
      <c r="P1614" s="9"/>
    </row>
    <row r="1615">
      <c r="A1615" s="10"/>
      <c r="B1615" s="9"/>
      <c r="C1615" s="10"/>
      <c r="D1615" s="10"/>
      <c r="E1615" s="9"/>
      <c r="F1615" s="9"/>
      <c r="G1615" s="9"/>
      <c r="H1615" s="9"/>
      <c r="I1615" s="9"/>
      <c r="J1615" s="9"/>
      <c r="K1615" s="9"/>
      <c r="L1615" s="9"/>
      <c r="M1615" s="9"/>
      <c r="N1615" s="10"/>
      <c r="O1615" s="10"/>
      <c r="P1615" s="9"/>
    </row>
    <row r="1616">
      <c r="A1616" s="10"/>
      <c r="B1616" s="9"/>
      <c r="C1616" s="10"/>
      <c r="D1616" s="10"/>
      <c r="E1616" s="9"/>
      <c r="F1616" s="9"/>
      <c r="G1616" s="9"/>
      <c r="H1616" s="9"/>
      <c r="I1616" s="9"/>
      <c r="J1616" s="9"/>
      <c r="K1616" s="9"/>
      <c r="L1616" s="9"/>
      <c r="M1616" s="9"/>
      <c r="N1616" s="10"/>
      <c r="O1616" s="10"/>
      <c r="P1616" s="9"/>
    </row>
    <row r="1617">
      <c r="A1617" s="10"/>
      <c r="B1617" s="9"/>
      <c r="C1617" s="10"/>
      <c r="D1617" s="10"/>
      <c r="E1617" s="9"/>
      <c r="F1617" s="9"/>
      <c r="G1617" s="9"/>
      <c r="H1617" s="9"/>
      <c r="I1617" s="9"/>
      <c r="J1617" s="9"/>
      <c r="K1617" s="9"/>
      <c r="L1617" s="9"/>
      <c r="M1617" s="9"/>
      <c r="N1617" s="10"/>
      <c r="O1617" s="10"/>
      <c r="P1617" s="9"/>
    </row>
    <row r="1618">
      <c r="A1618" s="10"/>
      <c r="B1618" s="9"/>
      <c r="C1618" s="10"/>
      <c r="D1618" s="10"/>
      <c r="E1618" s="9"/>
      <c r="F1618" s="9"/>
      <c r="G1618" s="9"/>
      <c r="H1618" s="9"/>
      <c r="I1618" s="9"/>
      <c r="J1618" s="9"/>
      <c r="K1618" s="9"/>
      <c r="L1618" s="9"/>
      <c r="M1618" s="9"/>
      <c r="N1618" s="10"/>
      <c r="O1618" s="10"/>
      <c r="P1618" s="9"/>
    </row>
    <row r="1619">
      <c r="A1619" s="10"/>
      <c r="B1619" s="9"/>
      <c r="C1619" s="10"/>
      <c r="D1619" s="10"/>
      <c r="E1619" s="9"/>
      <c r="F1619" s="9"/>
      <c r="G1619" s="9"/>
      <c r="H1619" s="9"/>
      <c r="I1619" s="9"/>
      <c r="J1619" s="9"/>
      <c r="K1619" s="9"/>
      <c r="L1619" s="9"/>
      <c r="M1619" s="9"/>
      <c r="N1619" s="10"/>
      <c r="O1619" s="10"/>
      <c r="P1619" s="9"/>
    </row>
    <row r="1620">
      <c r="A1620" s="10"/>
      <c r="B1620" s="9"/>
      <c r="C1620" s="10"/>
      <c r="D1620" s="10"/>
      <c r="E1620" s="9"/>
      <c r="F1620" s="9"/>
      <c r="G1620" s="9"/>
      <c r="H1620" s="9"/>
      <c r="I1620" s="9"/>
      <c r="J1620" s="9"/>
      <c r="K1620" s="9"/>
      <c r="L1620" s="9"/>
      <c r="M1620" s="9"/>
      <c r="N1620" s="10"/>
      <c r="O1620" s="10"/>
      <c r="P1620" s="9"/>
    </row>
    <row r="1621">
      <c r="A1621" s="10"/>
      <c r="B1621" s="9"/>
      <c r="C1621" s="10"/>
      <c r="D1621" s="10"/>
      <c r="E1621" s="9"/>
      <c r="F1621" s="9"/>
      <c r="G1621" s="9"/>
      <c r="H1621" s="9"/>
      <c r="I1621" s="9"/>
      <c r="J1621" s="9"/>
      <c r="K1621" s="9"/>
      <c r="L1621" s="9"/>
      <c r="M1621" s="9"/>
      <c r="N1621" s="10"/>
      <c r="O1621" s="10"/>
      <c r="P1621" s="9"/>
    </row>
    <row r="1622">
      <c r="A1622" s="10"/>
      <c r="B1622" s="9"/>
      <c r="C1622" s="10"/>
      <c r="D1622" s="10"/>
      <c r="E1622" s="9"/>
      <c r="F1622" s="9"/>
      <c r="G1622" s="9"/>
      <c r="H1622" s="9"/>
      <c r="I1622" s="9"/>
      <c r="J1622" s="9"/>
      <c r="K1622" s="9"/>
      <c r="L1622" s="9"/>
      <c r="M1622" s="9"/>
      <c r="N1622" s="10"/>
      <c r="O1622" s="10"/>
      <c r="P1622" s="9"/>
    </row>
    <row r="1623">
      <c r="A1623" s="10"/>
      <c r="B1623" s="9"/>
      <c r="C1623" s="10"/>
      <c r="D1623" s="10"/>
      <c r="E1623" s="9"/>
      <c r="F1623" s="9"/>
      <c r="G1623" s="9"/>
      <c r="H1623" s="9"/>
      <c r="I1623" s="9"/>
      <c r="J1623" s="9"/>
      <c r="K1623" s="9"/>
      <c r="L1623" s="9"/>
      <c r="M1623" s="9"/>
      <c r="N1623" s="10"/>
      <c r="O1623" s="10"/>
      <c r="P1623" s="9"/>
    </row>
    <row r="1624">
      <c r="A1624" s="10"/>
      <c r="B1624" s="9"/>
      <c r="C1624" s="10"/>
      <c r="D1624" s="10"/>
      <c r="E1624" s="9"/>
      <c r="F1624" s="9"/>
      <c r="G1624" s="9"/>
      <c r="H1624" s="9"/>
      <c r="I1624" s="9"/>
      <c r="J1624" s="9"/>
      <c r="K1624" s="9"/>
      <c r="L1624" s="9"/>
      <c r="M1624" s="9"/>
      <c r="N1624" s="10"/>
      <c r="O1624" s="10"/>
      <c r="P1624" s="9"/>
    </row>
    <row r="1625">
      <c r="A1625" s="10"/>
      <c r="B1625" s="9"/>
      <c r="C1625" s="10"/>
      <c r="D1625" s="10"/>
      <c r="E1625" s="9"/>
      <c r="F1625" s="9"/>
      <c r="G1625" s="9"/>
      <c r="H1625" s="9"/>
      <c r="I1625" s="9"/>
      <c r="J1625" s="9"/>
      <c r="K1625" s="9"/>
      <c r="L1625" s="9"/>
      <c r="M1625" s="9"/>
      <c r="N1625" s="10"/>
      <c r="O1625" s="10"/>
      <c r="P1625" s="9"/>
    </row>
    <row r="1626">
      <c r="A1626" s="10"/>
      <c r="B1626" s="9"/>
      <c r="C1626" s="10"/>
      <c r="D1626" s="10"/>
      <c r="E1626" s="9"/>
      <c r="F1626" s="9"/>
      <c r="G1626" s="9"/>
      <c r="H1626" s="9"/>
      <c r="I1626" s="9"/>
      <c r="J1626" s="9"/>
      <c r="K1626" s="9"/>
      <c r="L1626" s="9"/>
      <c r="M1626" s="9"/>
      <c r="N1626" s="10"/>
      <c r="O1626" s="10"/>
      <c r="P1626" s="9"/>
    </row>
    <row r="1627">
      <c r="A1627" s="10"/>
      <c r="B1627" s="9"/>
      <c r="C1627" s="10"/>
      <c r="D1627" s="10"/>
      <c r="E1627" s="9"/>
      <c r="F1627" s="9"/>
      <c r="G1627" s="9"/>
      <c r="H1627" s="9"/>
      <c r="I1627" s="9"/>
      <c r="J1627" s="9"/>
      <c r="K1627" s="9"/>
      <c r="L1627" s="9"/>
      <c r="M1627" s="9"/>
      <c r="N1627" s="10"/>
      <c r="O1627" s="10"/>
      <c r="P1627" s="9"/>
    </row>
    <row r="1628">
      <c r="A1628" s="10"/>
      <c r="B1628" s="9"/>
      <c r="C1628" s="10"/>
      <c r="D1628" s="10"/>
      <c r="E1628" s="9"/>
      <c r="F1628" s="9"/>
      <c r="G1628" s="9"/>
      <c r="H1628" s="9"/>
      <c r="I1628" s="9"/>
      <c r="J1628" s="9"/>
      <c r="K1628" s="9"/>
      <c r="L1628" s="9"/>
      <c r="M1628" s="9"/>
      <c r="N1628" s="10"/>
      <c r="O1628" s="10"/>
      <c r="P1628" s="9"/>
    </row>
    <row r="1629">
      <c r="A1629" s="10"/>
      <c r="B1629" s="9"/>
      <c r="C1629" s="10"/>
      <c r="D1629" s="10"/>
      <c r="E1629" s="9"/>
      <c r="F1629" s="9"/>
      <c r="G1629" s="9"/>
      <c r="H1629" s="9"/>
      <c r="I1629" s="9"/>
      <c r="J1629" s="9"/>
      <c r="K1629" s="9"/>
      <c r="L1629" s="9"/>
      <c r="M1629" s="9"/>
      <c r="N1629" s="10"/>
      <c r="O1629" s="10"/>
      <c r="P1629" s="9"/>
    </row>
    <row r="1630">
      <c r="A1630" s="10"/>
      <c r="B1630" s="9"/>
      <c r="C1630" s="10"/>
      <c r="D1630" s="10"/>
      <c r="E1630" s="9"/>
      <c r="F1630" s="9"/>
      <c r="G1630" s="9"/>
      <c r="H1630" s="9"/>
      <c r="I1630" s="9"/>
      <c r="J1630" s="9"/>
      <c r="K1630" s="9"/>
      <c r="L1630" s="9"/>
      <c r="M1630" s="9"/>
      <c r="N1630" s="10"/>
      <c r="O1630" s="10"/>
      <c r="P1630" s="9"/>
    </row>
    <row r="1631">
      <c r="A1631" s="10"/>
      <c r="B1631" s="9"/>
      <c r="C1631" s="10"/>
      <c r="D1631" s="10"/>
      <c r="E1631" s="9"/>
      <c r="F1631" s="9"/>
      <c r="G1631" s="9"/>
      <c r="H1631" s="9"/>
      <c r="I1631" s="9"/>
      <c r="J1631" s="9"/>
      <c r="K1631" s="9"/>
      <c r="L1631" s="9"/>
      <c r="M1631" s="9"/>
      <c r="N1631" s="10"/>
      <c r="O1631" s="10"/>
      <c r="P1631" s="9"/>
    </row>
    <row r="1632">
      <c r="A1632" s="10"/>
      <c r="B1632" s="9"/>
      <c r="C1632" s="10"/>
      <c r="D1632" s="10"/>
      <c r="E1632" s="9"/>
      <c r="F1632" s="9"/>
      <c r="G1632" s="9"/>
      <c r="H1632" s="9"/>
      <c r="I1632" s="9"/>
      <c r="J1632" s="9"/>
      <c r="K1632" s="9"/>
      <c r="L1632" s="9"/>
      <c r="M1632" s="9"/>
      <c r="N1632" s="10"/>
      <c r="O1632" s="10"/>
      <c r="P1632" s="9"/>
    </row>
    <row r="1633">
      <c r="A1633" s="10"/>
      <c r="B1633" s="9"/>
      <c r="C1633" s="10"/>
      <c r="D1633" s="10"/>
      <c r="E1633" s="9"/>
      <c r="F1633" s="9"/>
      <c r="G1633" s="9"/>
      <c r="H1633" s="9"/>
      <c r="I1633" s="9"/>
      <c r="J1633" s="9"/>
      <c r="K1633" s="9"/>
      <c r="L1633" s="9"/>
      <c r="M1633" s="9"/>
      <c r="N1633" s="10"/>
      <c r="O1633" s="10"/>
      <c r="P1633" s="9"/>
    </row>
    <row r="1634">
      <c r="A1634" s="10"/>
      <c r="B1634" s="9"/>
      <c r="C1634" s="10"/>
      <c r="D1634" s="10"/>
      <c r="E1634" s="9"/>
      <c r="F1634" s="9"/>
      <c r="G1634" s="9"/>
      <c r="H1634" s="9"/>
      <c r="I1634" s="9"/>
      <c r="J1634" s="9"/>
      <c r="K1634" s="9"/>
      <c r="L1634" s="9"/>
      <c r="M1634" s="9"/>
      <c r="N1634" s="10"/>
      <c r="O1634" s="10"/>
      <c r="P1634" s="9"/>
    </row>
    <row r="1635">
      <c r="A1635" s="10"/>
      <c r="B1635" s="9"/>
      <c r="C1635" s="10"/>
      <c r="D1635" s="10"/>
      <c r="E1635" s="9"/>
      <c r="F1635" s="9"/>
      <c r="G1635" s="9"/>
      <c r="H1635" s="9"/>
      <c r="I1635" s="9"/>
      <c r="J1635" s="9"/>
      <c r="K1635" s="9"/>
      <c r="L1635" s="9"/>
      <c r="M1635" s="9"/>
      <c r="N1635" s="10"/>
      <c r="O1635" s="10"/>
      <c r="P1635" s="9"/>
    </row>
    <row r="1636">
      <c r="A1636" s="10"/>
      <c r="B1636" s="9"/>
      <c r="C1636" s="10"/>
      <c r="D1636" s="10"/>
      <c r="E1636" s="9"/>
      <c r="F1636" s="9"/>
      <c r="G1636" s="9"/>
      <c r="H1636" s="9"/>
      <c r="I1636" s="9"/>
      <c r="J1636" s="9"/>
      <c r="K1636" s="9"/>
      <c r="L1636" s="9"/>
      <c r="M1636" s="9"/>
      <c r="N1636" s="10"/>
      <c r="O1636" s="10"/>
      <c r="P1636" s="9"/>
    </row>
    <row r="1637">
      <c r="A1637" s="10"/>
      <c r="B1637" s="9"/>
      <c r="C1637" s="10"/>
      <c r="D1637" s="10"/>
      <c r="E1637" s="9"/>
      <c r="F1637" s="9"/>
      <c r="G1637" s="9"/>
      <c r="H1637" s="9"/>
      <c r="I1637" s="9"/>
      <c r="J1637" s="9"/>
      <c r="K1637" s="9"/>
      <c r="L1637" s="9"/>
      <c r="M1637" s="9"/>
      <c r="N1637" s="10"/>
      <c r="O1637" s="10"/>
      <c r="P1637" s="9"/>
    </row>
    <row r="1638">
      <c r="A1638" s="10"/>
      <c r="B1638" s="9"/>
      <c r="C1638" s="10"/>
      <c r="D1638" s="10"/>
      <c r="E1638" s="9"/>
      <c r="F1638" s="9"/>
      <c r="G1638" s="9"/>
      <c r="H1638" s="9"/>
      <c r="I1638" s="9"/>
      <c r="J1638" s="9"/>
      <c r="K1638" s="9"/>
      <c r="L1638" s="9"/>
      <c r="M1638" s="9"/>
      <c r="N1638" s="10"/>
      <c r="O1638" s="10"/>
      <c r="P1638" s="9"/>
    </row>
    <row r="1639">
      <c r="A1639" s="10"/>
      <c r="B1639" s="9"/>
      <c r="C1639" s="10"/>
      <c r="D1639" s="10"/>
      <c r="E1639" s="9"/>
      <c r="F1639" s="9"/>
      <c r="G1639" s="9"/>
      <c r="H1639" s="9"/>
      <c r="I1639" s="9"/>
      <c r="J1639" s="9"/>
      <c r="K1639" s="9"/>
      <c r="L1639" s="9"/>
      <c r="M1639" s="9"/>
      <c r="N1639" s="10"/>
      <c r="O1639" s="10"/>
      <c r="P1639" s="9"/>
    </row>
    <row r="1640">
      <c r="A1640" s="10"/>
      <c r="B1640" s="9"/>
      <c r="C1640" s="10"/>
      <c r="D1640" s="10"/>
      <c r="E1640" s="9"/>
      <c r="F1640" s="9"/>
      <c r="G1640" s="9"/>
      <c r="H1640" s="9"/>
      <c r="I1640" s="9"/>
      <c r="J1640" s="9"/>
      <c r="K1640" s="9"/>
      <c r="L1640" s="9"/>
      <c r="M1640" s="9"/>
      <c r="N1640" s="10"/>
      <c r="O1640" s="10"/>
      <c r="P1640" s="9"/>
    </row>
    <row r="1641">
      <c r="A1641" s="10"/>
      <c r="B1641" s="9"/>
      <c r="C1641" s="10"/>
      <c r="D1641" s="10"/>
      <c r="E1641" s="9"/>
      <c r="F1641" s="9"/>
      <c r="G1641" s="9"/>
      <c r="H1641" s="9"/>
      <c r="I1641" s="9"/>
      <c r="J1641" s="9"/>
      <c r="K1641" s="9"/>
      <c r="L1641" s="9"/>
      <c r="M1641" s="9"/>
      <c r="N1641" s="10"/>
      <c r="O1641" s="10"/>
      <c r="P1641" s="9"/>
    </row>
    <row r="1642">
      <c r="A1642" s="10"/>
      <c r="B1642" s="9"/>
      <c r="C1642" s="10"/>
      <c r="D1642" s="10"/>
      <c r="E1642" s="9"/>
      <c r="F1642" s="9"/>
      <c r="G1642" s="9"/>
      <c r="H1642" s="9"/>
      <c r="I1642" s="9"/>
      <c r="J1642" s="9"/>
      <c r="K1642" s="9"/>
      <c r="L1642" s="9"/>
      <c r="M1642" s="9"/>
      <c r="N1642" s="10"/>
      <c r="O1642" s="10"/>
      <c r="P1642" s="9"/>
    </row>
    <row r="1643">
      <c r="A1643" s="10"/>
      <c r="B1643" s="9"/>
      <c r="C1643" s="10"/>
      <c r="D1643" s="10"/>
      <c r="E1643" s="9"/>
      <c r="F1643" s="9"/>
      <c r="G1643" s="9"/>
      <c r="H1643" s="9"/>
      <c r="I1643" s="9"/>
      <c r="J1643" s="9"/>
      <c r="K1643" s="9"/>
      <c r="L1643" s="9"/>
      <c r="M1643" s="9"/>
      <c r="N1643" s="10"/>
      <c r="O1643" s="10"/>
      <c r="P1643" s="9"/>
    </row>
    <row r="1644">
      <c r="A1644" s="10"/>
      <c r="B1644" s="9"/>
      <c r="C1644" s="10"/>
      <c r="D1644" s="10"/>
      <c r="E1644" s="9"/>
      <c r="F1644" s="9"/>
      <c r="G1644" s="9"/>
      <c r="H1644" s="9"/>
      <c r="I1644" s="9"/>
      <c r="J1644" s="9"/>
      <c r="K1644" s="9"/>
      <c r="L1644" s="9"/>
      <c r="M1644" s="9"/>
      <c r="N1644" s="10"/>
      <c r="O1644" s="10"/>
      <c r="P1644" s="9"/>
    </row>
    <row r="1645">
      <c r="A1645" s="10"/>
      <c r="B1645" s="9"/>
      <c r="C1645" s="10"/>
      <c r="D1645" s="10"/>
      <c r="E1645" s="9"/>
      <c r="F1645" s="9"/>
      <c r="G1645" s="9"/>
      <c r="H1645" s="9"/>
      <c r="I1645" s="9"/>
      <c r="J1645" s="9"/>
      <c r="K1645" s="9"/>
      <c r="L1645" s="9"/>
      <c r="M1645" s="9"/>
      <c r="N1645" s="10"/>
      <c r="O1645" s="10"/>
      <c r="P1645" s="9"/>
    </row>
    <row r="1646">
      <c r="A1646" s="10"/>
      <c r="B1646" s="9"/>
      <c r="C1646" s="10"/>
      <c r="D1646" s="10"/>
      <c r="E1646" s="9"/>
      <c r="F1646" s="9"/>
      <c r="G1646" s="9"/>
      <c r="H1646" s="9"/>
      <c r="I1646" s="9"/>
      <c r="J1646" s="9"/>
      <c r="K1646" s="9"/>
      <c r="L1646" s="9"/>
      <c r="M1646" s="9"/>
      <c r="N1646" s="10"/>
      <c r="O1646" s="10"/>
      <c r="P1646" s="9"/>
    </row>
    <row r="1647">
      <c r="A1647" s="10"/>
      <c r="B1647" s="9"/>
      <c r="C1647" s="10"/>
      <c r="D1647" s="10"/>
      <c r="E1647" s="9"/>
      <c r="F1647" s="9"/>
      <c r="G1647" s="9"/>
      <c r="H1647" s="9"/>
      <c r="I1647" s="9"/>
      <c r="J1647" s="9"/>
      <c r="K1647" s="9"/>
      <c r="L1647" s="9"/>
      <c r="M1647" s="9"/>
      <c r="N1647" s="10"/>
      <c r="O1647" s="10"/>
      <c r="P1647" s="9"/>
    </row>
    <row r="1648">
      <c r="A1648" s="10"/>
      <c r="B1648" s="9"/>
      <c r="C1648" s="10"/>
      <c r="D1648" s="10"/>
      <c r="E1648" s="9"/>
      <c r="F1648" s="9"/>
      <c r="G1648" s="9"/>
      <c r="H1648" s="9"/>
      <c r="I1648" s="9"/>
      <c r="J1648" s="9"/>
      <c r="K1648" s="9"/>
      <c r="L1648" s="9"/>
      <c r="M1648" s="9"/>
      <c r="N1648" s="10"/>
      <c r="O1648" s="10"/>
      <c r="P1648" s="9"/>
    </row>
    <row r="1649">
      <c r="A1649" s="10"/>
      <c r="B1649" s="9"/>
      <c r="C1649" s="10"/>
      <c r="D1649" s="10"/>
      <c r="E1649" s="9"/>
      <c r="F1649" s="9"/>
      <c r="G1649" s="9"/>
      <c r="H1649" s="9"/>
      <c r="I1649" s="9"/>
      <c r="J1649" s="9"/>
      <c r="K1649" s="9"/>
      <c r="L1649" s="9"/>
      <c r="M1649" s="9"/>
      <c r="N1649" s="10"/>
      <c r="O1649" s="10"/>
      <c r="P1649" s="9"/>
    </row>
    <row r="1650">
      <c r="A1650" s="10"/>
      <c r="B1650" s="9"/>
      <c r="C1650" s="10"/>
      <c r="D1650" s="10"/>
      <c r="E1650" s="9"/>
      <c r="F1650" s="9"/>
      <c r="G1650" s="9"/>
      <c r="H1650" s="9"/>
      <c r="I1650" s="9"/>
      <c r="J1650" s="9"/>
      <c r="K1650" s="9"/>
      <c r="L1650" s="9"/>
      <c r="M1650" s="9"/>
      <c r="N1650" s="10"/>
      <c r="O1650" s="10"/>
      <c r="P1650" s="9"/>
    </row>
    <row r="1651">
      <c r="A1651" s="10"/>
      <c r="B1651" s="9"/>
      <c r="C1651" s="10"/>
      <c r="D1651" s="10"/>
      <c r="E1651" s="9"/>
      <c r="F1651" s="9"/>
      <c r="G1651" s="9"/>
      <c r="H1651" s="9"/>
      <c r="I1651" s="9"/>
      <c r="J1651" s="9"/>
      <c r="K1651" s="9"/>
      <c r="L1651" s="9"/>
      <c r="M1651" s="9"/>
      <c r="N1651" s="10"/>
      <c r="O1651" s="10"/>
      <c r="P1651" s="9"/>
    </row>
    <row r="1652">
      <c r="A1652" s="10"/>
      <c r="B1652" s="9"/>
      <c r="C1652" s="10"/>
      <c r="D1652" s="10"/>
      <c r="E1652" s="9"/>
      <c r="F1652" s="9"/>
      <c r="G1652" s="9"/>
      <c r="H1652" s="9"/>
      <c r="I1652" s="9"/>
      <c r="J1652" s="9"/>
      <c r="K1652" s="9"/>
      <c r="L1652" s="9"/>
      <c r="M1652" s="9"/>
      <c r="N1652" s="10"/>
      <c r="O1652" s="10"/>
      <c r="P1652" s="9"/>
    </row>
    <row r="1653">
      <c r="A1653" s="10"/>
      <c r="B1653" s="9"/>
      <c r="C1653" s="10"/>
      <c r="D1653" s="10"/>
      <c r="E1653" s="9"/>
      <c r="F1653" s="9"/>
      <c r="G1653" s="9"/>
      <c r="H1653" s="9"/>
      <c r="I1653" s="9"/>
      <c r="J1653" s="9"/>
      <c r="K1653" s="9"/>
      <c r="L1653" s="9"/>
      <c r="M1653" s="9"/>
      <c r="N1653" s="10"/>
      <c r="O1653" s="10"/>
      <c r="P1653" s="9"/>
    </row>
    <row r="1654">
      <c r="A1654" s="10"/>
      <c r="B1654" s="9"/>
      <c r="C1654" s="10"/>
      <c r="D1654" s="10"/>
      <c r="E1654" s="9"/>
      <c r="F1654" s="9"/>
      <c r="G1654" s="9"/>
      <c r="H1654" s="9"/>
      <c r="I1654" s="9"/>
      <c r="J1654" s="9"/>
      <c r="K1654" s="9"/>
      <c r="L1654" s="9"/>
      <c r="M1654" s="9"/>
      <c r="N1654" s="10"/>
      <c r="O1654" s="10"/>
      <c r="P1654" s="9"/>
    </row>
    <row r="1655">
      <c r="A1655" s="10"/>
      <c r="B1655" s="9"/>
      <c r="C1655" s="10"/>
      <c r="D1655" s="10"/>
      <c r="E1655" s="9"/>
      <c r="F1655" s="9"/>
      <c r="G1655" s="9"/>
      <c r="H1655" s="9"/>
      <c r="I1655" s="9"/>
      <c r="J1655" s="9"/>
      <c r="K1655" s="9"/>
      <c r="L1655" s="9"/>
      <c r="M1655" s="9"/>
      <c r="N1655" s="10"/>
      <c r="O1655" s="10"/>
      <c r="P1655" s="9"/>
    </row>
    <row r="1656">
      <c r="A1656" s="10"/>
      <c r="B1656" s="9"/>
      <c r="C1656" s="10"/>
      <c r="D1656" s="10"/>
      <c r="E1656" s="9"/>
      <c r="F1656" s="9"/>
      <c r="G1656" s="9"/>
      <c r="H1656" s="9"/>
      <c r="I1656" s="9"/>
      <c r="J1656" s="9"/>
      <c r="K1656" s="9"/>
      <c r="L1656" s="9"/>
      <c r="M1656" s="9"/>
      <c r="N1656" s="10"/>
      <c r="O1656" s="10"/>
      <c r="P1656" s="9"/>
    </row>
    <row r="1657">
      <c r="A1657" s="10"/>
      <c r="B1657" s="9"/>
      <c r="C1657" s="10"/>
      <c r="D1657" s="10"/>
      <c r="E1657" s="9"/>
      <c r="F1657" s="9"/>
      <c r="G1657" s="9"/>
      <c r="H1657" s="9"/>
      <c r="I1657" s="9"/>
      <c r="J1657" s="9"/>
      <c r="K1657" s="9"/>
      <c r="L1657" s="9"/>
      <c r="M1657" s="9"/>
      <c r="N1657" s="10"/>
      <c r="O1657" s="10"/>
      <c r="P1657" s="9"/>
    </row>
    <row r="1658">
      <c r="A1658" s="10"/>
      <c r="B1658" s="9"/>
      <c r="C1658" s="10"/>
      <c r="D1658" s="10"/>
      <c r="E1658" s="9"/>
      <c r="F1658" s="9"/>
      <c r="G1658" s="9"/>
      <c r="H1658" s="9"/>
      <c r="I1658" s="9"/>
      <c r="J1658" s="9"/>
      <c r="K1658" s="9"/>
      <c r="L1658" s="9"/>
      <c r="M1658" s="9"/>
      <c r="N1658" s="10"/>
      <c r="O1658" s="10"/>
      <c r="P1658" s="9"/>
    </row>
    <row r="1659">
      <c r="A1659" s="10"/>
      <c r="B1659" s="9"/>
      <c r="C1659" s="10"/>
      <c r="D1659" s="10"/>
      <c r="E1659" s="9"/>
      <c r="F1659" s="9"/>
      <c r="G1659" s="9"/>
      <c r="H1659" s="9"/>
      <c r="I1659" s="9"/>
      <c r="J1659" s="9"/>
      <c r="K1659" s="9"/>
      <c r="L1659" s="9"/>
      <c r="M1659" s="9"/>
      <c r="N1659" s="10"/>
      <c r="O1659" s="10"/>
      <c r="P1659" s="9"/>
    </row>
    <row r="1660">
      <c r="A1660" s="10"/>
      <c r="B1660" s="9"/>
      <c r="C1660" s="10"/>
      <c r="D1660" s="10"/>
      <c r="E1660" s="9"/>
      <c r="F1660" s="9"/>
      <c r="G1660" s="9"/>
      <c r="H1660" s="9"/>
      <c r="I1660" s="9"/>
      <c r="J1660" s="9"/>
      <c r="K1660" s="9"/>
      <c r="L1660" s="9"/>
      <c r="M1660" s="9"/>
      <c r="N1660" s="10"/>
      <c r="O1660" s="10"/>
      <c r="P1660" s="9"/>
    </row>
    <row r="1661">
      <c r="A1661" s="10"/>
      <c r="B1661" s="9"/>
      <c r="C1661" s="10"/>
      <c r="D1661" s="10"/>
      <c r="E1661" s="9"/>
      <c r="F1661" s="9"/>
      <c r="G1661" s="9"/>
      <c r="H1661" s="9"/>
      <c r="I1661" s="9"/>
      <c r="J1661" s="9"/>
      <c r="K1661" s="9"/>
      <c r="L1661" s="9"/>
      <c r="M1661" s="9"/>
      <c r="N1661" s="10"/>
      <c r="O1661" s="10"/>
      <c r="P1661" s="9"/>
    </row>
    <row r="1662">
      <c r="A1662" s="10"/>
      <c r="B1662" s="9"/>
      <c r="C1662" s="10"/>
      <c r="D1662" s="10"/>
      <c r="E1662" s="9"/>
      <c r="F1662" s="9"/>
      <c r="G1662" s="9"/>
      <c r="H1662" s="9"/>
      <c r="I1662" s="9"/>
      <c r="J1662" s="9"/>
      <c r="K1662" s="9"/>
      <c r="L1662" s="9"/>
      <c r="M1662" s="9"/>
      <c r="N1662" s="10"/>
      <c r="O1662" s="10"/>
      <c r="P1662" s="9"/>
    </row>
    <row r="1663">
      <c r="A1663" s="10"/>
      <c r="B1663" s="9"/>
      <c r="C1663" s="10"/>
      <c r="D1663" s="10"/>
      <c r="E1663" s="9"/>
      <c r="F1663" s="9"/>
      <c r="G1663" s="9"/>
      <c r="H1663" s="9"/>
      <c r="I1663" s="9"/>
      <c r="J1663" s="9"/>
      <c r="K1663" s="9"/>
      <c r="L1663" s="9"/>
      <c r="M1663" s="9"/>
      <c r="N1663" s="10"/>
      <c r="O1663" s="10"/>
      <c r="P1663" s="9"/>
    </row>
    <row r="1664">
      <c r="A1664" s="10"/>
      <c r="B1664" s="9"/>
      <c r="C1664" s="10"/>
      <c r="D1664" s="10"/>
      <c r="E1664" s="9"/>
      <c r="F1664" s="9"/>
      <c r="G1664" s="9"/>
      <c r="H1664" s="9"/>
      <c r="I1664" s="9"/>
      <c r="J1664" s="9"/>
      <c r="K1664" s="9"/>
      <c r="L1664" s="9"/>
      <c r="M1664" s="9"/>
      <c r="N1664" s="10"/>
      <c r="O1664" s="10"/>
      <c r="P1664" s="9"/>
    </row>
    <row r="1665">
      <c r="A1665" s="10"/>
      <c r="B1665" s="9"/>
      <c r="C1665" s="10"/>
      <c r="D1665" s="10"/>
      <c r="E1665" s="9"/>
      <c r="F1665" s="9"/>
      <c r="G1665" s="9"/>
      <c r="H1665" s="9"/>
      <c r="I1665" s="9"/>
      <c r="J1665" s="9"/>
      <c r="K1665" s="9"/>
      <c r="L1665" s="9"/>
      <c r="M1665" s="9"/>
      <c r="N1665" s="10"/>
      <c r="O1665" s="10"/>
      <c r="P1665" s="9"/>
    </row>
    <row r="1666">
      <c r="A1666" s="10"/>
      <c r="B1666" s="9"/>
      <c r="C1666" s="10"/>
      <c r="D1666" s="10"/>
      <c r="E1666" s="9"/>
      <c r="F1666" s="9"/>
      <c r="G1666" s="9"/>
      <c r="H1666" s="9"/>
      <c r="I1666" s="9"/>
      <c r="J1666" s="9"/>
      <c r="K1666" s="9"/>
      <c r="L1666" s="9"/>
      <c r="M1666" s="9"/>
      <c r="N1666" s="10"/>
      <c r="O1666" s="10"/>
      <c r="P1666" s="9"/>
    </row>
    <row r="1667">
      <c r="A1667" s="10"/>
      <c r="B1667" s="9"/>
      <c r="C1667" s="10"/>
      <c r="D1667" s="10"/>
      <c r="E1667" s="9"/>
      <c r="F1667" s="9"/>
      <c r="G1667" s="9"/>
      <c r="H1667" s="9"/>
      <c r="I1667" s="9"/>
      <c r="J1667" s="9"/>
      <c r="K1667" s="9"/>
      <c r="L1667" s="9"/>
      <c r="M1667" s="9"/>
      <c r="N1667" s="10"/>
      <c r="O1667" s="10"/>
      <c r="P1667" s="9"/>
    </row>
    <row r="1668">
      <c r="A1668" s="10"/>
      <c r="B1668" s="9"/>
      <c r="C1668" s="10"/>
      <c r="D1668" s="10"/>
      <c r="E1668" s="9"/>
      <c r="F1668" s="9"/>
      <c r="G1668" s="9"/>
      <c r="H1668" s="9"/>
      <c r="I1668" s="9"/>
      <c r="J1668" s="9"/>
      <c r="K1668" s="9"/>
      <c r="L1668" s="9"/>
      <c r="M1668" s="9"/>
      <c r="N1668" s="10"/>
      <c r="O1668" s="10"/>
      <c r="P1668" s="9"/>
    </row>
    <row r="1669">
      <c r="A1669" s="10"/>
      <c r="B1669" s="9"/>
      <c r="C1669" s="10"/>
      <c r="D1669" s="10"/>
      <c r="E1669" s="9"/>
      <c r="F1669" s="9"/>
      <c r="G1669" s="9"/>
      <c r="H1669" s="9"/>
      <c r="I1669" s="9"/>
      <c r="J1669" s="9"/>
      <c r="K1669" s="9"/>
      <c r="L1669" s="9"/>
      <c r="M1669" s="9"/>
      <c r="N1669" s="10"/>
      <c r="O1669" s="10"/>
      <c r="P1669" s="9"/>
    </row>
    <row r="1670">
      <c r="A1670" s="10"/>
      <c r="B1670" s="9"/>
      <c r="C1670" s="10"/>
      <c r="D1670" s="10"/>
      <c r="E1670" s="9"/>
      <c r="F1670" s="9"/>
      <c r="G1670" s="9"/>
      <c r="H1670" s="9"/>
      <c r="I1670" s="9"/>
      <c r="J1670" s="9"/>
      <c r="K1670" s="9"/>
      <c r="L1670" s="9"/>
      <c r="M1670" s="9"/>
      <c r="N1670" s="10"/>
      <c r="O1670" s="10"/>
      <c r="P1670" s="9"/>
    </row>
    <row r="1671">
      <c r="A1671" s="10"/>
      <c r="B1671" s="9"/>
      <c r="C1671" s="10"/>
      <c r="D1671" s="10"/>
      <c r="E1671" s="9"/>
      <c r="F1671" s="9"/>
      <c r="G1671" s="9"/>
      <c r="H1671" s="9"/>
      <c r="I1671" s="9"/>
      <c r="J1671" s="9"/>
      <c r="K1671" s="9"/>
      <c r="L1671" s="9"/>
      <c r="M1671" s="9"/>
      <c r="N1671" s="10"/>
      <c r="O1671" s="10"/>
      <c r="P1671" s="9"/>
    </row>
    <row r="1672">
      <c r="A1672" s="10"/>
      <c r="B1672" s="9"/>
      <c r="C1672" s="10"/>
      <c r="D1672" s="10"/>
      <c r="E1672" s="9"/>
      <c r="F1672" s="9"/>
      <c r="G1672" s="9"/>
      <c r="H1672" s="9"/>
      <c r="I1672" s="9"/>
      <c r="J1672" s="9"/>
      <c r="K1672" s="9"/>
      <c r="L1672" s="9"/>
      <c r="M1672" s="9"/>
      <c r="N1672" s="10"/>
      <c r="O1672" s="10"/>
      <c r="P1672" s="9"/>
    </row>
    <row r="1673">
      <c r="A1673" s="10"/>
      <c r="B1673" s="9"/>
      <c r="C1673" s="10"/>
      <c r="D1673" s="10"/>
      <c r="E1673" s="9"/>
      <c r="F1673" s="9"/>
      <c r="G1673" s="9"/>
      <c r="H1673" s="9"/>
      <c r="I1673" s="9"/>
      <c r="J1673" s="9"/>
      <c r="K1673" s="9"/>
      <c r="L1673" s="9"/>
      <c r="M1673" s="9"/>
      <c r="N1673" s="10"/>
      <c r="O1673" s="10"/>
      <c r="P1673" s="9"/>
    </row>
    <row r="1674">
      <c r="A1674" s="10"/>
      <c r="B1674" s="9"/>
      <c r="C1674" s="10"/>
      <c r="D1674" s="10"/>
      <c r="E1674" s="9"/>
      <c r="F1674" s="9"/>
      <c r="G1674" s="9"/>
      <c r="H1674" s="9"/>
      <c r="I1674" s="9"/>
      <c r="J1674" s="9"/>
      <c r="K1674" s="9"/>
      <c r="L1674" s="9"/>
      <c r="M1674" s="9"/>
      <c r="N1674" s="10"/>
      <c r="O1674" s="10"/>
      <c r="P1674" s="9"/>
    </row>
    <row r="1675">
      <c r="A1675" s="10"/>
      <c r="B1675" s="9"/>
      <c r="C1675" s="10"/>
      <c r="D1675" s="10"/>
      <c r="E1675" s="9"/>
      <c r="F1675" s="9"/>
      <c r="G1675" s="9"/>
      <c r="H1675" s="9"/>
      <c r="I1675" s="9"/>
      <c r="J1675" s="9"/>
      <c r="K1675" s="9"/>
      <c r="L1675" s="9"/>
      <c r="M1675" s="9"/>
      <c r="N1675" s="10"/>
      <c r="O1675" s="10"/>
      <c r="P1675" s="9"/>
    </row>
    <row r="1676">
      <c r="A1676" s="10"/>
      <c r="B1676" s="9"/>
      <c r="C1676" s="10"/>
      <c r="D1676" s="10"/>
      <c r="E1676" s="9"/>
      <c r="F1676" s="9"/>
      <c r="G1676" s="9"/>
      <c r="H1676" s="9"/>
      <c r="I1676" s="9"/>
      <c r="J1676" s="9"/>
      <c r="K1676" s="9"/>
      <c r="L1676" s="9"/>
      <c r="M1676" s="9"/>
      <c r="N1676" s="10"/>
      <c r="O1676" s="10"/>
      <c r="P1676" s="9"/>
    </row>
    <row r="1677">
      <c r="A1677" s="10"/>
      <c r="B1677" s="9"/>
      <c r="C1677" s="10"/>
      <c r="D1677" s="10"/>
      <c r="E1677" s="9"/>
      <c r="F1677" s="9"/>
      <c r="G1677" s="9"/>
      <c r="H1677" s="9"/>
      <c r="I1677" s="9"/>
      <c r="J1677" s="9"/>
      <c r="K1677" s="9"/>
      <c r="L1677" s="9"/>
      <c r="M1677" s="9"/>
      <c r="N1677" s="10"/>
      <c r="O1677" s="10"/>
      <c r="P1677" s="9"/>
    </row>
    <row r="1678">
      <c r="A1678" s="10"/>
      <c r="B1678" s="9"/>
      <c r="C1678" s="10"/>
      <c r="D1678" s="10"/>
      <c r="E1678" s="9"/>
      <c r="F1678" s="9"/>
      <c r="G1678" s="9"/>
      <c r="H1678" s="9"/>
      <c r="I1678" s="9"/>
      <c r="J1678" s="9"/>
      <c r="K1678" s="9"/>
      <c r="L1678" s="9"/>
      <c r="M1678" s="9"/>
      <c r="N1678" s="10"/>
      <c r="O1678" s="10"/>
      <c r="P1678" s="9"/>
    </row>
    <row r="1679">
      <c r="A1679" s="10"/>
      <c r="B1679" s="9"/>
      <c r="C1679" s="10"/>
      <c r="D1679" s="10"/>
      <c r="E1679" s="9"/>
      <c r="F1679" s="9"/>
      <c r="G1679" s="9"/>
      <c r="H1679" s="9"/>
      <c r="I1679" s="9"/>
      <c r="J1679" s="9"/>
      <c r="K1679" s="9"/>
      <c r="L1679" s="9"/>
      <c r="M1679" s="9"/>
      <c r="N1679" s="10"/>
      <c r="O1679" s="10"/>
      <c r="P1679" s="9"/>
    </row>
    <row r="1680">
      <c r="A1680" s="10"/>
      <c r="B1680" s="9"/>
      <c r="C1680" s="10"/>
      <c r="D1680" s="10"/>
      <c r="E1680" s="9"/>
      <c r="F1680" s="9"/>
      <c r="G1680" s="9"/>
      <c r="H1680" s="9"/>
      <c r="I1680" s="9"/>
      <c r="J1680" s="9"/>
      <c r="K1680" s="9"/>
      <c r="L1680" s="9"/>
      <c r="M1680" s="9"/>
      <c r="N1680" s="10"/>
      <c r="O1680" s="10"/>
      <c r="P1680" s="9"/>
    </row>
    <row r="1681">
      <c r="A1681" s="10"/>
      <c r="B1681" s="9"/>
      <c r="C1681" s="10"/>
      <c r="D1681" s="10"/>
      <c r="E1681" s="9"/>
      <c r="F1681" s="9"/>
      <c r="G1681" s="9"/>
      <c r="H1681" s="9"/>
      <c r="I1681" s="9"/>
      <c r="J1681" s="9"/>
      <c r="K1681" s="9"/>
      <c r="L1681" s="9"/>
      <c r="M1681" s="9"/>
      <c r="N1681" s="10"/>
      <c r="O1681" s="10"/>
      <c r="P1681" s="9"/>
    </row>
    <row r="1682">
      <c r="A1682" s="10"/>
      <c r="B1682" s="9"/>
      <c r="C1682" s="10"/>
      <c r="D1682" s="10"/>
      <c r="E1682" s="9"/>
      <c r="F1682" s="9"/>
      <c r="G1682" s="9"/>
      <c r="H1682" s="9"/>
      <c r="I1682" s="9"/>
      <c r="J1682" s="9"/>
      <c r="K1682" s="9"/>
      <c r="L1682" s="9"/>
      <c r="M1682" s="9"/>
      <c r="N1682" s="10"/>
      <c r="O1682" s="10"/>
      <c r="P1682" s="9"/>
    </row>
    <row r="1683">
      <c r="A1683" s="10"/>
      <c r="B1683" s="9"/>
      <c r="C1683" s="10"/>
      <c r="D1683" s="10"/>
      <c r="E1683" s="9"/>
      <c r="F1683" s="9"/>
      <c r="G1683" s="9"/>
      <c r="H1683" s="9"/>
      <c r="I1683" s="9"/>
      <c r="J1683" s="9"/>
      <c r="K1683" s="9"/>
      <c r="L1683" s="9"/>
      <c r="M1683" s="9"/>
      <c r="N1683" s="10"/>
      <c r="O1683" s="10"/>
      <c r="P1683" s="9"/>
    </row>
    <row r="1684">
      <c r="A1684" s="10"/>
      <c r="B1684" s="9"/>
      <c r="C1684" s="10"/>
      <c r="D1684" s="10"/>
      <c r="E1684" s="9"/>
      <c r="F1684" s="9"/>
      <c r="G1684" s="9"/>
      <c r="H1684" s="9"/>
      <c r="I1684" s="9"/>
      <c r="J1684" s="9"/>
      <c r="K1684" s="9"/>
      <c r="L1684" s="9"/>
      <c r="M1684" s="9"/>
      <c r="N1684" s="10"/>
      <c r="O1684" s="10"/>
      <c r="P1684" s="9"/>
    </row>
    <row r="1685">
      <c r="A1685" s="10"/>
      <c r="B1685" s="9"/>
      <c r="C1685" s="10"/>
      <c r="D1685" s="10"/>
      <c r="E1685" s="9"/>
      <c r="F1685" s="9"/>
      <c r="G1685" s="9"/>
      <c r="H1685" s="9"/>
      <c r="I1685" s="9"/>
      <c r="J1685" s="9"/>
      <c r="K1685" s="9"/>
      <c r="L1685" s="9"/>
      <c r="M1685" s="9"/>
      <c r="N1685" s="10"/>
      <c r="O1685" s="10"/>
      <c r="P1685" s="9"/>
    </row>
    <row r="1686">
      <c r="A1686" s="10"/>
      <c r="B1686" s="9"/>
      <c r="C1686" s="10"/>
      <c r="D1686" s="10"/>
      <c r="E1686" s="9"/>
      <c r="F1686" s="9"/>
      <c r="G1686" s="9"/>
      <c r="H1686" s="9"/>
      <c r="I1686" s="9"/>
      <c r="J1686" s="9"/>
      <c r="K1686" s="9"/>
      <c r="L1686" s="9"/>
      <c r="M1686" s="9"/>
      <c r="N1686" s="10"/>
      <c r="O1686" s="10"/>
      <c r="P1686" s="9"/>
    </row>
    <row r="1687">
      <c r="A1687" s="10"/>
      <c r="B1687" s="9"/>
      <c r="C1687" s="10"/>
      <c r="D1687" s="10"/>
      <c r="E1687" s="9"/>
      <c r="F1687" s="9"/>
      <c r="G1687" s="9"/>
      <c r="H1687" s="9"/>
      <c r="I1687" s="9"/>
      <c r="J1687" s="9"/>
      <c r="K1687" s="9"/>
      <c r="L1687" s="9"/>
      <c r="M1687" s="9"/>
      <c r="N1687" s="10"/>
      <c r="O1687" s="10"/>
      <c r="P1687" s="9"/>
    </row>
    <row r="1688">
      <c r="A1688" s="10"/>
      <c r="B1688" s="9"/>
      <c r="C1688" s="10"/>
      <c r="D1688" s="10"/>
      <c r="E1688" s="9"/>
      <c r="F1688" s="9"/>
      <c r="G1688" s="9"/>
      <c r="H1688" s="9"/>
      <c r="I1688" s="9"/>
      <c r="J1688" s="9"/>
      <c r="K1688" s="9"/>
      <c r="L1688" s="9"/>
      <c r="M1688" s="9"/>
      <c r="N1688" s="10"/>
      <c r="O1688" s="10"/>
      <c r="P1688" s="9"/>
    </row>
    <row r="1689">
      <c r="A1689" s="10"/>
      <c r="B1689" s="9"/>
      <c r="C1689" s="10"/>
      <c r="D1689" s="10"/>
      <c r="E1689" s="9"/>
      <c r="F1689" s="9"/>
      <c r="G1689" s="9"/>
      <c r="H1689" s="9"/>
      <c r="I1689" s="9"/>
      <c r="J1689" s="9"/>
      <c r="K1689" s="9"/>
      <c r="L1689" s="9"/>
      <c r="M1689" s="9"/>
      <c r="N1689" s="10"/>
      <c r="O1689" s="10"/>
      <c r="P1689" s="9"/>
    </row>
    <row r="1690">
      <c r="A1690" s="10"/>
      <c r="B1690" s="9"/>
      <c r="C1690" s="10"/>
      <c r="D1690" s="10"/>
      <c r="E1690" s="9"/>
      <c r="F1690" s="9"/>
      <c r="G1690" s="9"/>
      <c r="H1690" s="9"/>
      <c r="I1690" s="9"/>
      <c r="J1690" s="9"/>
      <c r="K1690" s="9"/>
      <c r="L1690" s="9"/>
      <c r="M1690" s="9"/>
      <c r="N1690" s="10"/>
      <c r="O1690" s="10"/>
      <c r="P1690" s="9"/>
    </row>
    <row r="1691">
      <c r="A1691" s="10"/>
      <c r="B1691" s="9"/>
      <c r="C1691" s="10"/>
      <c r="D1691" s="10"/>
      <c r="E1691" s="9"/>
      <c r="F1691" s="9"/>
      <c r="G1691" s="9"/>
      <c r="H1691" s="9"/>
      <c r="I1691" s="9"/>
      <c r="J1691" s="9"/>
      <c r="K1691" s="9"/>
      <c r="L1691" s="9"/>
      <c r="M1691" s="9"/>
      <c r="N1691" s="10"/>
      <c r="O1691" s="10"/>
      <c r="P1691" s="9"/>
    </row>
    <row r="1692">
      <c r="A1692" s="10"/>
      <c r="B1692" s="9"/>
      <c r="C1692" s="10"/>
      <c r="D1692" s="10"/>
      <c r="E1692" s="9"/>
      <c r="F1692" s="9"/>
      <c r="G1692" s="9"/>
      <c r="H1692" s="9"/>
      <c r="I1692" s="9"/>
      <c r="J1692" s="9"/>
      <c r="K1692" s="9"/>
      <c r="L1692" s="9"/>
      <c r="M1692" s="9"/>
      <c r="N1692" s="10"/>
      <c r="O1692" s="10"/>
      <c r="P1692" s="9"/>
    </row>
    <row r="1693">
      <c r="A1693" s="10"/>
      <c r="B1693" s="9"/>
      <c r="C1693" s="10"/>
      <c r="D1693" s="10"/>
      <c r="E1693" s="9"/>
      <c r="F1693" s="9"/>
      <c r="G1693" s="9"/>
      <c r="H1693" s="9"/>
      <c r="I1693" s="9"/>
      <c r="J1693" s="9"/>
      <c r="K1693" s="9"/>
      <c r="L1693" s="9"/>
      <c r="M1693" s="9"/>
      <c r="N1693" s="10"/>
      <c r="O1693" s="10"/>
      <c r="P1693" s="9"/>
    </row>
    <row r="1694">
      <c r="A1694" s="10"/>
      <c r="B1694" s="9"/>
      <c r="C1694" s="10"/>
      <c r="D1694" s="10"/>
      <c r="E1694" s="9"/>
      <c r="F1694" s="9"/>
      <c r="G1694" s="9"/>
      <c r="H1694" s="9"/>
      <c r="I1694" s="9"/>
      <c r="J1694" s="9"/>
      <c r="K1694" s="9"/>
      <c r="L1694" s="9"/>
      <c r="M1694" s="9"/>
      <c r="N1694" s="10"/>
      <c r="O1694" s="10"/>
      <c r="P1694" s="9"/>
    </row>
    <row r="1695">
      <c r="A1695" s="10"/>
      <c r="B1695" s="9"/>
      <c r="C1695" s="10"/>
      <c r="D1695" s="10"/>
      <c r="E1695" s="9"/>
      <c r="F1695" s="9"/>
      <c r="G1695" s="9"/>
      <c r="H1695" s="9"/>
      <c r="I1695" s="9"/>
      <c r="J1695" s="9"/>
      <c r="K1695" s="9"/>
      <c r="L1695" s="9"/>
      <c r="M1695" s="9"/>
      <c r="N1695" s="10"/>
      <c r="O1695" s="10"/>
      <c r="P1695" s="9"/>
    </row>
    <row r="1696">
      <c r="A1696" s="10"/>
      <c r="B1696" s="9"/>
      <c r="C1696" s="10"/>
      <c r="D1696" s="10"/>
      <c r="E1696" s="9"/>
      <c r="F1696" s="9"/>
      <c r="G1696" s="9"/>
      <c r="H1696" s="9"/>
      <c r="I1696" s="9"/>
      <c r="J1696" s="9"/>
      <c r="K1696" s="9"/>
      <c r="L1696" s="9"/>
      <c r="M1696" s="9"/>
      <c r="N1696" s="10"/>
      <c r="O1696" s="10"/>
      <c r="P1696" s="9"/>
    </row>
    <row r="1697">
      <c r="A1697" s="10"/>
      <c r="B1697" s="9"/>
      <c r="C1697" s="10"/>
      <c r="D1697" s="10"/>
      <c r="E1697" s="9"/>
      <c r="F1697" s="9"/>
      <c r="G1697" s="9"/>
      <c r="H1697" s="9"/>
      <c r="I1697" s="9"/>
      <c r="J1697" s="9"/>
      <c r="K1697" s="9"/>
      <c r="L1697" s="9"/>
      <c r="M1697" s="9"/>
      <c r="N1697" s="10"/>
      <c r="O1697" s="10"/>
      <c r="P1697" s="9"/>
    </row>
    <row r="1698">
      <c r="A1698" s="10"/>
      <c r="B1698" s="9"/>
      <c r="C1698" s="10"/>
      <c r="D1698" s="10"/>
      <c r="E1698" s="9"/>
      <c r="F1698" s="9"/>
      <c r="G1698" s="9"/>
      <c r="H1698" s="9"/>
      <c r="I1698" s="9"/>
      <c r="J1698" s="9"/>
      <c r="K1698" s="9"/>
      <c r="L1698" s="9"/>
      <c r="M1698" s="9"/>
      <c r="N1698" s="10"/>
      <c r="O1698" s="10"/>
      <c r="P1698" s="9"/>
    </row>
    <row r="1699">
      <c r="A1699" s="10"/>
      <c r="B1699" s="9"/>
      <c r="C1699" s="10"/>
      <c r="D1699" s="10"/>
      <c r="E1699" s="9"/>
      <c r="F1699" s="9"/>
      <c r="G1699" s="9"/>
      <c r="H1699" s="9"/>
      <c r="I1699" s="9"/>
      <c r="J1699" s="9"/>
      <c r="K1699" s="9"/>
      <c r="L1699" s="9"/>
      <c r="M1699" s="9"/>
      <c r="N1699" s="10"/>
      <c r="O1699" s="10"/>
      <c r="P1699" s="9"/>
    </row>
    <row r="1700">
      <c r="A1700" s="10"/>
      <c r="B1700" s="9"/>
      <c r="C1700" s="10"/>
      <c r="D1700" s="10"/>
      <c r="E1700" s="9"/>
      <c r="F1700" s="9"/>
      <c r="G1700" s="9"/>
      <c r="H1700" s="9"/>
      <c r="I1700" s="9"/>
      <c r="J1700" s="9"/>
      <c r="K1700" s="9"/>
      <c r="L1700" s="9"/>
      <c r="M1700" s="9"/>
      <c r="N1700" s="10"/>
      <c r="O1700" s="10"/>
      <c r="P1700" s="9"/>
    </row>
    <row r="1701">
      <c r="A1701" s="10"/>
      <c r="B1701" s="9"/>
      <c r="C1701" s="10"/>
      <c r="D1701" s="10"/>
      <c r="E1701" s="9"/>
      <c r="F1701" s="9"/>
      <c r="G1701" s="9"/>
      <c r="H1701" s="9"/>
      <c r="I1701" s="9"/>
      <c r="J1701" s="9"/>
      <c r="K1701" s="9"/>
      <c r="L1701" s="9"/>
      <c r="M1701" s="9"/>
      <c r="N1701" s="10"/>
      <c r="O1701" s="10"/>
      <c r="P1701" s="9"/>
    </row>
    <row r="1702">
      <c r="A1702" s="10"/>
      <c r="B1702" s="9"/>
      <c r="C1702" s="10"/>
      <c r="D1702" s="10"/>
      <c r="E1702" s="9"/>
      <c r="F1702" s="9"/>
      <c r="G1702" s="9"/>
      <c r="H1702" s="9"/>
      <c r="I1702" s="9"/>
      <c r="J1702" s="9"/>
      <c r="K1702" s="9"/>
      <c r="L1702" s="9"/>
      <c r="M1702" s="9"/>
      <c r="N1702" s="10"/>
      <c r="O1702" s="10"/>
      <c r="P1702" s="9"/>
    </row>
    <row r="1703">
      <c r="A1703" s="10"/>
      <c r="B1703" s="9"/>
      <c r="C1703" s="10"/>
      <c r="D1703" s="10"/>
      <c r="E1703" s="9"/>
      <c r="F1703" s="9"/>
      <c r="G1703" s="9"/>
      <c r="H1703" s="9"/>
      <c r="I1703" s="9"/>
      <c r="J1703" s="9"/>
      <c r="K1703" s="9"/>
      <c r="L1703" s="9"/>
      <c r="M1703" s="9"/>
      <c r="N1703" s="10"/>
      <c r="O1703" s="10"/>
      <c r="P1703" s="9"/>
    </row>
    <row r="1704">
      <c r="A1704" s="10"/>
      <c r="B1704" s="9"/>
      <c r="C1704" s="10"/>
      <c r="D1704" s="10"/>
      <c r="E1704" s="9"/>
      <c r="F1704" s="9"/>
      <c r="G1704" s="9"/>
      <c r="H1704" s="9"/>
      <c r="I1704" s="9"/>
      <c r="J1704" s="9"/>
      <c r="K1704" s="9"/>
      <c r="L1704" s="9"/>
      <c r="M1704" s="9"/>
      <c r="N1704" s="10"/>
      <c r="O1704" s="10"/>
      <c r="P1704" s="9"/>
    </row>
    <row r="1705">
      <c r="A1705" s="10"/>
      <c r="B1705" s="9"/>
      <c r="C1705" s="10"/>
      <c r="D1705" s="10"/>
      <c r="E1705" s="9"/>
      <c r="F1705" s="9"/>
      <c r="G1705" s="9"/>
      <c r="H1705" s="9"/>
      <c r="I1705" s="9"/>
      <c r="J1705" s="9"/>
      <c r="K1705" s="9"/>
      <c r="L1705" s="9"/>
      <c r="M1705" s="9"/>
      <c r="N1705" s="10"/>
      <c r="O1705" s="10"/>
      <c r="P1705" s="9"/>
    </row>
    <row r="1706">
      <c r="A1706" s="10"/>
      <c r="B1706" s="9"/>
      <c r="C1706" s="10"/>
      <c r="D1706" s="10"/>
      <c r="E1706" s="9"/>
      <c r="F1706" s="9"/>
      <c r="G1706" s="9"/>
      <c r="H1706" s="9"/>
      <c r="I1706" s="9"/>
      <c r="J1706" s="9"/>
      <c r="K1706" s="9"/>
      <c r="L1706" s="9"/>
      <c r="M1706" s="9"/>
      <c r="N1706" s="10"/>
      <c r="O1706" s="10"/>
      <c r="P1706" s="9"/>
    </row>
    <row r="1707">
      <c r="A1707" s="10"/>
      <c r="B1707" s="9"/>
      <c r="C1707" s="10"/>
      <c r="D1707" s="10"/>
      <c r="E1707" s="9"/>
      <c r="F1707" s="9"/>
      <c r="G1707" s="9"/>
      <c r="H1707" s="9"/>
      <c r="I1707" s="9"/>
      <c r="J1707" s="9"/>
      <c r="K1707" s="9"/>
      <c r="L1707" s="9"/>
      <c r="M1707" s="9"/>
      <c r="N1707" s="10"/>
      <c r="O1707" s="10"/>
      <c r="P1707" s="9"/>
    </row>
    <row r="1708">
      <c r="A1708" s="10"/>
      <c r="B1708" s="9"/>
      <c r="C1708" s="10"/>
      <c r="D1708" s="10"/>
      <c r="E1708" s="9"/>
      <c r="F1708" s="9"/>
      <c r="G1708" s="9"/>
      <c r="H1708" s="9"/>
      <c r="I1708" s="9"/>
      <c r="J1708" s="9"/>
      <c r="K1708" s="9"/>
      <c r="L1708" s="9"/>
      <c r="M1708" s="9"/>
      <c r="N1708" s="10"/>
      <c r="O1708" s="10"/>
      <c r="P1708" s="9"/>
    </row>
    <row r="1709">
      <c r="A1709" s="10"/>
      <c r="B1709" s="9"/>
      <c r="C1709" s="10"/>
      <c r="D1709" s="10"/>
      <c r="E1709" s="9"/>
      <c r="F1709" s="9"/>
      <c r="G1709" s="9"/>
      <c r="H1709" s="9"/>
      <c r="I1709" s="9"/>
      <c r="J1709" s="9"/>
      <c r="K1709" s="9"/>
      <c r="L1709" s="9"/>
      <c r="M1709" s="9"/>
      <c r="N1709" s="10"/>
      <c r="O1709" s="10"/>
      <c r="P1709" s="9"/>
    </row>
    <row r="1710">
      <c r="A1710" s="10"/>
      <c r="B1710" s="9"/>
      <c r="C1710" s="10"/>
      <c r="D1710" s="10"/>
      <c r="E1710" s="9"/>
      <c r="F1710" s="9"/>
      <c r="G1710" s="9"/>
      <c r="H1710" s="9"/>
      <c r="I1710" s="9"/>
      <c r="J1710" s="9"/>
      <c r="K1710" s="9"/>
      <c r="L1710" s="9"/>
      <c r="M1710" s="9"/>
      <c r="N1710" s="10"/>
      <c r="O1710" s="10"/>
      <c r="P1710" s="9"/>
    </row>
    <row r="1711">
      <c r="A1711" s="10"/>
      <c r="B1711" s="9"/>
      <c r="C1711" s="10"/>
      <c r="D1711" s="10"/>
      <c r="E1711" s="9"/>
      <c r="F1711" s="9"/>
      <c r="G1711" s="9"/>
      <c r="H1711" s="9"/>
      <c r="I1711" s="9"/>
      <c r="J1711" s="9"/>
      <c r="K1711" s="9"/>
      <c r="L1711" s="9"/>
      <c r="M1711" s="9"/>
      <c r="N1711" s="10"/>
      <c r="O1711" s="10"/>
      <c r="P1711" s="9"/>
    </row>
    <row r="1712">
      <c r="A1712" s="10"/>
      <c r="B1712" s="9"/>
      <c r="C1712" s="10"/>
      <c r="D1712" s="10"/>
      <c r="E1712" s="9"/>
      <c r="F1712" s="9"/>
      <c r="G1712" s="9"/>
      <c r="H1712" s="9"/>
      <c r="I1712" s="9"/>
      <c r="J1712" s="9"/>
      <c r="K1712" s="9"/>
      <c r="L1712" s="9"/>
      <c r="M1712" s="9"/>
      <c r="N1712" s="10"/>
      <c r="O1712" s="10"/>
      <c r="P1712" s="9"/>
    </row>
    <row r="1713">
      <c r="A1713" s="10"/>
      <c r="B1713" s="9"/>
      <c r="C1713" s="10"/>
      <c r="D1713" s="10"/>
      <c r="E1713" s="9"/>
      <c r="F1713" s="9"/>
      <c r="G1713" s="9"/>
      <c r="H1713" s="9"/>
      <c r="I1713" s="9"/>
      <c r="J1713" s="9"/>
      <c r="K1713" s="9"/>
      <c r="L1713" s="9"/>
      <c r="M1713" s="9"/>
      <c r="N1713" s="10"/>
      <c r="O1713" s="10"/>
      <c r="P1713" s="9"/>
    </row>
    <row r="1714">
      <c r="A1714" s="10"/>
      <c r="B1714" s="9"/>
      <c r="C1714" s="10"/>
      <c r="D1714" s="10"/>
      <c r="E1714" s="9"/>
      <c r="F1714" s="9"/>
      <c r="G1714" s="9"/>
      <c r="H1714" s="9"/>
      <c r="I1714" s="9"/>
      <c r="J1714" s="9"/>
      <c r="K1714" s="9"/>
      <c r="L1714" s="9"/>
      <c r="M1714" s="9"/>
      <c r="N1714" s="10"/>
      <c r="O1714" s="10"/>
      <c r="P1714" s="9"/>
    </row>
    <row r="1715">
      <c r="A1715" s="10"/>
      <c r="B1715" s="9"/>
      <c r="C1715" s="10"/>
      <c r="D1715" s="10"/>
      <c r="E1715" s="9"/>
      <c r="F1715" s="9"/>
      <c r="G1715" s="9"/>
      <c r="H1715" s="9"/>
      <c r="I1715" s="9"/>
      <c r="J1715" s="9"/>
      <c r="K1715" s="9"/>
      <c r="L1715" s="9"/>
      <c r="M1715" s="9"/>
      <c r="N1715" s="10"/>
      <c r="O1715" s="10"/>
      <c r="P1715" s="9"/>
    </row>
    <row r="1716">
      <c r="A1716" s="10"/>
      <c r="B1716" s="9"/>
      <c r="C1716" s="10"/>
      <c r="D1716" s="10"/>
      <c r="E1716" s="9"/>
      <c r="F1716" s="9"/>
      <c r="G1716" s="9"/>
      <c r="H1716" s="9"/>
      <c r="I1716" s="9"/>
      <c r="J1716" s="9"/>
      <c r="K1716" s="9"/>
      <c r="L1716" s="9"/>
      <c r="M1716" s="9"/>
      <c r="N1716" s="10"/>
      <c r="O1716" s="10"/>
      <c r="P1716" s="9"/>
    </row>
    <row r="1717">
      <c r="A1717" s="10"/>
      <c r="B1717" s="9"/>
      <c r="C1717" s="10"/>
      <c r="D1717" s="10"/>
      <c r="E1717" s="9"/>
      <c r="F1717" s="9"/>
      <c r="G1717" s="9"/>
      <c r="H1717" s="9"/>
      <c r="I1717" s="9"/>
      <c r="J1717" s="9"/>
      <c r="K1717" s="9"/>
      <c r="L1717" s="9"/>
      <c r="M1717" s="9"/>
      <c r="N1717" s="10"/>
      <c r="O1717" s="10"/>
      <c r="P1717" s="9"/>
    </row>
    <row r="1718">
      <c r="A1718" s="10"/>
      <c r="B1718" s="9"/>
      <c r="C1718" s="10"/>
      <c r="D1718" s="10"/>
      <c r="E1718" s="9"/>
      <c r="F1718" s="9"/>
      <c r="G1718" s="9"/>
      <c r="H1718" s="9"/>
      <c r="I1718" s="9"/>
      <c r="J1718" s="9"/>
      <c r="K1718" s="9"/>
      <c r="L1718" s="9"/>
      <c r="M1718" s="9"/>
      <c r="N1718" s="10"/>
      <c r="O1718" s="10"/>
      <c r="P1718" s="9"/>
    </row>
    <row r="1719">
      <c r="A1719" s="10"/>
      <c r="B1719" s="9"/>
      <c r="C1719" s="10"/>
      <c r="D1719" s="10"/>
      <c r="E1719" s="9"/>
      <c r="F1719" s="9"/>
      <c r="G1719" s="9"/>
      <c r="H1719" s="9"/>
      <c r="I1719" s="9"/>
      <c r="J1719" s="9"/>
      <c r="K1719" s="9"/>
      <c r="L1719" s="9"/>
      <c r="M1719" s="9"/>
      <c r="N1719" s="10"/>
      <c r="O1719" s="10"/>
      <c r="P1719" s="9"/>
    </row>
    <row r="1720">
      <c r="A1720" s="10"/>
      <c r="B1720" s="9"/>
      <c r="C1720" s="10"/>
      <c r="D1720" s="10"/>
      <c r="E1720" s="9"/>
      <c r="F1720" s="9"/>
      <c r="G1720" s="9"/>
      <c r="H1720" s="9"/>
      <c r="I1720" s="9"/>
      <c r="J1720" s="9"/>
      <c r="K1720" s="9"/>
      <c r="L1720" s="9"/>
      <c r="M1720" s="9"/>
      <c r="N1720" s="10"/>
      <c r="O1720" s="10"/>
      <c r="P1720" s="9"/>
    </row>
    <row r="1721">
      <c r="A1721" s="10"/>
      <c r="B1721" s="9"/>
      <c r="C1721" s="10"/>
      <c r="D1721" s="10"/>
      <c r="E1721" s="9"/>
      <c r="F1721" s="9"/>
      <c r="G1721" s="9"/>
      <c r="H1721" s="9"/>
      <c r="I1721" s="9"/>
      <c r="J1721" s="9"/>
      <c r="K1721" s="9"/>
      <c r="L1721" s="9"/>
      <c r="M1721" s="9"/>
      <c r="N1721" s="10"/>
      <c r="O1721" s="10"/>
      <c r="P1721" s="9"/>
    </row>
    <row r="1722">
      <c r="A1722" s="10"/>
      <c r="B1722" s="9"/>
      <c r="C1722" s="10"/>
      <c r="D1722" s="10"/>
      <c r="E1722" s="9"/>
      <c r="F1722" s="9"/>
      <c r="G1722" s="9"/>
      <c r="H1722" s="9"/>
      <c r="I1722" s="9"/>
      <c r="J1722" s="9"/>
      <c r="K1722" s="9"/>
      <c r="L1722" s="9"/>
      <c r="M1722" s="9"/>
      <c r="N1722" s="10"/>
      <c r="O1722" s="10"/>
      <c r="P1722" s="9"/>
    </row>
    <row r="1723">
      <c r="A1723" s="10"/>
      <c r="B1723" s="9"/>
      <c r="C1723" s="10"/>
      <c r="D1723" s="10"/>
      <c r="E1723" s="9"/>
      <c r="F1723" s="9"/>
      <c r="G1723" s="9"/>
      <c r="H1723" s="9"/>
      <c r="I1723" s="9"/>
      <c r="J1723" s="9"/>
      <c r="K1723" s="9"/>
      <c r="L1723" s="9"/>
      <c r="M1723" s="9"/>
      <c r="N1723" s="10"/>
      <c r="O1723" s="10"/>
      <c r="P1723" s="9"/>
    </row>
    <row r="1724">
      <c r="A1724" s="10"/>
      <c r="B1724" s="9"/>
      <c r="C1724" s="10"/>
      <c r="D1724" s="10"/>
      <c r="E1724" s="9"/>
      <c r="F1724" s="9"/>
      <c r="G1724" s="9"/>
      <c r="H1724" s="9"/>
      <c r="I1724" s="9"/>
      <c r="J1724" s="9"/>
      <c r="K1724" s="9"/>
      <c r="L1724" s="9"/>
      <c r="M1724" s="9"/>
      <c r="N1724" s="10"/>
      <c r="O1724" s="10"/>
      <c r="P1724" s="9"/>
    </row>
    <row r="1725">
      <c r="A1725" s="10"/>
      <c r="B1725" s="9"/>
      <c r="C1725" s="10"/>
      <c r="D1725" s="10"/>
      <c r="E1725" s="9"/>
      <c r="F1725" s="9"/>
      <c r="G1725" s="9"/>
      <c r="H1725" s="9"/>
      <c r="I1725" s="9"/>
      <c r="J1725" s="9"/>
      <c r="K1725" s="9"/>
      <c r="L1725" s="9"/>
      <c r="M1725" s="9"/>
      <c r="N1725" s="10"/>
      <c r="O1725" s="10"/>
      <c r="P1725" s="9"/>
    </row>
    <row r="1726">
      <c r="A1726" s="10"/>
      <c r="B1726" s="9"/>
      <c r="C1726" s="10"/>
      <c r="D1726" s="10"/>
      <c r="E1726" s="9"/>
      <c r="F1726" s="9"/>
      <c r="G1726" s="9"/>
      <c r="H1726" s="9"/>
      <c r="I1726" s="9"/>
      <c r="J1726" s="9"/>
      <c r="K1726" s="9"/>
      <c r="L1726" s="9"/>
      <c r="M1726" s="9"/>
      <c r="N1726" s="10"/>
      <c r="O1726" s="10"/>
      <c r="P1726" s="9"/>
    </row>
    <row r="1727">
      <c r="A1727" s="10"/>
      <c r="B1727" s="9"/>
      <c r="C1727" s="10"/>
      <c r="D1727" s="10"/>
      <c r="E1727" s="9"/>
      <c r="F1727" s="9"/>
      <c r="G1727" s="9"/>
      <c r="H1727" s="9"/>
      <c r="I1727" s="9"/>
      <c r="J1727" s="9"/>
      <c r="K1727" s="9"/>
      <c r="L1727" s="9"/>
      <c r="M1727" s="9"/>
      <c r="N1727" s="10"/>
      <c r="O1727" s="10"/>
      <c r="P1727" s="9"/>
    </row>
    <row r="1728">
      <c r="A1728" s="10"/>
      <c r="B1728" s="9"/>
      <c r="C1728" s="10"/>
      <c r="D1728" s="10"/>
      <c r="E1728" s="9"/>
      <c r="F1728" s="9"/>
      <c r="G1728" s="9"/>
      <c r="H1728" s="9"/>
      <c r="I1728" s="9"/>
      <c r="J1728" s="9"/>
      <c r="K1728" s="9"/>
      <c r="L1728" s="9"/>
      <c r="M1728" s="9"/>
      <c r="N1728" s="10"/>
      <c r="O1728" s="10"/>
      <c r="P1728" s="9"/>
    </row>
    <row r="1729">
      <c r="A1729" s="10"/>
      <c r="B1729" s="9"/>
      <c r="C1729" s="10"/>
      <c r="D1729" s="10"/>
      <c r="E1729" s="9"/>
      <c r="F1729" s="9"/>
      <c r="G1729" s="9"/>
      <c r="H1729" s="9"/>
      <c r="I1729" s="9"/>
      <c r="J1729" s="9"/>
      <c r="K1729" s="9"/>
      <c r="L1729" s="9"/>
      <c r="M1729" s="9"/>
      <c r="N1729" s="10"/>
      <c r="O1729" s="10"/>
      <c r="P1729" s="9"/>
    </row>
    <row r="1730">
      <c r="A1730" s="10"/>
      <c r="B1730" s="9"/>
      <c r="C1730" s="10"/>
      <c r="D1730" s="10"/>
      <c r="E1730" s="9"/>
      <c r="F1730" s="9"/>
      <c r="G1730" s="9"/>
      <c r="H1730" s="9"/>
      <c r="I1730" s="9"/>
      <c r="J1730" s="9"/>
      <c r="K1730" s="9"/>
      <c r="L1730" s="9"/>
      <c r="M1730" s="9"/>
      <c r="N1730" s="10"/>
      <c r="O1730" s="10"/>
      <c r="P1730" s="9"/>
    </row>
    <row r="1731">
      <c r="A1731" s="10"/>
      <c r="B1731" s="9"/>
      <c r="C1731" s="10"/>
      <c r="D1731" s="10"/>
      <c r="E1731" s="9"/>
      <c r="F1731" s="9"/>
      <c r="G1731" s="9"/>
      <c r="H1731" s="9"/>
      <c r="I1731" s="9"/>
      <c r="J1731" s="9"/>
      <c r="K1731" s="9"/>
      <c r="L1731" s="9"/>
      <c r="M1731" s="9"/>
      <c r="N1731" s="10"/>
      <c r="O1731" s="10"/>
      <c r="P1731" s="9"/>
    </row>
    <row r="1732">
      <c r="A1732" s="10"/>
      <c r="B1732" s="9"/>
      <c r="C1732" s="10"/>
      <c r="D1732" s="10"/>
      <c r="E1732" s="9"/>
      <c r="F1732" s="9"/>
      <c r="G1732" s="9"/>
      <c r="H1732" s="9"/>
      <c r="I1732" s="9"/>
      <c r="J1732" s="9"/>
      <c r="K1732" s="9"/>
      <c r="L1732" s="9"/>
      <c r="M1732" s="9"/>
      <c r="N1732" s="10"/>
      <c r="O1732" s="10"/>
      <c r="P1732" s="9"/>
    </row>
    <row r="1733">
      <c r="A1733" s="10"/>
      <c r="B1733" s="9"/>
      <c r="C1733" s="10"/>
      <c r="D1733" s="10"/>
      <c r="E1733" s="9"/>
      <c r="F1733" s="9"/>
      <c r="G1733" s="9"/>
      <c r="H1733" s="9"/>
      <c r="I1733" s="9"/>
      <c r="J1733" s="9"/>
      <c r="K1733" s="9"/>
      <c r="L1733" s="9"/>
      <c r="M1733" s="9"/>
      <c r="N1733" s="10"/>
      <c r="O1733" s="10"/>
      <c r="P1733" s="9"/>
    </row>
    <row r="1734">
      <c r="A1734" s="10"/>
      <c r="B1734" s="9"/>
      <c r="C1734" s="10"/>
      <c r="D1734" s="10"/>
      <c r="E1734" s="9"/>
      <c r="F1734" s="9"/>
      <c r="G1734" s="9"/>
      <c r="H1734" s="9"/>
      <c r="I1734" s="9"/>
      <c r="J1734" s="9"/>
      <c r="K1734" s="9"/>
      <c r="L1734" s="9"/>
      <c r="M1734" s="9"/>
      <c r="N1734" s="10"/>
      <c r="O1734" s="10"/>
      <c r="P1734" s="9"/>
    </row>
    <row r="1735">
      <c r="A1735" s="10"/>
      <c r="B1735" s="9"/>
      <c r="C1735" s="10"/>
      <c r="D1735" s="10"/>
      <c r="E1735" s="9"/>
      <c r="F1735" s="9"/>
      <c r="G1735" s="9"/>
      <c r="H1735" s="9"/>
      <c r="I1735" s="9"/>
      <c r="J1735" s="9"/>
      <c r="K1735" s="9"/>
      <c r="L1735" s="9"/>
      <c r="M1735" s="9"/>
      <c r="N1735" s="10"/>
      <c r="O1735" s="10"/>
      <c r="P1735" s="9"/>
    </row>
    <row r="1736">
      <c r="A1736" s="10"/>
      <c r="B1736" s="9"/>
      <c r="C1736" s="10"/>
      <c r="D1736" s="10"/>
      <c r="E1736" s="9"/>
      <c r="F1736" s="9"/>
      <c r="G1736" s="9"/>
      <c r="H1736" s="9"/>
      <c r="I1736" s="9"/>
      <c r="J1736" s="9"/>
      <c r="K1736" s="9"/>
      <c r="L1736" s="9"/>
      <c r="M1736" s="9"/>
      <c r="N1736" s="10"/>
      <c r="O1736" s="10"/>
      <c r="P1736" s="9"/>
    </row>
    <row r="1737">
      <c r="A1737" s="10"/>
      <c r="B1737" s="9"/>
      <c r="C1737" s="10"/>
      <c r="D1737" s="10"/>
      <c r="E1737" s="9"/>
      <c r="F1737" s="9"/>
      <c r="G1737" s="9"/>
      <c r="H1737" s="9"/>
      <c r="I1737" s="9"/>
      <c r="J1737" s="9"/>
      <c r="K1737" s="9"/>
      <c r="L1737" s="9"/>
      <c r="M1737" s="9"/>
      <c r="N1737" s="10"/>
      <c r="O1737" s="10"/>
      <c r="P1737" s="9"/>
    </row>
    <row r="1738">
      <c r="A1738" s="10"/>
      <c r="B1738" s="9"/>
      <c r="C1738" s="10"/>
      <c r="D1738" s="10"/>
      <c r="E1738" s="9"/>
      <c r="F1738" s="9"/>
      <c r="G1738" s="9"/>
      <c r="H1738" s="9"/>
      <c r="I1738" s="9"/>
      <c r="J1738" s="9"/>
      <c r="K1738" s="9"/>
      <c r="L1738" s="9"/>
      <c r="M1738" s="9"/>
      <c r="N1738" s="10"/>
      <c r="O1738" s="10"/>
      <c r="P1738" s="9"/>
    </row>
    <row r="1739">
      <c r="A1739" s="10"/>
      <c r="B1739" s="9"/>
      <c r="C1739" s="10"/>
      <c r="D1739" s="10"/>
      <c r="E1739" s="9"/>
      <c r="F1739" s="9"/>
      <c r="G1739" s="9"/>
      <c r="H1739" s="9"/>
      <c r="I1739" s="9"/>
      <c r="J1739" s="9"/>
      <c r="K1739" s="9"/>
      <c r="L1739" s="9"/>
      <c r="M1739" s="9"/>
      <c r="N1739" s="10"/>
      <c r="O1739" s="10"/>
      <c r="P1739" s="9"/>
    </row>
    <row r="1740">
      <c r="A1740" s="10"/>
      <c r="B1740" s="9"/>
      <c r="C1740" s="10"/>
      <c r="D1740" s="10"/>
      <c r="E1740" s="9"/>
      <c r="F1740" s="9"/>
      <c r="G1740" s="9"/>
      <c r="H1740" s="9"/>
      <c r="I1740" s="9"/>
      <c r="J1740" s="9"/>
      <c r="K1740" s="9"/>
      <c r="L1740" s="9"/>
      <c r="M1740" s="9"/>
      <c r="N1740" s="10"/>
      <c r="O1740" s="10"/>
      <c r="P1740" s="9"/>
    </row>
    <row r="1741">
      <c r="A1741" s="10"/>
      <c r="B1741" s="9"/>
      <c r="C1741" s="10"/>
      <c r="D1741" s="10"/>
      <c r="E1741" s="9"/>
      <c r="F1741" s="9"/>
      <c r="G1741" s="9"/>
      <c r="H1741" s="9"/>
      <c r="I1741" s="9"/>
      <c r="J1741" s="9"/>
      <c r="K1741" s="9"/>
      <c r="L1741" s="9"/>
      <c r="M1741" s="9"/>
      <c r="N1741" s="10"/>
      <c r="O1741" s="10"/>
      <c r="P1741" s="9"/>
    </row>
    <row r="1742">
      <c r="A1742" s="10"/>
      <c r="B1742" s="9"/>
      <c r="C1742" s="10"/>
      <c r="D1742" s="10"/>
      <c r="E1742" s="9"/>
      <c r="F1742" s="9"/>
      <c r="G1742" s="9"/>
      <c r="H1742" s="9"/>
      <c r="I1742" s="9"/>
      <c r="J1742" s="9"/>
      <c r="K1742" s="9"/>
      <c r="L1742" s="9"/>
      <c r="M1742" s="9"/>
      <c r="N1742" s="10"/>
      <c r="O1742" s="10"/>
      <c r="P1742" s="9"/>
    </row>
    <row r="1743">
      <c r="A1743" s="10"/>
      <c r="B1743" s="9"/>
      <c r="C1743" s="10"/>
      <c r="D1743" s="10"/>
      <c r="E1743" s="9"/>
      <c r="F1743" s="9"/>
      <c r="G1743" s="9"/>
      <c r="H1743" s="9"/>
      <c r="I1743" s="9"/>
      <c r="J1743" s="9"/>
      <c r="K1743" s="9"/>
      <c r="L1743" s="9"/>
      <c r="M1743" s="9"/>
      <c r="N1743" s="10"/>
      <c r="O1743" s="10"/>
      <c r="P1743" s="9"/>
    </row>
    <row r="1744">
      <c r="A1744" s="10"/>
      <c r="B1744" s="9"/>
      <c r="C1744" s="10"/>
      <c r="D1744" s="10"/>
      <c r="E1744" s="9"/>
      <c r="F1744" s="9"/>
      <c r="G1744" s="9"/>
      <c r="H1744" s="9"/>
      <c r="I1744" s="9"/>
      <c r="J1744" s="9"/>
      <c r="K1744" s="9"/>
      <c r="L1744" s="9"/>
      <c r="M1744" s="9"/>
      <c r="N1744" s="10"/>
      <c r="O1744" s="10"/>
      <c r="P1744" s="9"/>
    </row>
    <row r="1745">
      <c r="A1745" s="10"/>
      <c r="B1745" s="9"/>
      <c r="C1745" s="10"/>
      <c r="D1745" s="10"/>
      <c r="E1745" s="9"/>
      <c r="F1745" s="9"/>
      <c r="G1745" s="9"/>
      <c r="H1745" s="9"/>
      <c r="I1745" s="9"/>
      <c r="J1745" s="9"/>
      <c r="K1745" s="9"/>
      <c r="L1745" s="9"/>
      <c r="M1745" s="9"/>
      <c r="N1745" s="10"/>
      <c r="O1745" s="10"/>
      <c r="P1745" s="9"/>
    </row>
    <row r="1746">
      <c r="A1746" s="10"/>
      <c r="B1746" s="9"/>
      <c r="C1746" s="10"/>
      <c r="D1746" s="10"/>
      <c r="E1746" s="9"/>
      <c r="F1746" s="9"/>
      <c r="G1746" s="9"/>
      <c r="H1746" s="9"/>
      <c r="I1746" s="9"/>
      <c r="J1746" s="9"/>
      <c r="K1746" s="9"/>
      <c r="L1746" s="9"/>
      <c r="M1746" s="9"/>
      <c r="N1746" s="10"/>
      <c r="O1746" s="10"/>
      <c r="P1746" s="9"/>
    </row>
    <row r="1747">
      <c r="A1747" s="10"/>
      <c r="B1747" s="9"/>
      <c r="C1747" s="10"/>
      <c r="D1747" s="10"/>
      <c r="E1747" s="9"/>
      <c r="F1747" s="9"/>
      <c r="G1747" s="9"/>
      <c r="H1747" s="9"/>
      <c r="I1747" s="9"/>
      <c r="J1747" s="9"/>
      <c r="K1747" s="9"/>
      <c r="L1747" s="9"/>
      <c r="M1747" s="9"/>
      <c r="N1747" s="10"/>
      <c r="O1747" s="10"/>
      <c r="P1747" s="9"/>
    </row>
    <row r="1748">
      <c r="A1748" s="10"/>
      <c r="B1748" s="9"/>
      <c r="C1748" s="10"/>
      <c r="D1748" s="10"/>
      <c r="E1748" s="9"/>
      <c r="F1748" s="9"/>
      <c r="G1748" s="9"/>
      <c r="H1748" s="9"/>
      <c r="I1748" s="9"/>
      <c r="J1748" s="9"/>
      <c r="K1748" s="9"/>
      <c r="L1748" s="9"/>
      <c r="M1748" s="9"/>
      <c r="N1748" s="10"/>
      <c r="O1748" s="10"/>
      <c r="P1748" s="9"/>
    </row>
    <row r="1749">
      <c r="A1749" s="10"/>
      <c r="B1749" s="9"/>
      <c r="C1749" s="10"/>
      <c r="D1749" s="10"/>
      <c r="E1749" s="9"/>
      <c r="F1749" s="9"/>
      <c r="G1749" s="9"/>
      <c r="H1749" s="9"/>
      <c r="I1749" s="9"/>
      <c r="J1749" s="9"/>
      <c r="K1749" s="9"/>
      <c r="L1749" s="9"/>
      <c r="M1749" s="9"/>
      <c r="N1749" s="10"/>
      <c r="O1749" s="10"/>
      <c r="P1749" s="9"/>
    </row>
    <row r="1750">
      <c r="A1750" s="10"/>
      <c r="B1750" s="9"/>
      <c r="C1750" s="10"/>
      <c r="D1750" s="10"/>
      <c r="E1750" s="9"/>
      <c r="F1750" s="9"/>
      <c r="G1750" s="9"/>
      <c r="H1750" s="9"/>
      <c r="I1750" s="9"/>
      <c r="J1750" s="9"/>
      <c r="K1750" s="9"/>
      <c r="L1750" s="9"/>
      <c r="M1750" s="9"/>
      <c r="N1750" s="10"/>
      <c r="O1750" s="10"/>
      <c r="P1750" s="9"/>
    </row>
    <row r="1751">
      <c r="A1751" s="10"/>
      <c r="B1751" s="9"/>
      <c r="C1751" s="10"/>
      <c r="D1751" s="10"/>
      <c r="E1751" s="9"/>
      <c r="F1751" s="9"/>
      <c r="G1751" s="9"/>
      <c r="H1751" s="9"/>
      <c r="I1751" s="9"/>
      <c r="J1751" s="9"/>
      <c r="K1751" s="9"/>
      <c r="L1751" s="9"/>
      <c r="M1751" s="9"/>
      <c r="N1751" s="10"/>
      <c r="O1751" s="10"/>
      <c r="P1751" s="9"/>
    </row>
    <row r="1752">
      <c r="A1752" s="10"/>
      <c r="B1752" s="9"/>
      <c r="C1752" s="10"/>
      <c r="D1752" s="10"/>
      <c r="E1752" s="9"/>
      <c r="F1752" s="9"/>
      <c r="G1752" s="9"/>
      <c r="H1752" s="9"/>
      <c r="I1752" s="9"/>
      <c r="J1752" s="9"/>
      <c r="K1752" s="9"/>
      <c r="L1752" s="9"/>
      <c r="M1752" s="9"/>
      <c r="N1752" s="10"/>
      <c r="O1752" s="10"/>
      <c r="P1752" s="9"/>
    </row>
    <row r="1753">
      <c r="A1753" s="10"/>
      <c r="B1753" s="9"/>
      <c r="C1753" s="10"/>
      <c r="D1753" s="10"/>
      <c r="E1753" s="9"/>
      <c r="F1753" s="9"/>
      <c r="G1753" s="9"/>
      <c r="H1753" s="9"/>
      <c r="I1753" s="9"/>
      <c r="J1753" s="9"/>
      <c r="K1753" s="9"/>
      <c r="L1753" s="9"/>
      <c r="M1753" s="9"/>
      <c r="N1753" s="10"/>
      <c r="O1753" s="10"/>
      <c r="P1753" s="9"/>
    </row>
    <row r="1754">
      <c r="A1754" s="10"/>
      <c r="B1754" s="9"/>
      <c r="C1754" s="10"/>
      <c r="D1754" s="10"/>
      <c r="E1754" s="9"/>
      <c r="F1754" s="9"/>
      <c r="G1754" s="9"/>
      <c r="H1754" s="9"/>
      <c r="I1754" s="9"/>
      <c r="J1754" s="9"/>
      <c r="K1754" s="9"/>
      <c r="L1754" s="9"/>
      <c r="M1754" s="9"/>
      <c r="N1754" s="10"/>
      <c r="O1754" s="10"/>
      <c r="P1754" s="9"/>
    </row>
    <row r="1755">
      <c r="A1755" s="10"/>
      <c r="B1755" s="9"/>
      <c r="C1755" s="10"/>
      <c r="D1755" s="10"/>
      <c r="E1755" s="9"/>
      <c r="F1755" s="9"/>
      <c r="G1755" s="9"/>
      <c r="H1755" s="9"/>
      <c r="I1755" s="9"/>
      <c r="J1755" s="9"/>
      <c r="K1755" s="9"/>
      <c r="L1755" s="9"/>
      <c r="M1755" s="9"/>
      <c r="N1755" s="10"/>
      <c r="O1755" s="10"/>
      <c r="P1755" s="9"/>
    </row>
    <row r="1756">
      <c r="A1756" s="10"/>
      <c r="B1756" s="9"/>
      <c r="C1756" s="10"/>
      <c r="D1756" s="10"/>
      <c r="E1756" s="9"/>
      <c r="F1756" s="9"/>
      <c r="G1756" s="9"/>
      <c r="H1756" s="9"/>
      <c r="I1756" s="9"/>
      <c r="J1756" s="9"/>
      <c r="K1756" s="9"/>
      <c r="L1756" s="9"/>
      <c r="M1756" s="9"/>
      <c r="N1756" s="10"/>
      <c r="O1756" s="10"/>
      <c r="P1756" s="9"/>
    </row>
    <row r="1757">
      <c r="A1757" s="10"/>
      <c r="B1757" s="9"/>
      <c r="C1757" s="10"/>
      <c r="D1757" s="10"/>
      <c r="E1757" s="9"/>
      <c r="F1757" s="9"/>
      <c r="G1757" s="9"/>
      <c r="H1757" s="9"/>
      <c r="I1757" s="9"/>
      <c r="J1757" s="9"/>
      <c r="K1757" s="9"/>
      <c r="L1757" s="9"/>
      <c r="M1757" s="9"/>
      <c r="N1757" s="10"/>
      <c r="O1757" s="10"/>
      <c r="P1757" s="9"/>
    </row>
    <row r="1758">
      <c r="A1758" s="10"/>
      <c r="B1758" s="9"/>
      <c r="C1758" s="10"/>
      <c r="D1758" s="10"/>
      <c r="E1758" s="9"/>
      <c r="F1758" s="9"/>
      <c r="G1758" s="9"/>
      <c r="H1758" s="9"/>
      <c r="I1758" s="9"/>
      <c r="J1758" s="9"/>
      <c r="K1758" s="9"/>
      <c r="L1758" s="9"/>
      <c r="M1758" s="9"/>
      <c r="N1758" s="10"/>
      <c r="O1758" s="10"/>
      <c r="P1758" s="9"/>
    </row>
    <row r="1759">
      <c r="A1759" s="10"/>
      <c r="B1759" s="9"/>
      <c r="C1759" s="10"/>
      <c r="D1759" s="10"/>
      <c r="E1759" s="9"/>
      <c r="F1759" s="9"/>
      <c r="G1759" s="9"/>
      <c r="H1759" s="9"/>
      <c r="I1759" s="9"/>
      <c r="J1759" s="9"/>
      <c r="K1759" s="9"/>
      <c r="L1759" s="9"/>
      <c r="M1759" s="9"/>
      <c r="N1759" s="10"/>
      <c r="O1759" s="10"/>
      <c r="P1759" s="9"/>
    </row>
    <row r="1760">
      <c r="A1760" s="10"/>
      <c r="B1760" s="9"/>
      <c r="C1760" s="10"/>
      <c r="D1760" s="10"/>
      <c r="E1760" s="9"/>
      <c r="F1760" s="9"/>
      <c r="G1760" s="9"/>
      <c r="H1760" s="9"/>
      <c r="I1760" s="9"/>
      <c r="J1760" s="9"/>
      <c r="K1760" s="9"/>
      <c r="L1760" s="9"/>
      <c r="M1760" s="9"/>
      <c r="N1760" s="10"/>
      <c r="O1760" s="10"/>
      <c r="P1760" s="9"/>
    </row>
    <row r="1761">
      <c r="A1761" s="10"/>
      <c r="B1761" s="9"/>
      <c r="C1761" s="10"/>
      <c r="D1761" s="10"/>
      <c r="E1761" s="9"/>
      <c r="F1761" s="9"/>
      <c r="G1761" s="9"/>
      <c r="H1761" s="9"/>
      <c r="I1761" s="9"/>
      <c r="J1761" s="9"/>
      <c r="K1761" s="9"/>
      <c r="L1761" s="9"/>
      <c r="M1761" s="9"/>
      <c r="N1761" s="10"/>
      <c r="O1761" s="10"/>
      <c r="P1761" s="9"/>
    </row>
    <row r="1762">
      <c r="A1762" s="10"/>
      <c r="B1762" s="9"/>
      <c r="C1762" s="10"/>
      <c r="D1762" s="10"/>
      <c r="E1762" s="9"/>
      <c r="F1762" s="9"/>
      <c r="G1762" s="9"/>
      <c r="H1762" s="9"/>
      <c r="I1762" s="9"/>
      <c r="J1762" s="9"/>
      <c r="K1762" s="9"/>
      <c r="L1762" s="9"/>
      <c r="M1762" s="9"/>
      <c r="N1762" s="10"/>
      <c r="O1762" s="10"/>
      <c r="P1762" s="9"/>
    </row>
    <row r="1763">
      <c r="A1763" s="10"/>
      <c r="B1763" s="9"/>
      <c r="C1763" s="10"/>
      <c r="D1763" s="10"/>
      <c r="E1763" s="9"/>
      <c r="F1763" s="9"/>
      <c r="G1763" s="9"/>
      <c r="H1763" s="9"/>
      <c r="I1763" s="9"/>
      <c r="J1763" s="9"/>
      <c r="K1763" s="9"/>
      <c r="L1763" s="9"/>
      <c r="M1763" s="9"/>
      <c r="N1763" s="10"/>
      <c r="O1763" s="10"/>
      <c r="P1763" s="9"/>
    </row>
    <row r="1764">
      <c r="A1764" s="10"/>
      <c r="B1764" s="9"/>
      <c r="C1764" s="10"/>
      <c r="D1764" s="10"/>
      <c r="E1764" s="9"/>
      <c r="F1764" s="9"/>
      <c r="G1764" s="9"/>
      <c r="H1764" s="9"/>
      <c r="I1764" s="9"/>
      <c r="J1764" s="9"/>
      <c r="K1764" s="9"/>
      <c r="L1764" s="9"/>
      <c r="M1764" s="9"/>
      <c r="N1764" s="10"/>
      <c r="O1764" s="10"/>
      <c r="P1764" s="9"/>
    </row>
    <row r="1765">
      <c r="A1765" s="10"/>
      <c r="B1765" s="9"/>
      <c r="C1765" s="10"/>
      <c r="D1765" s="10"/>
      <c r="E1765" s="9"/>
      <c r="F1765" s="9"/>
      <c r="G1765" s="9"/>
      <c r="H1765" s="9"/>
      <c r="I1765" s="9"/>
      <c r="J1765" s="9"/>
      <c r="K1765" s="9"/>
      <c r="L1765" s="9"/>
      <c r="M1765" s="9"/>
      <c r="N1765" s="10"/>
      <c r="O1765" s="10"/>
      <c r="P1765" s="9"/>
    </row>
    <row r="1766">
      <c r="A1766" s="10"/>
      <c r="B1766" s="9"/>
      <c r="C1766" s="10"/>
      <c r="D1766" s="10"/>
      <c r="E1766" s="9"/>
      <c r="F1766" s="9"/>
      <c r="G1766" s="9"/>
      <c r="H1766" s="9"/>
      <c r="I1766" s="9"/>
      <c r="J1766" s="9"/>
      <c r="K1766" s="9"/>
      <c r="L1766" s="9"/>
      <c r="M1766" s="9"/>
      <c r="N1766" s="10"/>
      <c r="O1766" s="10"/>
      <c r="P1766" s="9"/>
    </row>
    <row r="1767">
      <c r="A1767" s="10"/>
      <c r="B1767" s="9"/>
      <c r="C1767" s="10"/>
      <c r="D1767" s="10"/>
      <c r="E1767" s="9"/>
      <c r="F1767" s="9"/>
      <c r="G1767" s="9"/>
      <c r="H1767" s="9"/>
      <c r="I1767" s="9"/>
      <c r="J1767" s="9"/>
      <c r="K1767" s="9"/>
      <c r="L1767" s="9"/>
      <c r="M1767" s="9"/>
      <c r="N1767" s="10"/>
      <c r="O1767" s="10"/>
      <c r="P1767" s="9"/>
    </row>
    <row r="1768">
      <c r="A1768" s="10"/>
      <c r="B1768" s="9"/>
      <c r="C1768" s="10"/>
      <c r="D1768" s="10"/>
      <c r="E1768" s="9"/>
      <c r="F1768" s="9"/>
      <c r="G1768" s="9"/>
      <c r="H1768" s="9"/>
      <c r="I1768" s="9"/>
      <c r="J1768" s="9"/>
      <c r="K1768" s="9"/>
      <c r="L1768" s="9"/>
      <c r="M1768" s="9"/>
      <c r="N1768" s="10"/>
      <c r="O1768" s="10"/>
      <c r="P1768" s="9"/>
    </row>
    <row r="1769">
      <c r="A1769" s="10"/>
      <c r="B1769" s="9"/>
      <c r="C1769" s="10"/>
      <c r="D1769" s="10"/>
      <c r="E1769" s="9"/>
      <c r="F1769" s="9"/>
      <c r="G1769" s="9"/>
      <c r="H1769" s="9"/>
      <c r="I1769" s="9"/>
      <c r="J1769" s="9"/>
      <c r="K1769" s="9"/>
      <c r="L1769" s="9"/>
      <c r="M1769" s="9"/>
      <c r="N1769" s="10"/>
      <c r="O1769" s="10"/>
      <c r="P1769" s="9"/>
    </row>
    <row r="1770">
      <c r="A1770" s="10"/>
      <c r="B1770" s="9"/>
      <c r="C1770" s="10"/>
      <c r="D1770" s="10"/>
      <c r="E1770" s="9"/>
      <c r="F1770" s="9"/>
      <c r="G1770" s="9"/>
      <c r="H1770" s="9"/>
      <c r="I1770" s="9"/>
      <c r="J1770" s="9"/>
      <c r="K1770" s="9"/>
      <c r="L1770" s="9"/>
      <c r="M1770" s="9"/>
      <c r="N1770" s="10"/>
      <c r="O1770" s="10"/>
      <c r="P1770" s="9"/>
    </row>
    <row r="1771">
      <c r="A1771" s="10"/>
      <c r="B1771" s="9"/>
      <c r="C1771" s="10"/>
      <c r="D1771" s="10"/>
      <c r="E1771" s="9"/>
      <c r="F1771" s="9"/>
      <c r="G1771" s="9"/>
      <c r="H1771" s="9"/>
      <c r="I1771" s="9"/>
      <c r="J1771" s="9"/>
      <c r="K1771" s="9"/>
      <c r="L1771" s="9"/>
      <c r="M1771" s="9"/>
      <c r="N1771" s="10"/>
      <c r="O1771" s="10"/>
      <c r="P1771" s="9"/>
    </row>
    <row r="1772">
      <c r="A1772" s="10"/>
      <c r="B1772" s="9"/>
      <c r="C1772" s="10"/>
      <c r="D1772" s="10"/>
      <c r="E1772" s="9"/>
      <c r="F1772" s="9"/>
      <c r="G1772" s="9"/>
      <c r="H1772" s="9"/>
      <c r="I1772" s="9"/>
      <c r="J1772" s="9"/>
      <c r="K1772" s="9"/>
      <c r="L1772" s="9"/>
      <c r="M1772" s="9"/>
      <c r="N1772" s="10"/>
      <c r="O1772" s="10"/>
      <c r="P1772" s="9"/>
    </row>
    <row r="1773">
      <c r="A1773" s="10"/>
      <c r="B1773" s="9"/>
      <c r="C1773" s="10"/>
      <c r="D1773" s="10"/>
      <c r="E1773" s="9"/>
      <c r="F1773" s="9"/>
      <c r="G1773" s="9"/>
      <c r="H1773" s="9"/>
      <c r="I1773" s="9"/>
      <c r="J1773" s="9"/>
      <c r="K1773" s="9"/>
      <c r="L1773" s="9"/>
      <c r="M1773" s="9"/>
      <c r="N1773" s="10"/>
      <c r="O1773" s="10"/>
      <c r="P1773" s="9"/>
    </row>
    <row r="1774">
      <c r="A1774" s="10"/>
      <c r="B1774" s="9"/>
      <c r="C1774" s="10"/>
      <c r="D1774" s="10"/>
      <c r="E1774" s="9"/>
      <c r="F1774" s="9"/>
      <c r="G1774" s="9"/>
      <c r="H1774" s="9"/>
      <c r="I1774" s="9"/>
      <c r="J1774" s="9"/>
      <c r="K1774" s="9"/>
      <c r="L1774" s="9"/>
      <c r="M1774" s="9"/>
      <c r="N1774" s="10"/>
      <c r="O1774" s="10"/>
      <c r="P1774" s="9"/>
    </row>
    <row r="1775">
      <c r="A1775" s="10"/>
      <c r="B1775" s="9"/>
      <c r="C1775" s="10"/>
      <c r="D1775" s="10"/>
      <c r="E1775" s="9"/>
      <c r="F1775" s="9"/>
      <c r="G1775" s="9"/>
      <c r="H1775" s="9"/>
      <c r="I1775" s="9"/>
      <c r="J1775" s="9"/>
      <c r="K1775" s="9"/>
      <c r="L1775" s="9"/>
      <c r="M1775" s="9"/>
      <c r="N1775" s="10"/>
      <c r="O1775" s="10"/>
      <c r="P1775" s="9"/>
    </row>
    <row r="1776">
      <c r="A1776" s="10"/>
      <c r="B1776" s="9"/>
      <c r="C1776" s="10"/>
      <c r="D1776" s="10"/>
      <c r="E1776" s="9"/>
      <c r="F1776" s="9"/>
      <c r="G1776" s="9"/>
      <c r="H1776" s="9"/>
      <c r="I1776" s="9"/>
      <c r="J1776" s="9"/>
      <c r="K1776" s="9"/>
      <c r="L1776" s="9"/>
      <c r="M1776" s="9"/>
      <c r="N1776" s="10"/>
      <c r="O1776" s="10"/>
      <c r="P1776" s="9"/>
    </row>
    <row r="1777">
      <c r="A1777" s="10"/>
      <c r="B1777" s="9"/>
      <c r="C1777" s="10"/>
      <c r="D1777" s="10"/>
      <c r="E1777" s="9"/>
      <c r="F1777" s="9"/>
      <c r="G1777" s="9"/>
      <c r="H1777" s="9"/>
      <c r="I1777" s="9"/>
      <c r="J1777" s="9"/>
      <c r="K1777" s="9"/>
      <c r="L1777" s="9"/>
      <c r="M1777" s="9"/>
      <c r="N1777" s="10"/>
      <c r="O1777" s="10"/>
      <c r="P1777" s="9"/>
    </row>
    <row r="1778">
      <c r="A1778" s="10"/>
      <c r="B1778" s="9"/>
      <c r="C1778" s="10"/>
      <c r="D1778" s="10"/>
      <c r="E1778" s="9"/>
      <c r="F1778" s="9"/>
      <c r="G1778" s="9"/>
      <c r="H1778" s="9"/>
      <c r="I1778" s="9"/>
      <c r="J1778" s="9"/>
      <c r="K1778" s="9"/>
      <c r="L1778" s="9"/>
      <c r="M1778" s="9"/>
      <c r="N1778" s="10"/>
      <c r="O1778" s="10"/>
      <c r="P1778" s="9"/>
    </row>
    <row r="1779">
      <c r="A1779" s="10"/>
      <c r="B1779" s="9"/>
      <c r="C1779" s="10"/>
      <c r="D1779" s="10"/>
      <c r="E1779" s="9"/>
      <c r="F1779" s="9"/>
      <c r="G1779" s="9"/>
      <c r="H1779" s="9"/>
      <c r="I1779" s="9"/>
      <c r="J1779" s="9"/>
      <c r="K1779" s="9"/>
      <c r="L1779" s="9"/>
      <c r="M1779" s="9"/>
      <c r="N1779" s="10"/>
      <c r="O1779" s="10"/>
      <c r="P1779" s="9"/>
    </row>
    <row r="1780">
      <c r="A1780" s="10"/>
      <c r="B1780" s="9"/>
      <c r="C1780" s="10"/>
      <c r="D1780" s="10"/>
      <c r="E1780" s="9"/>
      <c r="F1780" s="9"/>
      <c r="G1780" s="9"/>
      <c r="H1780" s="9"/>
      <c r="I1780" s="9"/>
      <c r="J1780" s="9"/>
      <c r="K1780" s="9"/>
      <c r="L1780" s="9"/>
      <c r="M1780" s="9"/>
      <c r="N1780" s="10"/>
      <c r="O1780" s="10"/>
      <c r="P1780" s="9"/>
    </row>
    <row r="1781">
      <c r="A1781" s="10"/>
      <c r="B1781" s="9"/>
      <c r="C1781" s="10"/>
      <c r="D1781" s="10"/>
      <c r="E1781" s="9"/>
      <c r="F1781" s="9"/>
      <c r="G1781" s="9"/>
      <c r="H1781" s="9"/>
      <c r="I1781" s="9"/>
      <c r="J1781" s="9"/>
      <c r="K1781" s="9"/>
      <c r="L1781" s="9"/>
      <c r="M1781" s="9"/>
      <c r="N1781" s="10"/>
      <c r="O1781" s="10"/>
      <c r="P1781" s="9"/>
    </row>
    <row r="1782">
      <c r="A1782" s="10"/>
      <c r="B1782" s="9"/>
      <c r="C1782" s="10"/>
      <c r="D1782" s="10"/>
      <c r="E1782" s="9"/>
      <c r="F1782" s="9"/>
      <c r="G1782" s="9"/>
      <c r="H1782" s="9"/>
      <c r="I1782" s="9"/>
      <c r="J1782" s="9"/>
      <c r="K1782" s="9"/>
      <c r="L1782" s="9"/>
      <c r="M1782" s="9"/>
      <c r="N1782" s="10"/>
      <c r="O1782" s="10"/>
      <c r="P1782" s="9"/>
    </row>
    <row r="1783">
      <c r="A1783" s="10"/>
      <c r="B1783" s="9"/>
      <c r="C1783" s="10"/>
      <c r="D1783" s="10"/>
      <c r="E1783" s="9"/>
      <c r="F1783" s="9"/>
      <c r="G1783" s="9"/>
      <c r="H1783" s="9"/>
      <c r="I1783" s="9"/>
      <c r="J1783" s="9"/>
      <c r="K1783" s="9"/>
      <c r="L1783" s="9"/>
      <c r="M1783" s="9"/>
      <c r="N1783" s="10"/>
      <c r="O1783" s="10"/>
      <c r="P1783" s="9"/>
    </row>
    <row r="1784">
      <c r="A1784" s="10"/>
      <c r="B1784" s="9"/>
      <c r="C1784" s="10"/>
      <c r="D1784" s="10"/>
      <c r="E1784" s="9"/>
      <c r="F1784" s="9"/>
      <c r="G1784" s="9"/>
      <c r="H1784" s="9"/>
      <c r="I1784" s="9"/>
      <c r="J1784" s="9"/>
      <c r="K1784" s="9"/>
      <c r="L1784" s="9"/>
      <c r="M1784" s="9"/>
      <c r="N1784" s="10"/>
      <c r="O1784" s="10"/>
      <c r="P1784" s="9"/>
    </row>
    <row r="1785">
      <c r="A1785" s="10"/>
      <c r="B1785" s="9"/>
      <c r="C1785" s="10"/>
      <c r="D1785" s="10"/>
      <c r="E1785" s="9"/>
      <c r="F1785" s="9"/>
      <c r="G1785" s="9"/>
      <c r="H1785" s="9"/>
      <c r="I1785" s="9"/>
      <c r="J1785" s="9"/>
      <c r="K1785" s="9"/>
      <c r="L1785" s="9"/>
      <c r="M1785" s="9"/>
      <c r="N1785" s="10"/>
      <c r="O1785" s="10"/>
      <c r="P1785" s="9"/>
    </row>
    <row r="1786">
      <c r="A1786" s="10"/>
      <c r="B1786" s="9"/>
      <c r="C1786" s="10"/>
      <c r="D1786" s="10"/>
      <c r="E1786" s="9"/>
      <c r="F1786" s="9"/>
      <c r="G1786" s="9"/>
      <c r="H1786" s="9"/>
      <c r="I1786" s="9"/>
      <c r="J1786" s="9"/>
      <c r="K1786" s="9"/>
      <c r="L1786" s="9"/>
      <c r="M1786" s="9"/>
      <c r="N1786" s="10"/>
      <c r="O1786" s="10"/>
      <c r="P1786" s="9"/>
    </row>
    <row r="1787">
      <c r="A1787" s="10"/>
      <c r="B1787" s="9"/>
      <c r="C1787" s="10"/>
      <c r="D1787" s="10"/>
      <c r="E1787" s="9"/>
      <c r="F1787" s="9"/>
      <c r="G1787" s="9"/>
      <c r="H1787" s="9"/>
      <c r="I1787" s="9"/>
      <c r="J1787" s="9"/>
      <c r="K1787" s="9"/>
      <c r="L1787" s="9"/>
      <c r="M1787" s="9"/>
      <c r="N1787" s="10"/>
      <c r="O1787" s="10"/>
      <c r="P1787" s="9"/>
    </row>
    <row r="1788">
      <c r="A1788" s="10"/>
      <c r="B1788" s="9"/>
      <c r="C1788" s="10"/>
      <c r="D1788" s="10"/>
      <c r="E1788" s="9"/>
      <c r="F1788" s="9"/>
      <c r="G1788" s="9"/>
      <c r="H1788" s="9"/>
      <c r="I1788" s="9"/>
      <c r="J1788" s="9"/>
      <c r="K1788" s="9"/>
      <c r="L1788" s="9"/>
      <c r="M1788" s="9"/>
      <c r="N1788" s="10"/>
      <c r="O1788" s="10"/>
      <c r="P1788" s="9"/>
    </row>
    <row r="1789">
      <c r="A1789" s="10"/>
      <c r="B1789" s="9"/>
      <c r="C1789" s="10"/>
      <c r="D1789" s="10"/>
      <c r="E1789" s="9"/>
      <c r="F1789" s="9"/>
      <c r="G1789" s="9"/>
      <c r="H1789" s="9"/>
      <c r="I1789" s="9"/>
      <c r="J1789" s="9"/>
      <c r="K1789" s="9"/>
      <c r="L1789" s="9"/>
      <c r="M1789" s="9"/>
      <c r="N1789" s="10"/>
      <c r="O1789" s="10"/>
      <c r="P1789" s="9"/>
    </row>
    <row r="1790">
      <c r="A1790" s="10"/>
      <c r="B1790" s="9"/>
      <c r="C1790" s="10"/>
      <c r="D1790" s="10"/>
      <c r="E1790" s="9"/>
      <c r="F1790" s="9"/>
      <c r="G1790" s="9"/>
      <c r="H1790" s="9"/>
      <c r="I1790" s="9"/>
      <c r="J1790" s="9"/>
      <c r="K1790" s="9"/>
      <c r="L1790" s="9"/>
      <c r="M1790" s="9"/>
      <c r="N1790" s="10"/>
      <c r="O1790" s="10"/>
      <c r="P1790" s="9"/>
    </row>
    <row r="1791">
      <c r="A1791" s="10"/>
      <c r="B1791" s="9"/>
      <c r="C1791" s="10"/>
      <c r="D1791" s="10"/>
      <c r="E1791" s="9"/>
      <c r="F1791" s="9"/>
      <c r="G1791" s="9"/>
      <c r="H1791" s="9"/>
      <c r="I1791" s="9"/>
      <c r="J1791" s="9"/>
      <c r="K1791" s="9"/>
      <c r="L1791" s="9"/>
      <c r="M1791" s="9"/>
      <c r="N1791" s="10"/>
      <c r="O1791" s="10"/>
      <c r="P1791" s="9"/>
    </row>
    <row r="1792">
      <c r="A1792" s="10"/>
      <c r="B1792" s="9"/>
      <c r="C1792" s="10"/>
      <c r="D1792" s="10"/>
      <c r="E1792" s="9"/>
      <c r="F1792" s="9"/>
      <c r="G1792" s="9"/>
      <c r="H1792" s="9"/>
      <c r="I1792" s="9"/>
      <c r="J1792" s="9"/>
      <c r="K1792" s="9"/>
      <c r="L1792" s="9"/>
      <c r="M1792" s="9"/>
      <c r="N1792" s="10"/>
      <c r="O1792" s="10"/>
      <c r="P1792" s="9"/>
    </row>
    <row r="1793">
      <c r="A1793" s="10"/>
      <c r="B1793" s="9"/>
      <c r="C1793" s="10"/>
      <c r="D1793" s="10"/>
      <c r="E1793" s="9"/>
      <c r="F1793" s="9"/>
      <c r="G1793" s="9"/>
      <c r="H1793" s="9"/>
      <c r="I1793" s="9"/>
      <c r="J1793" s="9"/>
      <c r="K1793" s="9"/>
      <c r="L1793" s="9"/>
      <c r="M1793" s="9"/>
      <c r="N1793" s="10"/>
      <c r="O1793" s="10"/>
      <c r="P1793" s="9"/>
    </row>
    <row r="1794">
      <c r="A1794" s="10"/>
      <c r="B1794" s="9"/>
      <c r="C1794" s="10"/>
      <c r="D1794" s="10"/>
      <c r="E1794" s="9"/>
      <c r="F1794" s="9"/>
      <c r="G1794" s="9"/>
      <c r="H1794" s="9"/>
      <c r="I1794" s="9"/>
      <c r="J1794" s="9"/>
      <c r="K1794" s="9"/>
      <c r="L1794" s="9"/>
      <c r="M1794" s="9"/>
      <c r="N1794" s="10"/>
      <c r="O1794" s="10"/>
      <c r="P1794" s="9"/>
    </row>
    <row r="1795">
      <c r="A1795" s="10"/>
      <c r="B1795" s="9"/>
      <c r="C1795" s="10"/>
      <c r="D1795" s="10"/>
      <c r="E1795" s="9"/>
      <c r="F1795" s="9"/>
      <c r="G1795" s="9"/>
      <c r="H1795" s="9"/>
      <c r="I1795" s="9"/>
      <c r="J1795" s="9"/>
      <c r="K1795" s="9"/>
      <c r="L1795" s="9"/>
      <c r="M1795" s="9"/>
      <c r="N1795" s="10"/>
      <c r="O1795" s="10"/>
      <c r="P1795" s="9"/>
    </row>
    <row r="1796">
      <c r="A1796" s="10"/>
      <c r="B1796" s="9"/>
      <c r="C1796" s="10"/>
      <c r="D1796" s="10"/>
      <c r="E1796" s="9"/>
      <c r="F1796" s="9"/>
      <c r="G1796" s="9"/>
      <c r="H1796" s="9"/>
      <c r="I1796" s="9"/>
      <c r="J1796" s="9"/>
      <c r="K1796" s="9"/>
      <c r="L1796" s="9"/>
      <c r="M1796" s="9"/>
      <c r="N1796" s="10"/>
      <c r="O1796" s="10"/>
      <c r="P1796" s="9"/>
    </row>
    <row r="1797">
      <c r="A1797" s="10"/>
      <c r="B1797" s="9"/>
      <c r="C1797" s="10"/>
      <c r="D1797" s="10"/>
      <c r="E1797" s="9"/>
      <c r="F1797" s="9"/>
      <c r="G1797" s="9"/>
      <c r="H1797" s="9"/>
      <c r="I1797" s="9"/>
      <c r="J1797" s="9"/>
      <c r="K1797" s="9"/>
      <c r="L1797" s="9"/>
      <c r="M1797" s="9"/>
      <c r="N1797" s="10"/>
      <c r="O1797" s="10"/>
      <c r="P1797" s="9"/>
    </row>
    <row r="1798">
      <c r="A1798" s="10"/>
      <c r="B1798" s="9"/>
      <c r="C1798" s="10"/>
      <c r="D1798" s="10"/>
      <c r="E1798" s="9"/>
      <c r="F1798" s="9"/>
      <c r="G1798" s="9"/>
      <c r="H1798" s="9"/>
      <c r="I1798" s="9"/>
      <c r="J1798" s="9"/>
      <c r="K1798" s="9"/>
      <c r="L1798" s="9"/>
      <c r="M1798" s="9"/>
      <c r="N1798" s="10"/>
      <c r="O1798" s="10"/>
      <c r="P1798" s="9"/>
    </row>
    <row r="1799">
      <c r="A1799" s="10"/>
      <c r="B1799" s="9"/>
      <c r="C1799" s="10"/>
      <c r="D1799" s="10"/>
      <c r="E1799" s="9"/>
      <c r="F1799" s="9"/>
      <c r="G1799" s="9"/>
      <c r="H1799" s="9"/>
      <c r="I1799" s="9"/>
      <c r="J1799" s="9"/>
      <c r="K1799" s="9"/>
      <c r="L1799" s="9"/>
      <c r="M1799" s="9"/>
      <c r="N1799" s="10"/>
      <c r="O1799" s="10"/>
      <c r="P1799" s="9"/>
    </row>
    <row r="1800">
      <c r="A1800" s="10"/>
      <c r="B1800" s="9"/>
      <c r="C1800" s="10"/>
      <c r="D1800" s="10"/>
      <c r="E1800" s="9"/>
      <c r="F1800" s="9"/>
      <c r="G1800" s="9"/>
      <c r="H1800" s="9"/>
      <c r="I1800" s="9"/>
      <c r="J1800" s="9"/>
      <c r="K1800" s="9"/>
      <c r="L1800" s="9"/>
      <c r="M1800" s="9"/>
      <c r="N1800" s="10"/>
      <c r="O1800" s="10"/>
      <c r="P1800" s="9"/>
    </row>
    <row r="1801">
      <c r="A1801" s="10"/>
      <c r="B1801" s="9"/>
      <c r="C1801" s="10"/>
      <c r="D1801" s="10"/>
      <c r="E1801" s="9"/>
      <c r="F1801" s="9"/>
      <c r="G1801" s="9"/>
      <c r="H1801" s="9"/>
      <c r="I1801" s="9"/>
      <c r="J1801" s="9"/>
      <c r="K1801" s="9"/>
      <c r="L1801" s="9"/>
      <c r="M1801" s="9"/>
      <c r="N1801" s="10"/>
      <c r="O1801" s="10"/>
      <c r="P1801" s="9"/>
    </row>
    <row r="1802">
      <c r="A1802" s="10"/>
      <c r="B1802" s="9"/>
      <c r="C1802" s="10"/>
      <c r="D1802" s="10"/>
      <c r="E1802" s="9"/>
      <c r="F1802" s="9"/>
      <c r="G1802" s="9"/>
      <c r="H1802" s="9"/>
      <c r="I1802" s="9"/>
      <c r="J1802" s="9"/>
      <c r="K1802" s="9"/>
      <c r="L1802" s="9"/>
      <c r="M1802" s="9"/>
      <c r="N1802" s="10"/>
      <c r="O1802" s="10"/>
      <c r="P1802" s="9"/>
    </row>
    <row r="1803">
      <c r="A1803" s="10"/>
      <c r="B1803" s="9"/>
      <c r="C1803" s="10"/>
      <c r="D1803" s="10"/>
      <c r="E1803" s="9"/>
      <c r="F1803" s="9"/>
      <c r="G1803" s="9"/>
      <c r="H1803" s="9"/>
      <c r="I1803" s="9"/>
      <c r="J1803" s="9"/>
      <c r="K1803" s="9"/>
      <c r="L1803" s="9"/>
      <c r="M1803" s="9"/>
      <c r="N1803" s="10"/>
      <c r="O1803" s="10"/>
      <c r="P1803" s="9"/>
    </row>
    <row r="1804">
      <c r="A1804" s="10"/>
      <c r="B1804" s="9"/>
      <c r="C1804" s="10"/>
      <c r="D1804" s="10"/>
      <c r="E1804" s="9"/>
      <c r="F1804" s="9"/>
      <c r="G1804" s="9"/>
      <c r="H1804" s="9"/>
      <c r="I1804" s="9"/>
      <c r="J1804" s="9"/>
      <c r="K1804" s="9"/>
      <c r="L1804" s="9"/>
      <c r="M1804" s="9"/>
      <c r="N1804" s="10"/>
      <c r="O1804" s="10"/>
      <c r="P1804" s="9"/>
    </row>
    <row r="1805">
      <c r="A1805" s="10"/>
      <c r="B1805" s="9"/>
      <c r="C1805" s="10"/>
      <c r="D1805" s="10"/>
      <c r="E1805" s="9"/>
      <c r="F1805" s="9"/>
      <c r="G1805" s="9"/>
      <c r="H1805" s="9"/>
      <c r="I1805" s="9"/>
      <c r="J1805" s="9"/>
      <c r="K1805" s="9"/>
      <c r="L1805" s="9"/>
      <c r="M1805" s="9"/>
      <c r="N1805" s="10"/>
      <c r="O1805" s="10"/>
      <c r="P1805" s="9"/>
    </row>
    <row r="1806">
      <c r="A1806" s="10"/>
      <c r="B1806" s="9"/>
      <c r="C1806" s="10"/>
      <c r="D1806" s="10"/>
      <c r="E1806" s="9"/>
      <c r="F1806" s="9"/>
      <c r="G1806" s="9"/>
      <c r="H1806" s="9"/>
      <c r="I1806" s="9"/>
      <c r="J1806" s="9"/>
      <c r="K1806" s="9"/>
      <c r="L1806" s="9"/>
      <c r="M1806" s="9"/>
      <c r="N1806" s="10"/>
      <c r="O1806" s="10"/>
      <c r="P1806" s="9"/>
    </row>
    <row r="1807">
      <c r="A1807" s="10"/>
      <c r="B1807" s="9"/>
      <c r="C1807" s="10"/>
      <c r="D1807" s="10"/>
      <c r="E1807" s="9"/>
      <c r="F1807" s="9"/>
      <c r="G1807" s="9"/>
      <c r="H1807" s="9"/>
      <c r="I1807" s="9"/>
      <c r="J1807" s="9"/>
      <c r="K1807" s="9"/>
      <c r="L1807" s="9"/>
      <c r="M1807" s="9"/>
      <c r="N1807" s="10"/>
      <c r="O1807" s="10"/>
      <c r="P1807" s="9"/>
    </row>
    <row r="1808">
      <c r="A1808" s="10"/>
      <c r="B1808" s="9"/>
      <c r="C1808" s="10"/>
      <c r="D1808" s="10"/>
      <c r="E1808" s="9"/>
      <c r="F1808" s="9"/>
      <c r="G1808" s="9"/>
      <c r="H1808" s="9"/>
      <c r="I1808" s="9"/>
      <c r="J1808" s="9"/>
      <c r="K1808" s="9"/>
      <c r="L1808" s="9"/>
      <c r="M1808" s="9"/>
      <c r="N1808" s="10"/>
      <c r="O1808" s="10"/>
      <c r="P1808" s="9"/>
    </row>
    <row r="1809">
      <c r="A1809" s="10"/>
      <c r="B1809" s="9"/>
      <c r="C1809" s="10"/>
      <c r="D1809" s="10"/>
      <c r="E1809" s="9"/>
      <c r="F1809" s="9"/>
      <c r="G1809" s="9"/>
      <c r="H1809" s="9"/>
      <c r="I1809" s="9"/>
      <c r="J1809" s="9"/>
      <c r="K1809" s="9"/>
      <c r="L1809" s="9"/>
      <c r="M1809" s="9"/>
      <c r="N1809" s="10"/>
      <c r="O1809" s="10"/>
      <c r="P1809" s="9"/>
    </row>
    <row r="1810">
      <c r="A1810" s="10"/>
      <c r="B1810" s="9"/>
      <c r="C1810" s="10"/>
      <c r="D1810" s="10"/>
      <c r="E1810" s="9"/>
      <c r="F1810" s="9"/>
      <c r="G1810" s="9"/>
      <c r="H1810" s="9"/>
      <c r="I1810" s="9"/>
      <c r="J1810" s="9"/>
      <c r="K1810" s="9"/>
      <c r="L1810" s="9"/>
      <c r="M1810" s="9"/>
      <c r="N1810" s="10"/>
      <c r="O1810" s="10"/>
      <c r="P1810" s="9"/>
    </row>
    <row r="1811">
      <c r="A1811" s="10"/>
      <c r="B1811" s="9"/>
      <c r="C1811" s="10"/>
      <c r="D1811" s="10"/>
      <c r="E1811" s="9"/>
      <c r="F1811" s="9"/>
      <c r="G1811" s="9"/>
      <c r="H1811" s="9"/>
      <c r="I1811" s="9"/>
      <c r="J1811" s="9"/>
      <c r="K1811" s="9"/>
      <c r="L1811" s="9"/>
      <c r="M1811" s="9"/>
      <c r="N1811" s="10"/>
      <c r="O1811" s="10"/>
      <c r="P1811" s="9"/>
    </row>
    <row r="1812">
      <c r="A1812" s="10"/>
      <c r="B1812" s="9"/>
      <c r="C1812" s="10"/>
      <c r="D1812" s="10"/>
      <c r="E1812" s="9"/>
      <c r="F1812" s="9"/>
      <c r="G1812" s="9"/>
      <c r="H1812" s="9"/>
      <c r="I1812" s="9"/>
      <c r="J1812" s="9"/>
      <c r="K1812" s="9"/>
      <c r="L1812" s="9"/>
      <c r="M1812" s="9"/>
      <c r="N1812" s="10"/>
      <c r="O1812" s="10"/>
      <c r="P1812" s="9"/>
    </row>
    <row r="1813">
      <c r="A1813" s="10"/>
      <c r="B1813" s="9"/>
      <c r="C1813" s="10"/>
      <c r="D1813" s="10"/>
      <c r="E1813" s="9"/>
      <c r="F1813" s="9"/>
      <c r="G1813" s="9"/>
      <c r="H1813" s="9"/>
      <c r="I1813" s="9"/>
      <c r="J1813" s="9"/>
      <c r="K1813" s="9"/>
      <c r="L1813" s="9"/>
      <c r="M1813" s="9"/>
      <c r="N1813" s="10"/>
      <c r="O1813" s="10"/>
      <c r="P1813" s="9"/>
    </row>
    <row r="1814">
      <c r="A1814" s="10"/>
      <c r="B1814" s="9"/>
      <c r="C1814" s="10"/>
      <c r="D1814" s="10"/>
      <c r="E1814" s="9"/>
      <c r="F1814" s="9"/>
      <c r="G1814" s="9"/>
      <c r="H1814" s="9"/>
      <c r="I1814" s="9"/>
      <c r="J1814" s="9"/>
      <c r="K1814" s="9"/>
      <c r="L1814" s="9"/>
      <c r="M1814" s="9"/>
      <c r="N1814" s="10"/>
      <c r="O1814" s="10"/>
      <c r="P1814" s="9"/>
    </row>
    <row r="1815">
      <c r="A1815" s="10"/>
      <c r="B1815" s="9"/>
      <c r="C1815" s="10"/>
      <c r="D1815" s="10"/>
      <c r="E1815" s="9"/>
      <c r="F1815" s="9"/>
      <c r="G1815" s="9"/>
      <c r="H1815" s="9"/>
      <c r="I1815" s="9"/>
      <c r="J1815" s="9"/>
      <c r="K1815" s="9"/>
      <c r="L1815" s="9"/>
      <c r="M1815" s="9"/>
      <c r="N1815" s="10"/>
      <c r="O1815" s="10"/>
      <c r="P1815" s="9"/>
    </row>
    <row r="1816">
      <c r="A1816" s="10"/>
      <c r="B1816" s="9"/>
      <c r="C1816" s="10"/>
      <c r="D1816" s="10"/>
      <c r="E1816" s="9"/>
      <c r="F1816" s="9"/>
      <c r="G1816" s="9"/>
      <c r="H1816" s="9"/>
      <c r="I1816" s="9"/>
      <c r="J1816" s="9"/>
      <c r="K1816" s="9"/>
      <c r="L1816" s="9"/>
      <c r="M1816" s="9"/>
      <c r="N1816" s="10"/>
      <c r="O1816" s="10"/>
      <c r="P1816" s="9"/>
    </row>
    <row r="1817">
      <c r="A1817" s="10"/>
      <c r="B1817" s="9"/>
      <c r="C1817" s="10"/>
      <c r="D1817" s="10"/>
      <c r="E1817" s="9"/>
      <c r="F1817" s="9"/>
      <c r="G1817" s="9"/>
      <c r="H1817" s="9"/>
      <c r="I1817" s="9"/>
      <c r="J1817" s="9"/>
      <c r="K1817" s="9"/>
      <c r="L1817" s="9"/>
      <c r="M1817" s="9"/>
      <c r="N1817" s="10"/>
      <c r="O1817" s="10"/>
      <c r="P1817" s="9"/>
    </row>
    <row r="1818">
      <c r="A1818" s="10"/>
      <c r="B1818" s="9"/>
      <c r="C1818" s="10"/>
      <c r="D1818" s="10"/>
      <c r="E1818" s="9"/>
      <c r="F1818" s="9"/>
      <c r="G1818" s="9"/>
      <c r="H1818" s="9"/>
      <c r="I1818" s="9"/>
      <c r="J1818" s="9"/>
      <c r="K1818" s="9"/>
      <c r="L1818" s="9"/>
      <c r="M1818" s="9"/>
      <c r="N1818" s="10"/>
      <c r="O1818" s="10"/>
      <c r="P1818" s="9"/>
    </row>
    <row r="1819">
      <c r="A1819" s="10"/>
      <c r="B1819" s="9"/>
      <c r="C1819" s="10"/>
      <c r="D1819" s="10"/>
      <c r="E1819" s="9"/>
      <c r="F1819" s="9"/>
      <c r="G1819" s="9"/>
      <c r="H1819" s="9"/>
      <c r="I1819" s="9"/>
      <c r="J1819" s="9"/>
      <c r="K1819" s="9"/>
      <c r="L1819" s="9"/>
      <c r="M1819" s="9"/>
      <c r="N1819" s="10"/>
      <c r="O1819" s="10"/>
      <c r="P1819" s="9"/>
    </row>
    <row r="1820">
      <c r="A1820" s="10"/>
      <c r="B1820" s="9"/>
      <c r="C1820" s="10"/>
      <c r="D1820" s="10"/>
      <c r="E1820" s="9"/>
      <c r="F1820" s="9"/>
      <c r="G1820" s="9"/>
      <c r="H1820" s="9"/>
      <c r="I1820" s="9"/>
      <c r="J1820" s="9"/>
      <c r="K1820" s="9"/>
      <c r="L1820" s="9"/>
      <c r="M1820" s="9"/>
      <c r="N1820" s="10"/>
      <c r="O1820" s="10"/>
      <c r="P1820" s="9"/>
    </row>
    <row r="1821">
      <c r="A1821" s="10"/>
      <c r="B1821" s="9"/>
      <c r="C1821" s="10"/>
      <c r="D1821" s="10"/>
      <c r="E1821" s="9"/>
      <c r="F1821" s="9"/>
      <c r="G1821" s="9"/>
      <c r="H1821" s="9"/>
      <c r="I1821" s="9"/>
      <c r="J1821" s="9"/>
      <c r="K1821" s="9"/>
      <c r="L1821" s="9"/>
      <c r="M1821" s="9"/>
      <c r="N1821" s="10"/>
      <c r="O1821" s="10"/>
      <c r="P1821" s="9"/>
    </row>
    <row r="1822">
      <c r="A1822" s="10"/>
      <c r="B1822" s="9"/>
      <c r="C1822" s="10"/>
      <c r="D1822" s="10"/>
      <c r="E1822" s="9"/>
      <c r="F1822" s="9"/>
      <c r="G1822" s="9"/>
      <c r="H1822" s="9"/>
      <c r="I1822" s="9"/>
      <c r="J1822" s="9"/>
      <c r="K1822" s="9"/>
      <c r="L1822" s="9"/>
      <c r="M1822" s="9"/>
      <c r="N1822" s="10"/>
      <c r="O1822" s="10"/>
      <c r="P1822" s="9"/>
    </row>
    <row r="1823">
      <c r="A1823" s="10"/>
      <c r="B1823" s="9"/>
      <c r="C1823" s="10"/>
      <c r="D1823" s="10"/>
      <c r="E1823" s="9"/>
      <c r="F1823" s="9"/>
      <c r="G1823" s="9"/>
      <c r="H1823" s="9"/>
      <c r="I1823" s="9"/>
      <c r="J1823" s="9"/>
      <c r="K1823" s="9"/>
      <c r="L1823" s="9"/>
      <c r="M1823" s="9"/>
      <c r="N1823" s="10"/>
      <c r="O1823" s="10"/>
      <c r="P1823" s="9"/>
    </row>
    <row r="1824">
      <c r="A1824" s="10"/>
      <c r="B1824" s="9"/>
      <c r="C1824" s="10"/>
      <c r="D1824" s="10"/>
      <c r="E1824" s="9"/>
      <c r="F1824" s="9"/>
      <c r="G1824" s="9"/>
      <c r="H1824" s="9"/>
      <c r="I1824" s="9"/>
      <c r="J1824" s="9"/>
      <c r="K1824" s="9"/>
      <c r="L1824" s="9"/>
      <c r="M1824" s="9"/>
      <c r="N1824" s="10"/>
      <c r="O1824" s="10"/>
      <c r="P1824" s="9"/>
    </row>
    <row r="1825">
      <c r="A1825" s="10"/>
      <c r="B1825" s="9"/>
      <c r="C1825" s="10"/>
      <c r="D1825" s="10"/>
      <c r="E1825" s="9"/>
      <c r="F1825" s="9"/>
      <c r="G1825" s="9"/>
      <c r="H1825" s="9"/>
      <c r="I1825" s="9"/>
      <c r="J1825" s="9"/>
      <c r="K1825" s="9"/>
      <c r="L1825" s="9"/>
      <c r="M1825" s="9"/>
      <c r="N1825" s="10"/>
      <c r="O1825" s="10"/>
      <c r="P1825" s="9"/>
    </row>
    <row r="1826">
      <c r="A1826" s="10"/>
      <c r="B1826" s="9"/>
      <c r="C1826" s="10"/>
      <c r="D1826" s="10"/>
      <c r="E1826" s="9"/>
      <c r="F1826" s="9"/>
      <c r="G1826" s="9"/>
      <c r="H1826" s="9"/>
      <c r="I1826" s="9"/>
      <c r="J1826" s="9"/>
      <c r="K1826" s="9"/>
      <c r="L1826" s="9"/>
      <c r="M1826" s="9"/>
      <c r="N1826" s="10"/>
      <c r="O1826" s="10"/>
      <c r="P1826" s="9"/>
    </row>
    <row r="1827">
      <c r="A1827" s="10"/>
      <c r="B1827" s="9"/>
      <c r="C1827" s="10"/>
      <c r="D1827" s="10"/>
      <c r="E1827" s="9"/>
      <c r="F1827" s="9"/>
      <c r="G1827" s="9"/>
      <c r="H1827" s="9"/>
      <c r="I1827" s="9"/>
      <c r="J1827" s="9"/>
      <c r="K1827" s="9"/>
      <c r="L1827" s="9"/>
      <c r="M1827" s="9"/>
      <c r="N1827" s="10"/>
      <c r="O1827" s="10"/>
      <c r="P1827" s="9"/>
    </row>
    <row r="1828">
      <c r="A1828" s="10"/>
      <c r="B1828" s="9"/>
      <c r="C1828" s="10"/>
      <c r="D1828" s="10"/>
      <c r="E1828" s="9"/>
      <c r="F1828" s="9"/>
      <c r="G1828" s="9"/>
      <c r="H1828" s="9"/>
      <c r="I1828" s="9"/>
      <c r="J1828" s="9"/>
      <c r="K1828" s="9"/>
      <c r="L1828" s="9"/>
      <c r="M1828" s="9"/>
      <c r="N1828" s="10"/>
      <c r="O1828" s="10"/>
      <c r="P1828" s="9"/>
    </row>
    <row r="1829">
      <c r="A1829" s="10"/>
      <c r="B1829" s="9"/>
      <c r="C1829" s="10"/>
      <c r="D1829" s="10"/>
      <c r="E1829" s="9"/>
      <c r="F1829" s="9"/>
      <c r="G1829" s="9"/>
      <c r="H1829" s="9"/>
      <c r="I1829" s="9"/>
      <c r="J1829" s="9"/>
      <c r="K1829" s="9"/>
      <c r="L1829" s="9"/>
      <c r="M1829" s="9"/>
      <c r="N1829" s="10"/>
      <c r="O1829" s="10"/>
      <c r="P1829" s="9"/>
    </row>
    <row r="1830">
      <c r="A1830" s="10"/>
      <c r="B1830" s="9"/>
      <c r="C1830" s="10"/>
      <c r="D1830" s="10"/>
      <c r="E1830" s="9"/>
      <c r="F1830" s="9"/>
      <c r="G1830" s="9"/>
      <c r="H1830" s="9"/>
      <c r="I1830" s="9"/>
      <c r="J1830" s="9"/>
      <c r="K1830" s="9"/>
      <c r="L1830" s="9"/>
      <c r="M1830" s="9"/>
      <c r="N1830" s="10"/>
      <c r="O1830" s="10"/>
      <c r="P1830" s="9"/>
    </row>
    <row r="1831">
      <c r="A1831" s="10"/>
      <c r="B1831" s="9"/>
      <c r="C1831" s="10"/>
      <c r="D1831" s="10"/>
      <c r="E1831" s="9"/>
      <c r="F1831" s="9"/>
      <c r="G1831" s="9"/>
      <c r="H1831" s="9"/>
      <c r="I1831" s="9"/>
      <c r="J1831" s="9"/>
      <c r="K1831" s="9"/>
      <c r="L1831" s="9"/>
      <c r="M1831" s="9"/>
      <c r="N1831" s="10"/>
      <c r="O1831" s="10"/>
      <c r="P1831" s="9"/>
    </row>
    <row r="1832">
      <c r="A1832" s="10"/>
      <c r="B1832" s="9"/>
      <c r="C1832" s="10"/>
      <c r="D1832" s="10"/>
      <c r="E1832" s="9"/>
      <c r="F1832" s="9"/>
      <c r="G1832" s="9"/>
      <c r="H1832" s="9"/>
      <c r="I1832" s="9"/>
      <c r="J1832" s="9"/>
      <c r="K1832" s="9"/>
      <c r="L1832" s="9"/>
      <c r="M1832" s="9"/>
      <c r="N1832" s="10"/>
      <c r="O1832" s="10"/>
      <c r="P1832" s="9"/>
    </row>
    <row r="1833">
      <c r="A1833" s="10"/>
      <c r="B1833" s="9"/>
      <c r="C1833" s="10"/>
      <c r="D1833" s="10"/>
      <c r="E1833" s="9"/>
      <c r="F1833" s="9"/>
      <c r="G1833" s="9"/>
      <c r="H1833" s="9"/>
      <c r="I1833" s="9"/>
      <c r="J1833" s="9"/>
      <c r="K1833" s="9"/>
      <c r="L1833" s="9"/>
      <c r="M1833" s="9"/>
      <c r="N1833" s="10"/>
      <c r="O1833" s="10"/>
      <c r="P1833" s="9"/>
    </row>
    <row r="1834">
      <c r="A1834" s="10"/>
      <c r="B1834" s="9"/>
      <c r="C1834" s="10"/>
      <c r="D1834" s="10"/>
      <c r="E1834" s="9"/>
      <c r="F1834" s="9"/>
      <c r="G1834" s="9"/>
      <c r="H1834" s="9"/>
      <c r="I1834" s="9"/>
      <c r="J1834" s="9"/>
      <c r="K1834" s="9"/>
      <c r="L1834" s="9"/>
      <c r="M1834" s="9"/>
      <c r="N1834" s="10"/>
      <c r="O1834" s="10"/>
      <c r="P1834" s="9"/>
    </row>
    <row r="1835">
      <c r="A1835" s="10"/>
      <c r="B1835" s="9"/>
      <c r="C1835" s="10"/>
      <c r="D1835" s="10"/>
      <c r="E1835" s="9"/>
      <c r="F1835" s="9"/>
      <c r="G1835" s="9"/>
      <c r="H1835" s="9"/>
      <c r="I1835" s="9"/>
      <c r="J1835" s="9"/>
      <c r="K1835" s="9"/>
      <c r="L1835" s="9"/>
      <c r="M1835" s="9"/>
      <c r="N1835" s="10"/>
      <c r="O1835" s="10"/>
      <c r="P1835" s="9"/>
    </row>
    <row r="1836">
      <c r="A1836" s="10"/>
      <c r="B1836" s="9"/>
      <c r="C1836" s="10"/>
      <c r="D1836" s="10"/>
      <c r="E1836" s="9"/>
      <c r="F1836" s="9"/>
      <c r="G1836" s="9"/>
      <c r="H1836" s="9"/>
      <c r="I1836" s="9"/>
      <c r="J1836" s="9"/>
      <c r="K1836" s="9"/>
      <c r="L1836" s="9"/>
      <c r="M1836" s="9"/>
      <c r="N1836" s="10"/>
      <c r="O1836" s="10"/>
      <c r="P1836" s="9"/>
    </row>
    <row r="1837">
      <c r="A1837" s="10"/>
      <c r="B1837" s="9"/>
      <c r="C1837" s="10"/>
      <c r="D1837" s="10"/>
      <c r="E1837" s="9"/>
      <c r="F1837" s="9"/>
      <c r="G1837" s="9"/>
      <c r="H1837" s="9"/>
      <c r="I1837" s="9"/>
      <c r="J1837" s="9"/>
      <c r="K1837" s="9"/>
      <c r="L1837" s="9"/>
      <c r="M1837" s="9"/>
      <c r="N1837" s="10"/>
      <c r="O1837" s="10"/>
      <c r="P1837" s="9"/>
    </row>
    <row r="1838">
      <c r="A1838" s="10"/>
      <c r="B1838" s="9"/>
      <c r="C1838" s="10"/>
      <c r="D1838" s="10"/>
      <c r="E1838" s="9"/>
      <c r="F1838" s="9"/>
      <c r="G1838" s="9"/>
      <c r="H1838" s="9"/>
      <c r="I1838" s="9"/>
      <c r="J1838" s="9"/>
      <c r="K1838" s="9"/>
      <c r="L1838" s="9"/>
      <c r="M1838" s="9"/>
      <c r="N1838" s="10"/>
      <c r="O1838" s="10"/>
      <c r="P1838" s="9"/>
    </row>
    <row r="1839">
      <c r="A1839" s="10"/>
      <c r="B1839" s="9"/>
      <c r="C1839" s="10"/>
      <c r="D1839" s="10"/>
      <c r="E1839" s="9"/>
      <c r="F1839" s="9"/>
      <c r="G1839" s="9"/>
      <c r="H1839" s="9"/>
      <c r="I1839" s="9"/>
      <c r="J1839" s="9"/>
      <c r="K1839" s="9"/>
      <c r="L1839" s="9"/>
      <c r="M1839" s="9"/>
      <c r="N1839" s="10"/>
      <c r="O1839" s="10"/>
      <c r="P1839" s="9"/>
    </row>
    <row r="1840">
      <c r="A1840" s="10"/>
      <c r="B1840" s="9"/>
      <c r="C1840" s="10"/>
      <c r="D1840" s="10"/>
      <c r="E1840" s="9"/>
      <c r="F1840" s="9"/>
      <c r="G1840" s="9"/>
      <c r="H1840" s="9"/>
      <c r="I1840" s="9"/>
      <c r="J1840" s="9"/>
      <c r="K1840" s="9"/>
      <c r="L1840" s="9"/>
      <c r="M1840" s="9"/>
      <c r="N1840" s="10"/>
      <c r="O1840" s="10"/>
      <c r="P1840" s="9"/>
    </row>
    <row r="1841">
      <c r="A1841" s="10"/>
      <c r="B1841" s="9"/>
      <c r="C1841" s="10"/>
      <c r="D1841" s="10"/>
      <c r="E1841" s="9"/>
      <c r="F1841" s="9"/>
      <c r="G1841" s="9"/>
      <c r="H1841" s="9"/>
      <c r="I1841" s="9"/>
      <c r="J1841" s="9"/>
      <c r="K1841" s="9"/>
      <c r="L1841" s="9"/>
      <c r="M1841" s="9"/>
      <c r="N1841" s="10"/>
      <c r="O1841" s="10"/>
      <c r="P1841" s="9"/>
    </row>
    <row r="1842">
      <c r="A1842" s="10"/>
      <c r="B1842" s="9"/>
      <c r="C1842" s="10"/>
      <c r="D1842" s="10"/>
      <c r="E1842" s="9"/>
      <c r="F1842" s="9"/>
      <c r="G1842" s="9"/>
      <c r="H1842" s="9"/>
      <c r="I1842" s="9"/>
      <c r="J1842" s="9"/>
      <c r="K1842" s="9"/>
      <c r="L1842" s="9"/>
      <c r="M1842" s="9"/>
      <c r="N1842" s="10"/>
      <c r="O1842" s="10"/>
      <c r="P1842" s="9"/>
    </row>
    <row r="1843">
      <c r="A1843" s="10"/>
      <c r="B1843" s="9"/>
      <c r="C1843" s="10"/>
      <c r="D1843" s="10"/>
      <c r="E1843" s="9"/>
      <c r="F1843" s="9"/>
      <c r="G1843" s="9"/>
      <c r="H1843" s="9"/>
      <c r="I1843" s="9"/>
      <c r="J1843" s="9"/>
      <c r="K1843" s="9"/>
      <c r="L1843" s="9"/>
      <c r="M1843" s="9"/>
      <c r="N1843" s="10"/>
      <c r="O1843" s="10"/>
      <c r="P1843" s="9"/>
    </row>
    <row r="1844">
      <c r="A1844" s="10"/>
      <c r="B1844" s="9"/>
      <c r="C1844" s="10"/>
      <c r="D1844" s="10"/>
      <c r="E1844" s="9"/>
      <c r="F1844" s="9"/>
      <c r="G1844" s="9"/>
      <c r="H1844" s="9"/>
      <c r="I1844" s="9"/>
      <c r="J1844" s="9"/>
      <c r="K1844" s="9"/>
      <c r="L1844" s="9"/>
      <c r="M1844" s="9"/>
      <c r="N1844" s="10"/>
      <c r="O1844" s="10"/>
      <c r="P1844" s="9"/>
    </row>
    <row r="1845">
      <c r="A1845" s="10"/>
      <c r="B1845" s="9"/>
      <c r="C1845" s="10"/>
      <c r="D1845" s="10"/>
      <c r="E1845" s="9"/>
      <c r="F1845" s="9"/>
      <c r="G1845" s="9"/>
      <c r="H1845" s="9"/>
      <c r="I1845" s="9"/>
      <c r="J1845" s="9"/>
      <c r="K1845" s="9"/>
      <c r="L1845" s="9"/>
      <c r="M1845" s="9"/>
      <c r="N1845" s="10"/>
      <c r="O1845" s="10"/>
      <c r="P1845" s="9"/>
    </row>
    <row r="1846">
      <c r="A1846" s="10"/>
      <c r="B1846" s="9"/>
      <c r="C1846" s="10"/>
      <c r="D1846" s="10"/>
      <c r="E1846" s="9"/>
      <c r="F1846" s="9"/>
      <c r="G1846" s="9"/>
      <c r="H1846" s="9"/>
      <c r="I1846" s="9"/>
      <c r="J1846" s="9"/>
      <c r="K1846" s="9"/>
      <c r="L1846" s="9"/>
      <c r="M1846" s="9"/>
      <c r="N1846" s="10"/>
      <c r="O1846" s="10"/>
      <c r="P1846" s="9"/>
    </row>
    <row r="1847">
      <c r="A1847" s="10"/>
      <c r="B1847" s="9"/>
      <c r="C1847" s="10"/>
      <c r="D1847" s="10"/>
      <c r="E1847" s="9"/>
      <c r="F1847" s="9"/>
      <c r="G1847" s="9"/>
      <c r="H1847" s="9"/>
      <c r="I1847" s="9"/>
      <c r="J1847" s="9"/>
      <c r="K1847" s="9"/>
      <c r="L1847" s="9"/>
      <c r="M1847" s="9"/>
      <c r="N1847" s="10"/>
      <c r="O1847" s="10"/>
      <c r="P1847" s="9"/>
    </row>
    <row r="1848">
      <c r="A1848" s="10"/>
      <c r="B1848" s="9"/>
      <c r="C1848" s="10"/>
      <c r="D1848" s="10"/>
      <c r="E1848" s="9"/>
      <c r="F1848" s="9"/>
      <c r="G1848" s="9"/>
      <c r="H1848" s="9"/>
      <c r="I1848" s="9"/>
      <c r="J1848" s="9"/>
      <c r="K1848" s="9"/>
      <c r="L1848" s="9"/>
      <c r="M1848" s="9"/>
      <c r="N1848" s="10"/>
      <c r="O1848" s="10"/>
      <c r="P1848" s="9"/>
    </row>
    <row r="1849">
      <c r="A1849" s="10"/>
      <c r="B1849" s="9"/>
      <c r="C1849" s="10"/>
      <c r="D1849" s="10"/>
      <c r="E1849" s="9"/>
      <c r="F1849" s="9"/>
      <c r="G1849" s="9"/>
      <c r="H1849" s="9"/>
      <c r="I1849" s="9"/>
      <c r="J1849" s="9"/>
      <c r="K1849" s="9"/>
      <c r="L1849" s="9"/>
      <c r="M1849" s="9"/>
      <c r="N1849" s="10"/>
      <c r="O1849" s="10"/>
      <c r="P1849" s="9"/>
    </row>
    <row r="1850">
      <c r="A1850" s="10"/>
      <c r="B1850" s="9"/>
      <c r="C1850" s="10"/>
      <c r="D1850" s="10"/>
      <c r="E1850" s="9"/>
      <c r="F1850" s="9"/>
      <c r="G1850" s="9"/>
      <c r="H1850" s="9"/>
      <c r="I1850" s="9"/>
      <c r="J1850" s="9"/>
      <c r="K1850" s="9"/>
      <c r="L1850" s="9"/>
      <c r="M1850" s="9"/>
      <c r="N1850" s="10"/>
      <c r="O1850" s="10"/>
      <c r="P1850" s="9"/>
    </row>
    <row r="1851">
      <c r="A1851" s="10"/>
      <c r="B1851" s="9"/>
      <c r="C1851" s="10"/>
      <c r="D1851" s="10"/>
      <c r="E1851" s="9"/>
      <c r="F1851" s="9"/>
      <c r="G1851" s="9"/>
      <c r="H1851" s="9"/>
      <c r="I1851" s="9"/>
      <c r="J1851" s="9"/>
      <c r="K1851" s="9"/>
      <c r="L1851" s="9"/>
      <c r="M1851" s="9"/>
      <c r="N1851" s="10"/>
      <c r="O1851" s="10"/>
      <c r="P1851" s="9"/>
    </row>
    <row r="1852">
      <c r="A1852" s="10"/>
      <c r="B1852" s="9"/>
      <c r="C1852" s="10"/>
      <c r="D1852" s="10"/>
      <c r="E1852" s="9"/>
      <c r="F1852" s="9"/>
      <c r="G1852" s="9"/>
      <c r="H1852" s="9"/>
      <c r="I1852" s="9"/>
      <c r="J1852" s="9"/>
      <c r="K1852" s="9"/>
      <c r="L1852" s="9"/>
      <c r="M1852" s="9"/>
      <c r="N1852" s="10"/>
      <c r="O1852" s="10"/>
      <c r="P1852" s="9"/>
    </row>
    <row r="1853">
      <c r="A1853" s="10"/>
      <c r="B1853" s="9"/>
      <c r="C1853" s="10"/>
      <c r="D1853" s="10"/>
      <c r="E1853" s="9"/>
      <c r="F1853" s="9"/>
      <c r="G1853" s="9"/>
      <c r="H1853" s="9"/>
      <c r="I1853" s="9"/>
      <c r="J1853" s="9"/>
      <c r="K1853" s="9"/>
      <c r="L1853" s="9"/>
      <c r="M1853" s="9"/>
      <c r="N1853" s="10"/>
      <c r="O1853" s="10"/>
      <c r="P1853" s="9"/>
    </row>
    <row r="1854">
      <c r="A1854" s="10"/>
      <c r="B1854" s="9"/>
      <c r="C1854" s="10"/>
      <c r="D1854" s="10"/>
      <c r="E1854" s="9"/>
      <c r="F1854" s="9"/>
      <c r="G1854" s="9"/>
      <c r="H1854" s="9"/>
      <c r="I1854" s="9"/>
      <c r="J1854" s="9"/>
      <c r="K1854" s="9"/>
      <c r="L1854" s="9"/>
      <c r="M1854" s="9"/>
      <c r="N1854" s="10"/>
      <c r="O1854" s="10"/>
      <c r="P1854" s="9"/>
    </row>
    <row r="1855">
      <c r="A1855" s="10"/>
      <c r="B1855" s="9"/>
      <c r="C1855" s="10"/>
      <c r="D1855" s="10"/>
      <c r="E1855" s="9"/>
      <c r="F1855" s="9"/>
      <c r="G1855" s="9"/>
      <c r="H1855" s="9"/>
      <c r="I1855" s="9"/>
      <c r="J1855" s="9"/>
      <c r="K1855" s="9"/>
      <c r="L1855" s="9"/>
      <c r="M1855" s="9"/>
      <c r="N1855" s="10"/>
      <c r="O1855" s="10"/>
      <c r="P1855" s="9"/>
    </row>
    <row r="1856">
      <c r="A1856" s="10"/>
      <c r="B1856" s="9"/>
      <c r="C1856" s="10"/>
      <c r="D1856" s="10"/>
      <c r="E1856" s="9"/>
      <c r="F1856" s="9"/>
      <c r="G1856" s="9"/>
      <c r="H1856" s="9"/>
      <c r="I1856" s="9"/>
      <c r="J1856" s="9"/>
      <c r="K1856" s="9"/>
      <c r="L1856" s="9"/>
      <c r="M1856" s="9"/>
      <c r="N1856" s="10"/>
      <c r="O1856" s="10"/>
      <c r="P1856" s="9"/>
    </row>
    <row r="1857">
      <c r="A1857" s="10"/>
      <c r="B1857" s="9"/>
      <c r="C1857" s="10"/>
      <c r="D1857" s="10"/>
      <c r="E1857" s="9"/>
      <c r="F1857" s="9"/>
      <c r="G1857" s="9"/>
      <c r="H1857" s="9"/>
      <c r="I1857" s="9"/>
      <c r="J1857" s="9"/>
      <c r="K1857" s="9"/>
      <c r="L1857" s="9"/>
      <c r="M1857" s="9"/>
      <c r="N1857" s="10"/>
      <c r="O1857" s="10"/>
      <c r="P1857" s="9"/>
    </row>
    <row r="1858">
      <c r="A1858" s="10"/>
      <c r="B1858" s="9"/>
      <c r="C1858" s="10"/>
      <c r="D1858" s="10"/>
      <c r="E1858" s="9"/>
      <c r="F1858" s="9"/>
      <c r="G1858" s="9"/>
      <c r="H1858" s="9"/>
      <c r="I1858" s="9"/>
      <c r="J1858" s="9"/>
      <c r="K1858" s="9"/>
      <c r="L1858" s="9"/>
      <c r="M1858" s="9"/>
      <c r="N1858" s="10"/>
      <c r="O1858" s="10"/>
      <c r="P1858" s="9"/>
    </row>
    <row r="1859">
      <c r="A1859" s="10"/>
      <c r="B1859" s="9"/>
      <c r="C1859" s="10"/>
      <c r="D1859" s="10"/>
      <c r="E1859" s="9"/>
      <c r="F1859" s="9"/>
      <c r="G1859" s="9"/>
      <c r="H1859" s="9"/>
      <c r="I1859" s="9"/>
      <c r="J1859" s="9"/>
      <c r="K1859" s="9"/>
      <c r="L1859" s="9"/>
      <c r="M1859" s="9"/>
      <c r="N1859" s="10"/>
      <c r="O1859" s="10"/>
      <c r="P1859" s="9"/>
    </row>
    <row r="1860">
      <c r="A1860" s="10"/>
      <c r="B1860" s="9"/>
      <c r="C1860" s="10"/>
      <c r="D1860" s="10"/>
      <c r="E1860" s="9"/>
      <c r="F1860" s="9"/>
      <c r="G1860" s="9"/>
      <c r="H1860" s="9"/>
      <c r="I1860" s="9"/>
      <c r="J1860" s="9"/>
      <c r="K1860" s="9"/>
      <c r="L1860" s="9"/>
      <c r="M1860" s="9"/>
      <c r="N1860" s="10"/>
      <c r="O1860" s="10"/>
      <c r="P1860" s="9"/>
    </row>
    <row r="1861">
      <c r="A1861" s="10"/>
      <c r="B1861" s="9"/>
      <c r="C1861" s="10"/>
      <c r="D1861" s="10"/>
      <c r="E1861" s="9"/>
      <c r="F1861" s="9"/>
      <c r="G1861" s="9"/>
      <c r="H1861" s="9"/>
      <c r="I1861" s="9"/>
      <c r="J1861" s="9"/>
      <c r="K1861" s="9"/>
      <c r="L1861" s="9"/>
      <c r="M1861" s="9"/>
      <c r="N1861" s="10"/>
      <c r="O1861" s="10"/>
      <c r="P1861" s="9"/>
    </row>
    <row r="1862">
      <c r="A1862" s="10"/>
      <c r="B1862" s="9"/>
      <c r="C1862" s="10"/>
      <c r="D1862" s="10"/>
      <c r="E1862" s="9"/>
      <c r="F1862" s="9"/>
      <c r="G1862" s="9"/>
      <c r="H1862" s="9"/>
      <c r="I1862" s="9"/>
      <c r="J1862" s="9"/>
      <c r="K1862" s="9"/>
      <c r="L1862" s="9"/>
      <c r="M1862" s="9"/>
      <c r="N1862" s="10"/>
      <c r="O1862" s="10"/>
      <c r="P1862" s="9"/>
    </row>
    <row r="1863">
      <c r="A1863" s="10"/>
      <c r="B1863" s="9"/>
      <c r="C1863" s="10"/>
      <c r="D1863" s="10"/>
      <c r="E1863" s="9"/>
      <c r="F1863" s="9"/>
      <c r="G1863" s="9"/>
      <c r="H1863" s="9"/>
      <c r="I1863" s="9"/>
      <c r="J1863" s="9"/>
      <c r="K1863" s="9"/>
      <c r="L1863" s="9"/>
      <c r="M1863" s="9"/>
      <c r="N1863" s="10"/>
      <c r="O1863" s="10"/>
      <c r="P1863" s="9"/>
    </row>
    <row r="1864">
      <c r="A1864" s="10"/>
      <c r="B1864" s="9"/>
      <c r="C1864" s="10"/>
      <c r="D1864" s="10"/>
      <c r="E1864" s="9"/>
      <c r="F1864" s="9"/>
      <c r="G1864" s="9"/>
      <c r="H1864" s="9"/>
      <c r="I1864" s="9"/>
      <c r="J1864" s="9"/>
      <c r="K1864" s="9"/>
      <c r="L1864" s="9"/>
      <c r="M1864" s="9"/>
      <c r="N1864" s="10"/>
      <c r="O1864" s="10"/>
      <c r="P1864" s="9"/>
    </row>
    <row r="1865">
      <c r="A1865" s="10"/>
      <c r="B1865" s="9"/>
      <c r="C1865" s="10"/>
      <c r="D1865" s="10"/>
      <c r="E1865" s="9"/>
      <c r="F1865" s="9"/>
      <c r="G1865" s="9"/>
      <c r="H1865" s="9"/>
      <c r="I1865" s="9"/>
      <c r="J1865" s="9"/>
      <c r="K1865" s="9"/>
      <c r="L1865" s="9"/>
      <c r="M1865" s="9"/>
      <c r="N1865" s="10"/>
      <c r="O1865" s="10"/>
      <c r="P1865" s="9"/>
    </row>
    <row r="1866">
      <c r="A1866" s="10"/>
      <c r="B1866" s="9"/>
      <c r="C1866" s="10"/>
      <c r="D1866" s="10"/>
      <c r="E1866" s="9"/>
      <c r="F1866" s="9"/>
      <c r="G1866" s="9"/>
      <c r="H1866" s="9"/>
      <c r="I1866" s="9"/>
      <c r="J1866" s="9"/>
      <c r="K1866" s="9"/>
      <c r="L1866" s="9"/>
      <c r="M1866" s="9"/>
      <c r="N1866" s="10"/>
      <c r="O1866" s="10"/>
      <c r="P1866" s="9"/>
    </row>
    <row r="1867">
      <c r="A1867" s="10"/>
      <c r="B1867" s="9"/>
      <c r="C1867" s="10"/>
      <c r="D1867" s="10"/>
      <c r="E1867" s="9"/>
      <c r="F1867" s="9"/>
      <c r="G1867" s="9"/>
      <c r="H1867" s="9"/>
      <c r="I1867" s="9"/>
      <c r="J1867" s="9"/>
      <c r="K1867" s="9"/>
      <c r="L1867" s="9"/>
      <c r="M1867" s="9"/>
      <c r="N1867" s="10"/>
      <c r="O1867" s="10"/>
      <c r="P1867" s="9"/>
    </row>
    <row r="1868">
      <c r="A1868" s="10"/>
      <c r="B1868" s="9"/>
      <c r="C1868" s="10"/>
      <c r="D1868" s="10"/>
      <c r="E1868" s="9"/>
      <c r="F1868" s="9"/>
      <c r="G1868" s="9"/>
      <c r="H1868" s="9"/>
      <c r="I1868" s="9"/>
      <c r="J1868" s="9"/>
      <c r="K1868" s="9"/>
      <c r="L1868" s="9"/>
      <c r="M1868" s="9"/>
      <c r="N1868" s="10"/>
      <c r="O1868" s="10"/>
      <c r="P1868" s="9"/>
    </row>
    <row r="1869">
      <c r="A1869" s="10"/>
      <c r="B1869" s="9"/>
      <c r="C1869" s="10"/>
      <c r="D1869" s="10"/>
      <c r="E1869" s="9"/>
      <c r="F1869" s="9"/>
      <c r="G1869" s="9"/>
      <c r="H1869" s="9"/>
      <c r="I1869" s="9"/>
      <c r="J1869" s="9"/>
      <c r="K1869" s="9"/>
      <c r="L1869" s="9"/>
      <c r="M1869" s="9"/>
      <c r="N1869" s="10"/>
      <c r="O1869" s="10"/>
      <c r="P1869" s="9"/>
    </row>
    <row r="1870">
      <c r="A1870" s="10"/>
      <c r="B1870" s="9"/>
      <c r="C1870" s="10"/>
      <c r="D1870" s="10"/>
      <c r="E1870" s="9"/>
      <c r="F1870" s="9"/>
      <c r="G1870" s="9"/>
      <c r="H1870" s="9"/>
      <c r="I1870" s="9"/>
      <c r="J1870" s="9"/>
      <c r="K1870" s="9"/>
      <c r="L1870" s="9"/>
      <c r="M1870" s="9"/>
      <c r="N1870" s="10"/>
      <c r="O1870" s="10"/>
      <c r="P1870" s="9"/>
    </row>
    <row r="1871">
      <c r="A1871" s="10"/>
      <c r="B1871" s="9"/>
      <c r="C1871" s="10"/>
      <c r="D1871" s="10"/>
      <c r="E1871" s="9"/>
      <c r="F1871" s="9"/>
      <c r="G1871" s="9"/>
      <c r="H1871" s="9"/>
      <c r="I1871" s="9"/>
      <c r="J1871" s="9"/>
      <c r="K1871" s="9"/>
      <c r="L1871" s="9"/>
      <c r="M1871" s="9"/>
      <c r="N1871" s="10"/>
      <c r="O1871" s="10"/>
      <c r="P1871" s="9"/>
    </row>
    <row r="1872">
      <c r="A1872" s="10"/>
      <c r="B1872" s="9"/>
      <c r="C1872" s="10"/>
      <c r="D1872" s="10"/>
      <c r="E1872" s="9"/>
      <c r="F1872" s="9"/>
      <c r="G1872" s="9"/>
      <c r="H1872" s="9"/>
      <c r="I1872" s="9"/>
      <c r="J1872" s="9"/>
      <c r="K1872" s="9"/>
      <c r="L1872" s="9"/>
      <c r="M1872" s="9"/>
      <c r="N1872" s="10"/>
      <c r="O1872" s="10"/>
      <c r="P1872" s="9"/>
    </row>
    <row r="1873">
      <c r="A1873" s="10"/>
      <c r="B1873" s="9"/>
      <c r="C1873" s="10"/>
      <c r="D1873" s="10"/>
      <c r="E1873" s="9"/>
      <c r="F1873" s="9"/>
      <c r="G1873" s="9"/>
      <c r="H1873" s="9"/>
      <c r="I1873" s="9"/>
      <c r="J1873" s="9"/>
      <c r="K1873" s="9"/>
      <c r="L1873" s="9"/>
      <c r="M1873" s="9"/>
      <c r="N1873" s="10"/>
      <c r="O1873" s="10"/>
      <c r="P1873" s="9"/>
    </row>
    <row r="1874">
      <c r="A1874" s="10"/>
      <c r="B1874" s="9"/>
      <c r="C1874" s="10"/>
      <c r="D1874" s="10"/>
      <c r="E1874" s="9"/>
      <c r="F1874" s="9"/>
      <c r="G1874" s="9"/>
      <c r="H1874" s="9"/>
      <c r="I1874" s="9"/>
      <c r="J1874" s="9"/>
      <c r="K1874" s="9"/>
      <c r="L1874" s="9"/>
      <c r="M1874" s="9"/>
      <c r="N1874" s="10"/>
      <c r="O1874" s="10"/>
      <c r="P1874" s="9"/>
    </row>
    <row r="1875">
      <c r="A1875" s="10"/>
      <c r="B1875" s="9"/>
      <c r="C1875" s="10"/>
      <c r="D1875" s="10"/>
      <c r="E1875" s="9"/>
      <c r="F1875" s="9"/>
      <c r="G1875" s="9"/>
      <c r="H1875" s="9"/>
      <c r="I1875" s="9"/>
      <c r="J1875" s="9"/>
      <c r="K1875" s="9"/>
      <c r="L1875" s="9"/>
      <c r="M1875" s="9"/>
      <c r="N1875" s="10"/>
      <c r="O1875" s="10"/>
      <c r="P1875" s="9"/>
    </row>
    <row r="1876">
      <c r="A1876" s="10"/>
      <c r="B1876" s="9"/>
      <c r="C1876" s="10"/>
      <c r="D1876" s="10"/>
      <c r="E1876" s="9"/>
      <c r="F1876" s="9"/>
      <c r="G1876" s="9"/>
      <c r="H1876" s="9"/>
      <c r="I1876" s="9"/>
      <c r="J1876" s="9"/>
      <c r="K1876" s="9"/>
      <c r="L1876" s="9"/>
      <c r="M1876" s="9"/>
      <c r="N1876" s="10"/>
      <c r="O1876" s="10"/>
      <c r="P1876" s="9"/>
    </row>
    <row r="1877">
      <c r="A1877" s="10"/>
      <c r="B1877" s="9"/>
      <c r="C1877" s="10"/>
      <c r="D1877" s="10"/>
      <c r="E1877" s="9"/>
      <c r="F1877" s="9"/>
      <c r="G1877" s="9"/>
      <c r="H1877" s="9"/>
      <c r="I1877" s="9"/>
      <c r="J1877" s="9"/>
      <c r="K1877" s="9"/>
      <c r="L1877" s="9"/>
      <c r="M1877" s="9"/>
      <c r="N1877" s="10"/>
      <c r="O1877" s="10"/>
      <c r="P1877" s="9"/>
    </row>
    <row r="1878">
      <c r="A1878" s="10"/>
      <c r="B1878" s="9"/>
      <c r="C1878" s="10"/>
      <c r="D1878" s="10"/>
      <c r="E1878" s="9"/>
      <c r="F1878" s="9"/>
      <c r="G1878" s="9"/>
      <c r="H1878" s="9"/>
      <c r="I1878" s="9"/>
      <c r="J1878" s="9"/>
      <c r="K1878" s="9"/>
      <c r="L1878" s="9"/>
      <c r="M1878" s="9"/>
      <c r="N1878" s="10"/>
      <c r="O1878" s="10"/>
      <c r="P1878" s="9"/>
    </row>
    <row r="1879">
      <c r="A1879" s="10"/>
      <c r="B1879" s="9"/>
      <c r="C1879" s="10"/>
      <c r="D1879" s="10"/>
      <c r="E1879" s="9"/>
      <c r="F1879" s="9"/>
      <c r="G1879" s="9"/>
      <c r="H1879" s="9"/>
      <c r="I1879" s="9"/>
      <c r="J1879" s="9"/>
      <c r="K1879" s="9"/>
      <c r="L1879" s="9"/>
      <c r="M1879" s="9"/>
      <c r="N1879" s="10"/>
      <c r="O1879" s="10"/>
      <c r="P1879" s="9"/>
    </row>
    <row r="1880">
      <c r="A1880" s="10"/>
      <c r="B1880" s="9"/>
      <c r="C1880" s="10"/>
      <c r="D1880" s="10"/>
      <c r="E1880" s="9"/>
      <c r="F1880" s="9"/>
      <c r="G1880" s="9"/>
      <c r="H1880" s="9"/>
      <c r="I1880" s="9"/>
      <c r="J1880" s="9"/>
      <c r="K1880" s="9"/>
      <c r="L1880" s="9"/>
      <c r="M1880" s="9"/>
      <c r="N1880" s="10"/>
      <c r="O1880" s="10"/>
      <c r="P1880" s="9"/>
    </row>
    <row r="1881">
      <c r="A1881" s="10"/>
      <c r="B1881" s="9"/>
      <c r="C1881" s="10"/>
      <c r="D1881" s="10"/>
      <c r="E1881" s="9"/>
      <c r="F1881" s="9"/>
      <c r="G1881" s="9"/>
      <c r="H1881" s="9"/>
      <c r="I1881" s="9"/>
      <c r="J1881" s="9"/>
      <c r="K1881" s="9"/>
      <c r="L1881" s="9"/>
      <c r="M1881" s="9"/>
      <c r="N1881" s="10"/>
      <c r="O1881" s="10"/>
      <c r="P1881" s="9"/>
    </row>
    <row r="1882">
      <c r="A1882" s="10"/>
      <c r="B1882" s="9"/>
      <c r="C1882" s="10"/>
      <c r="D1882" s="10"/>
      <c r="E1882" s="9"/>
      <c r="F1882" s="9"/>
      <c r="G1882" s="9"/>
      <c r="H1882" s="9"/>
      <c r="I1882" s="9"/>
      <c r="J1882" s="9"/>
      <c r="K1882" s="9"/>
      <c r="L1882" s="9"/>
      <c r="M1882" s="9"/>
      <c r="N1882" s="10"/>
      <c r="O1882" s="10"/>
      <c r="P1882" s="9"/>
    </row>
    <row r="1883">
      <c r="A1883" s="10"/>
      <c r="B1883" s="9"/>
      <c r="C1883" s="10"/>
      <c r="D1883" s="10"/>
      <c r="E1883" s="9"/>
      <c r="F1883" s="9"/>
      <c r="G1883" s="9"/>
      <c r="H1883" s="9"/>
      <c r="I1883" s="9"/>
      <c r="J1883" s="9"/>
      <c r="K1883" s="9"/>
      <c r="L1883" s="9"/>
      <c r="M1883" s="9"/>
      <c r="N1883" s="10"/>
      <c r="O1883" s="10"/>
      <c r="P1883" s="9"/>
    </row>
    <row r="1884">
      <c r="A1884" s="10"/>
      <c r="B1884" s="9"/>
      <c r="C1884" s="10"/>
      <c r="D1884" s="10"/>
      <c r="E1884" s="9"/>
      <c r="F1884" s="9"/>
      <c r="G1884" s="9"/>
      <c r="H1884" s="9"/>
      <c r="I1884" s="9"/>
      <c r="J1884" s="9"/>
      <c r="K1884" s="9"/>
      <c r="L1884" s="9"/>
      <c r="M1884" s="9"/>
      <c r="N1884" s="10"/>
      <c r="O1884" s="10"/>
      <c r="P1884" s="9"/>
    </row>
    <row r="1885">
      <c r="A1885" s="10"/>
      <c r="B1885" s="9"/>
      <c r="C1885" s="10"/>
      <c r="D1885" s="10"/>
      <c r="E1885" s="9"/>
      <c r="F1885" s="9"/>
      <c r="G1885" s="9"/>
      <c r="H1885" s="9"/>
      <c r="I1885" s="9"/>
      <c r="J1885" s="9"/>
      <c r="K1885" s="9"/>
      <c r="L1885" s="9"/>
      <c r="M1885" s="9"/>
      <c r="N1885" s="10"/>
      <c r="O1885" s="10"/>
      <c r="P1885" s="9"/>
    </row>
    <row r="1886">
      <c r="A1886" s="10"/>
      <c r="B1886" s="9"/>
      <c r="C1886" s="10"/>
      <c r="D1886" s="10"/>
      <c r="E1886" s="9"/>
      <c r="F1886" s="9"/>
      <c r="G1886" s="9"/>
      <c r="H1886" s="9"/>
      <c r="I1886" s="9"/>
      <c r="J1886" s="9"/>
      <c r="K1886" s="9"/>
      <c r="L1886" s="9"/>
      <c r="M1886" s="9"/>
      <c r="N1886" s="10"/>
      <c r="O1886" s="10"/>
      <c r="P1886" s="9"/>
    </row>
    <row r="1887">
      <c r="A1887" s="10"/>
      <c r="B1887" s="9"/>
      <c r="C1887" s="10"/>
      <c r="D1887" s="10"/>
      <c r="E1887" s="9"/>
      <c r="F1887" s="9"/>
      <c r="G1887" s="9"/>
      <c r="H1887" s="9"/>
      <c r="I1887" s="9"/>
      <c r="J1887" s="9"/>
      <c r="K1887" s="9"/>
      <c r="L1887" s="9"/>
      <c r="M1887" s="9"/>
      <c r="N1887" s="10"/>
      <c r="O1887" s="10"/>
      <c r="P1887" s="9"/>
    </row>
    <row r="1888">
      <c r="A1888" s="10"/>
      <c r="B1888" s="9"/>
      <c r="C1888" s="10"/>
      <c r="D1888" s="10"/>
      <c r="E1888" s="9"/>
      <c r="F1888" s="9"/>
      <c r="G1888" s="9"/>
      <c r="H1888" s="9"/>
      <c r="I1888" s="9"/>
      <c r="J1888" s="9"/>
      <c r="K1888" s="9"/>
      <c r="L1888" s="9"/>
      <c r="M1888" s="9"/>
      <c r="N1888" s="10"/>
      <c r="O1888" s="10"/>
      <c r="P1888" s="9"/>
    </row>
    <row r="1889">
      <c r="A1889" s="10"/>
      <c r="B1889" s="9"/>
      <c r="C1889" s="10"/>
      <c r="D1889" s="10"/>
      <c r="E1889" s="9"/>
      <c r="F1889" s="9"/>
      <c r="G1889" s="9"/>
      <c r="H1889" s="9"/>
      <c r="I1889" s="9"/>
      <c r="J1889" s="9"/>
      <c r="K1889" s="9"/>
      <c r="L1889" s="9"/>
      <c r="M1889" s="9"/>
      <c r="N1889" s="10"/>
      <c r="O1889" s="10"/>
      <c r="P1889" s="9"/>
    </row>
    <row r="1890">
      <c r="A1890" s="10"/>
      <c r="B1890" s="9"/>
      <c r="C1890" s="10"/>
      <c r="D1890" s="10"/>
      <c r="E1890" s="9"/>
      <c r="F1890" s="9"/>
      <c r="G1890" s="9"/>
      <c r="H1890" s="9"/>
      <c r="I1890" s="9"/>
      <c r="J1890" s="9"/>
      <c r="K1890" s="9"/>
      <c r="L1890" s="9"/>
      <c r="M1890" s="9"/>
      <c r="N1890" s="10"/>
      <c r="O1890" s="10"/>
      <c r="P1890" s="9"/>
    </row>
    <row r="1891">
      <c r="A1891" s="10"/>
      <c r="B1891" s="9"/>
      <c r="C1891" s="10"/>
      <c r="D1891" s="10"/>
      <c r="E1891" s="9"/>
      <c r="F1891" s="9"/>
      <c r="G1891" s="9"/>
      <c r="H1891" s="9"/>
      <c r="I1891" s="9"/>
      <c r="J1891" s="9"/>
      <c r="K1891" s="9"/>
      <c r="L1891" s="9"/>
      <c r="M1891" s="9"/>
      <c r="N1891" s="10"/>
      <c r="O1891" s="10"/>
      <c r="P1891" s="9"/>
    </row>
    <row r="1892">
      <c r="A1892" s="10"/>
      <c r="B1892" s="9"/>
      <c r="C1892" s="10"/>
      <c r="D1892" s="10"/>
      <c r="E1892" s="9"/>
      <c r="F1892" s="9"/>
      <c r="G1892" s="9"/>
      <c r="H1892" s="9"/>
      <c r="I1892" s="9"/>
      <c r="J1892" s="9"/>
      <c r="K1892" s="9"/>
      <c r="L1892" s="9"/>
      <c r="M1892" s="9"/>
      <c r="N1892" s="10"/>
      <c r="O1892" s="10"/>
      <c r="P1892" s="9"/>
    </row>
    <row r="1893">
      <c r="A1893" s="10"/>
      <c r="B1893" s="9"/>
      <c r="C1893" s="10"/>
      <c r="D1893" s="10"/>
      <c r="E1893" s="9"/>
      <c r="F1893" s="9"/>
      <c r="G1893" s="9"/>
      <c r="H1893" s="9"/>
      <c r="I1893" s="9"/>
      <c r="J1893" s="9"/>
      <c r="K1893" s="9"/>
      <c r="L1893" s="9"/>
      <c r="M1893" s="9"/>
      <c r="N1893" s="10"/>
      <c r="O1893" s="10"/>
      <c r="P1893" s="9"/>
    </row>
    <row r="1894">
      <c r="A1894" s="10"/>
      <c r="B1894" s="9"/>
      <c r="C1894" s="10"/>
      <c r="D1894" s="10"/>
      <c r="E1894" s="9"/>
      <c r="F1894" s="9"/>
      <c r="G1894" s="9"/>
      <c r="H1894" s="9"/>
      <c r="I1894" s="9"/>
      <c r="J1894" s="9"/>
      <c r="K1894" s="9"/>
      <c r="L1894" s="9"/>
      <c r="M1894" s="9"/>
      <c r="N1894" s="10"/>
      <c r="O1894" s="10"/>
      <c r="P1894" s="9"/>
    </row>
    <row r="1895">
      <c r="A1895" s="10"/>
      <c r="B1895" s="9"/>
      <c r="C1895" s="10"/>
      <c r="D1895" s="10"/>
      <c r="E1895" s="9"/>
      <c r="F1895" s="9"/>
      <c r="G1895" s="9"/>
      <c r="H1895" s="9"/>
      <c r="I1895" s="9"/>
      <c r="J1895" s="9"/>
      <c r="K1895" s="9"/>
      <c r="L1895" s="9"/>
      <c r="M1895" s="9"/>
      <c r="N1895" s="10"/>
      <c r="O1895" s="10"/>
      <c r="P1895" s="9"/>
    </row>
    <row r="1896">
      <c r="A1896" s="10"/>
      <c r="B1896" s="9"/>
      <c r="C1896" s="10"/>
      <c r="D1896" s="10"/>
      <c r="E1896" s="9"/>
      <c r="F1896" s="9"/>
      <c r="G1896" s="9"/>
      <c r="H1896" s="9"/>
      <c r="I1896" s="9"/>
      <c r="J1896" s="9"/>
      <c r="K1896" s="9"/>
      <c r="L1896" s="9"/>
      <c r="M1896" s="9"/>
      <c r="N1896" s="10"/>
      <c r="O1896" s="10"/>
      <c r="P1896" s="9"/>
    </row>
    <row r="1897">
      <c r="A1897" s="10"/>
      <c r="B1897" s="9"/>
      <c r="C1897" s="10"/>
      <c r="D1897" s="10"/>
      <c r="E1897" s="9"/>
      <c r="F1897" s="9"/>
      <c r="G1897" s="9"/>
      <c r="H1897" s="9"/>
      <c r="I1897" s="9"/>
      <c r="J1897" s="9"/>
      <c r="K1897" s="9"/>
      <c r="L1897" s="9"/>
      <c r="M1897" s="9"/>
      <c r="N1897" s="10"/>
      <c r="O1897" s="10"/>
      <c r="P1897" s="9"/>
    </row>
    <row r="1898">
      <c r="A1898" s="10"/>
      <c r="B1898" s="9"/>
      <c r="C1898" s="10"/>
      <c r="D1898" s="10"/>
      <c r="E1898" s="9"/>
      <c r="F1898" s="9"/>
      <c r="G1898" s="9"/>
      <c r="H1898" s="9"/>
      <c r="I1898" s="9"/>
      <c r="J1898" s="9"/>
      <c r="K1898" s="9"/>
      <c r="L1898" s="9"/>
      <c r="M1898" s="9"/>
      <c r="N1898" s="10"/>
      <c r="O1898" s="10"/>
      <c r="P1898" s="9"/>
    </row>
    <row r="1899">
      <c r="A1899" s="10"/>
      <c r="B1899" s="9"/>
      <c r="C1899" s="10"/>
      <c r="D1899" s="10"/>
      <c r="E1899" s="9"/>
      <c r="F1899" s="9"/>
      <c r="G1899" s="9"/>
      <c r="H1899" s="9"/>
      <c r="I1899" s="9"/>
      <c r="J1899" s="9"/>
      <c r="K1899" s="9"/>
      <c r="L1899" s="9"/>
      <c r="M1899" s="9"/>
      <c r="N1899" s="10"/>
      <c r="O1899" s="10"/>
      <c r="P1899" s="9"/>
    </row>
    <row r="1900">
      <c r="A1900" s="10"/>
      <c r="B1900" s="9"/>
      <c r="C1900" s="10"/>
      <c r="D1900" s="10"/>
      <c r="E1900" s="9"/>
      <c r="F1900" s="9"/>
      <c r="G1900" s="9"/>
      <c r="H1900" s="9"/>
      <c r="I1900" s="9"/>
      <c r="J1900" s="9"/>
      <c r="K1900" s="9"/>
      <c r="L1900" s="9"/>
      <c r="M1900" s="9"/>
      <c r="N1900" s="10"/>
      <c r="O1900" s="10"/>
      <c r="P1900" s="9"/>
    </row>
    <row r="1901">
      <c r="A1901" s="10"/>
      <c r="B1901" s="9"/>
      <c r="C1901" s="10"/>
      <c r="D1901" s="10"/>
      <c r="E1901" s="9"/>
      <c r="F1901" s="9"/>
      <c r="G1901" s="9"/>
      <c r="H1901" s="9"/>
      <c r="I1901" s="9"/>
      <c r="J1901" s="9"/>
      <c r="K1901" s="9"/>
      <c r="L1901" s="9"/>
      <c r="M1901" s="9"/>
      <c r="N1901" s="10"/>
      <c r="O1901" s="10"/>
      <c r="P1901" s="9"/>
    </row>
    <row r="1902">
      <c r="A1902" s="10"/>
      <c r="B1902" s="9"/>
      <c r="C1902" s="10"/>
      <c r="D1902" s="10"/>
      <c r="E1902" s="9"/>
      <c r="F1902" s="9"/>
      <c r="G1902" s="9"/>
      <c r="H1902" s="9"/>
      <c r="I1902" s="9"/>
      <c r="J1902" s="9"/>
      <c r="K1902" s="9"/>
      <c r="L1902" s="9"/>
      <c r="M1902" s="9"/>
      <c r="N1902" s="10"/>
      <c r="O1902" s="10"/>
      <c r="P1902" s="9"/>
    </row>
    <row r="1903">
      <c r="A1903" s="10"/>
      <c r="B1903" s="9"/>
      <c r="C1903" s="10"/>
      <c r="D1903" s="10"/>
      <c r="E1903" s="9"/>
      <c r="F1903" s="9"/>
      <c r="G1903" s="9"/>
      <c r="H1903" s="9"/>
      <c r="I1903" s="9"/>
      <c r="J1903" s="9"/>
      <c r="K1903" s="9"/>
      <c r="L1903" s="9"/>
      <c r="M1903" s="9"/>
      <c r="N1903" s="10"/>
      <c r="O1903" s="10"/>
      <c r="P1903" s="9"/>
    </row>
    <row r="1904">
      <c r="A1904" s="10"/>
      <c r="B1904" s="9"/>
      <c r="C1904" s="10"/>
      <c r="D1904" s="10"/>
      <c r="E1904" s="9"/>
      <c r="F1904" s="9"/>
      <c r="G1904" s="9"/>
      <c r="H1904" s="9"/>
      <c r="I1904" s="9"/>
      <c r="J1904" s="9"/>
      <c r="K1904" s="9"/>
      <c r="L1904" s="9"/>
      <c r="M1904" s="9"/>
      <c r="N1904" s="10"/>
      <c r="O1904" s="10"/>
      <c r="P1904" s="9"/>
    </row>
    <row r="1905">
      <c r="A1905" s="10"/>
      <c r="B1905" s="9"/>
      <c r="C1905" s="10"/>
      <c r="D1905" s="10"/>
      <c r="E1905" s="9"/>
      <c r="F1905" s="9"/>
      <c r="G1905" s="9"/>
      <c r="H1905" s="9"/>
      <c r="I1905" s="9"/>
      <c r="J1905" s="9"/>
      <c r="K1905" s="9"/>
      <c r="L1905" s="9"/>
      <c r="M1905" s="9"/>
      <c r="N1905" s="10"/>
      <c r="O1905" s="10"/>
      <c r="P1905" s="9"/>
    </row>
    <row r="1906">
      <c r="A1906" s="10"/>
      <c r="B1906" s="9"/>
      <c r="C1906" s="10"/>
      <c r="D1906" s="10"/>
      <c r="E1906" s="9"/>
      <c r="F1906" s="9"/>
      <c r="G1906" s="9"/>
      <c r="H1906" s="9"/>
      <c r="I1906" s="9"/>
      <c r="J1906" s="9"/>
      <c r="K1906" s="9"/>
      <c r="L1906" s="9"/>
      <c r="M1906" s="9"/>
      <c r="N1906" s="10"/>
      <c r="O1906" s="10"/>
      <c r="P1906" s="9"/>
    </row>
    <row r="1907">
      <c r="A1907" s="10"/>
      <c r="B1907" s="9"/>
      <c r="C1907" s="10"/>
      <c r="D1907" s="10"/>
      <c r="E1907" s="9"/>
      <c r="F1907" s="9"/>
      <c r="G1907" s="9"/>
      <c r="H1907" s="9"/>
      <c r="I1907" s="9"/>
      <c r="J1907" s="9"/>
      <c r="K1907" s="9"/>
      <c r="L1907" s="9"/>
      <c r="M1907" s="9"/>
      <c r="N1907" s="10"/>
      <c r="O1907" s="10"/>
      <c r="P1907" s="9"/>
    </row>
    <row r="1908">
      <c r="A1908" s="10"/>
      <c r="B1908" s="9"/>
      <c r="C1908" s="10"/>
      <c r="D1908" s="10"/>
      <c r="E1908" s="9"/>
      <c r="F1908" s="9"/>
      <c r="G1908" s="9"/>
      <c r="H1908" s="9"/>
      <c r="I1908" s="9"/>
      <c r="J1908" s="9"/>
      <c r="K1908" s="9"/>
      <c r="L1908" s="9"/>
      <c r="M1908" s="9"/>
      <c r="N1908" s="10"/>
      <c r="O1908" s="10"/>
      <c r="P1908" s="9"/>
    </row>
    <row r="1909">
      <c r="A1909" s="10"/>
      <c r="B1909" s="9"/>
      <c r="C1909" s="10"/>
      <c r="D1909" s="10"/>
      <c r="E1909" s="9"/>
      <c r="F1909" s="9"/>
      <c r="G1909" s="9"/>
      <c r="H1909" s="9"/>
      <c r="I1909" s="9"/>
      <c r="J1909" s="9"/>
      <c r="K1909" s="9"/>
      <c r="L1909" s="9"/>
      <c r="M1909" s="9"/>
      <c r="N1909" s="10"/>
      <c r="O1909" s="10"/>
      <c r="P1909" s="9"/>
    </row>
    <row r="1910">
      <c r="A1910" s="10"/>
      <c r="B1910" s="9"/>
      <c r="C1910" s="10"/>
      <c r="D1910" s="10"/>
      <c r="E1910" s="9"/>
      <c r="F1910" s="9"/>
      <c r="G1910" s="9"/>
      <c r="H1910" s="9"/>
      <c r="I1910" s="9"/>
      <c r="J1910" s="9"/>
      <c r="K1910" s="9"/>
      <c r="L1910" s="9"/>
      <c r="M1910" s="9"/>
      <c r="N1910" s="10"/>
      <c r="O1910" s="10"/>
      <c r="P1910" s="9"/>
    </row>
    <row r="1911">
      <c r="A1911" s="10"/>
      <c r="B1911" s="9"/>
      <c r="C1911" s="10"/>
      <c r="D1911" s="10"/>
      <c r="E1911" s="9"/>
      <c r="F1911" s="9"/>
      <c r="G1911" s="9"/>
      <c r="H1911" s="9"/>
      <c r="I1911" s="9"/>
      <c r="J1911" s="9"/>
      <c r="K1911" s="9"/>
      <c r="L1911" s="9"/>
      <c r="M1911" s="9"/>
      <c r="N1911" s="10"/>
      <c r="O1911" s="10"/>
      <c r="P1911" s="9"/>
    </row>
    <row r="1912">
      <c r="A1912" s="10"/>
      <c r="B1912" s="9"/>
      <c r="C1912" s="10"/>
      <c r="D1912" s="10"/>
      <c r="E1912" s="9"/>
      <c r="F1912" s="9"/>
      <c r="G1912" s="9"/>
      <c r="H1912" s="9"/>
      <c r="I1912" s="9"/>
      <c r="J1912" s="9"/>
      <c r="K1912" s="9"/>
      <c r="L1912" s="9"/>
      <c r="M1912" s="9"/>
      <c r="N1912" s="10"/>
      <c r="O1912" s="10"/>
      <c r="P1912" s="9"/>
    </row>
    <row r="1913">
      <c r="A1913" s="10"/>
      <c r="B1913" s="9"/>
      <c r="C1913" s="10"/>
      <c r="D1913" s="10"/>
      <c r="E1913" s="9"/>
      <c r="F1913" s="9"/>
      <c r="G1913" s="9"/>
      <c r="H1913" s="9"/>
      <c r="I1913" s="9"/>
      <c r="J1913" s="9"/>
      <c r="K1913" s="9"/>
      <c r="L1913" s="9"/>
      <c r="M1913" s="9"/>
      <c r="N1913" s="10"/>
      <c r="O1913" s="10"/>
      <c r="P1913" s="9"/>
    </row>
    <row r="1914">
      <c r="A1914" s="10"/>
      <c r="B1914" s="9"/>
      <c r="C1914" s="10"/>
      <c r="D1914" s="10"/>
      <c r="E1914" s="9"/>
      <c r="F1914" s="9"/>
      <c r="G1914" s="9"/>
      <c r="H1914" s="9"/>
      <c r="I1914" s="9"/>
      <c r="J1914" s="9"/>
      <c r="K1914" s="9"/>
      <c r="L1914" s="9"/>
      <c r="M1914" s="9"/>
      <c r="N1914" s="10"/>
      <c r="O1914" s="10"/>
      <c r="P1914" s="9"/>
    </row>
    <row r="1915">
      <c r="A1915" s="10"/>
      <c r="B1915" s="9"/>
      <c r="C1915" s="10"/>
      <c r="D1915" s="10"/>
      <c r="E1915" s="9"/>
      <c r="F1915" s="9"/>
      <c r="G1915" s="9"/>
      <c r="H1915" s="9"/>
      <c r="I1915" s="9"/>
      <c r="J1915" s="9"/>
      <c r="K1915" s="9"/>
      <c r="L1915" s="9"/>
      <c r="M1915" s="9"/>
      <c r="N1915" s="10"/>
      <c r="O1915" s="10"/>
      <c r="P1915" s="9"/>
    </row>
    <row r="1916">
      <c r="A1916" s="10"/>
      <c r="B1916" s="9"/>
      <c r="C1916" s="10"/>
      <c r="D1916" s="10"/>
      <c r="E1916" s="9"/>
      <c r="F1916" s="9"/>
      <c r="G1916" s="9"/>
      <c r="H1916" s="9"/>
      <c r="I1916" s="9"/>
      <c r="J1916" s="9"/>
      <c r="K1916" s="9"/>
      <c r="L1916" s="9"/>
      <c r="M1916" s="9"/>
      <c r="N1916" s="10"/>
      <c r="O1916" s="10"/>
      <c r="P1916" s="9"/>
    </row>
    <row r="1917">
      <c r="A1917" s="10"/>
      <c r="B1917" s="9"/>
      <c r="C1917" s="10"/>
      <c r="D1917" s="10"/>
      <c r="E1917" s="9"/>
      <c r="F1917" s="9"/>
      <c r="G1917" s="9"/>
      <c r="H1917" s="9"/>
      <c r="I1917" s="9"/>
      <c r="J1917" s="9"/>
      <c r="K1917" s="9"/>
      <c r="L1917" s="9"/>
      <c r="M1917" s="9"/>
      <c r="N1917" s="10"/>
      <c r="O1917" s="10"/>
      <c r="P1917" s="9"/>
    </row>
    <row r="1918">
      <c r="A1918" s="10"/>
      <c r="B1918" s="9"/>
      <c r="C1918" s="10"/>
      <c r="D1918" s="10"/>
      <c r="E1918" s="9"/>
      <c r="F1918" s="9"/>
      <c r="G1918" s="9"/>
      <c r="H1918" s="9"/>
      <c r="I1918" s="9"/>
      <c r="J1918" s="9"/>
      <c r="K1918" s="9"/>
      <c r="L1918" s="9"/>
      <c r="M1918" s="9"/>
      <c r="N1918" s="10"/>
      <c r="O1918" s="10"/>
      <c r="P1918" s="9"/>
    </row>
    <row r="1919">
      <c r="A1919" s="10"/>
      <c r="B1919" s="9"/>
      <c r="C1919" s="10"/>
      <c r="D1919" s="10"/>
      <c r="E1919" s="9"/>
      <c r="F1919" s="9"/>
      <c r="G1919" s="9"/>
      <c r="H1919" s="9"/>
      <c r="I1919" s="9"/>
      <c r="J1919" s="9"/>
      <c r="K1919" s="9"/>
      <c r="L1919" s="9"/>
      <c r="M1919" s="9"/>
      <c r="N1919" s="10"/>
      <c r="O1919" s="10"/>
      <c r="P1919" s="9"/>
    </row>
    <row r="1920">
      <c r="A1920" s="10"/>
      <c r="B1920" s="9"/>
      <c r="C1920" s="10"/>
      <c r="D1920" s="10"/>
      <c r="E1920" s="9"/>
      <c r="F1920" s="9"/>
      <c r="G1920" s="9"/>
      <c r="H1920" s="9"/>
      <c r="I1920" s="9"/>
      <c r="J1920" s="9"/>
      <c r="K1920" s="9"/>
      <c r="L1920" s="9"/>
      <c r="M1920" s="9"/>
      <c r="N1920" s="10"/>
      <c r="O1920" s="10"/>
      <c r="P1920" s="9"/>
    </row>
    <row r="1921">
      <c r="A1921" s="10"/>
      <c r="B1921" s="9"/>
      <c r="C1921" s="10"/>
      <c r="D1921" s="10"/>
      <c r="E1921" s="9"/>
      <c r="F1921" s="9"/>
      <c r="G1921" s="9"/>
      <c r="H1921" s="9"/>
      <c r="I1921" s="9"/>
      <c r="J1921" s="9"/>
      <c r="K1921" s="9"/>
      <c r="L1921" s="9"/>
      <c r="M1921" s="9"/>
      <c r="N1921" s="10"/>
      <c r="O1921" s="10"/>
      <c r="P1921" s="9"/>
    </row>
    <row r="1922">
      <c r="A1922" s="10"/>
      <c r="B1922" s="9"/>
      <c r="C1922" s="10"/>
      <c r="D1922" s="10"/>
      <c r="E1922" s="9"/>
      <c r="F1922" s="9"/>
      <c r="G1922" s="9"/>
      <c r="H1922" s="9"/>
      <c r="I1922" s="9"/>
      <c r="J1922" s="9"/>
      <c r="K1922" s="9"/>
      <c r="L1922" s="9"/>
      <c r="M1922" s="9"/>
      <c r="N1922" s="10"/>
      <c r="O1922" s="10"/>
      <c r="P1922" s="9"/>
    </row>
    <row r="1923">
      <c r="A1923" s="10"/>
      <c r="B1923" s="9"/>
      <c r="C1923" s="10"/>
      <c r="D1923" s="10"/>
      <c r="E1923" s="9"/>
      <c r="F1923" s="9"/>
      <c r="G1923" s="9"/>
      <c r="H1923" s="9"/>
      <c r="I1923" s="9"/>
      <c r="J1923" s="9"/>
      <c r="K1923" s="9"/>
      <c r="L1923" s="9"/>
      <c r="M1923" s="9"/>
      <c r="N1923" s="10"/>
      <c r="O1923" s="10"/>
      <c r="P1923" s="9"/>
    </row>
    <row r="1924">
      <c r="A1924" s="10"/>
      <c r="B1924" s="9"/>
      <c r="C1924" s="10"/>
      <c r="D1924" s="10"/>
      <c r="E1924" s="9"/>
      <c r="F1924" s="9"/>
      <c r="G1924" s="9"/>
      <c r="H1924" s="9"/>
      <c r="I1924" s="9"/>
      <c r="J1924" s="9"/>
      <c r="K1924" s="9"/>
      <c r="L1924" s="9"/>
      <c r="M1924" s="9"/>
      <c r="N1924" s="10"/>
      <c r="O1924" s="10"/>
      <c r="P1924" s="9"/>
    </row>
    <row r="1925">
      <c r="A1925" s="10"/>
      <c r="B1925" s="9"/>
      <c r="C1925" s="10"/>
      <c r="D1925" s="10"/>
      <c r="E1925" s="9"/>
      <c r="F1925" s="9"/>
      <c r="G1925" s="9"/>
      <c r="H1925" s="9"/>
      <c r="I1925" s="9"/>
      <c r="J1925" s="9"/>
      <c r="K1925" s="9"/>
      <c r="L1925" s="9"/>
      <c r="M1925" s="9"/>
      <c r="N1925" s="10"/>
      <c r="O1925" s="10"/>
      <c r="P1925" s="9"/>
    </row>
    <row r="1926">
      <c r="A1926" s="10"/>
      <c r="B1926" s="9"/>
      <c r="C1926" s="10"/>
      <c r="D1926" s="10"/>
      <c r="E1926" s="9"/>
      <c r="F1926" s="9"/>
      <c r="G1926" s="9"/>
      <c r="H1926" s="9"/>
      <c r="I1926" s="9"/>
      <c r="J1926" s="9"/>
      <c r="K1926" s="9"/>
      <c r="L1926" s="9"/>
      <c r="M1926" s="9"/>
      <c r="N1926" s="10"/>
      <c r="O1926" s="10"/>
      <c r="P1926" s="9"/>
    </row>
    <row r="1927">
      <c r="A1927" s="10"/>
      <c r="B1927" s="9"/>
      <c r="C1927" s="10"/>
      <c r="D1927" s="10"/>
      <c r="E1927" s="9"/>
      <c r="F1927" s="9"/>
      <c r="G1927" s="9"/>
      <c r="H1927" s="9"/>
      <c r="I1927" s="9"/>
      <c r="J1927" s="9"/>
      <c r="K1927" s="9"/>
      <c r="L1927" s="9"/>
      <c r="M1927" s="9"/>
      <c r="N1927" s="10"/>
      <c r="O1927" s="10"/>
      <c r="P1927" s="9"/>
    </row>
    <row r="1928">
      <c r="A1928" s="10"/>
      <c r="B1928" s="9"/>
      <c r="C1928" s="10"/>
      <c r="D1928" s="10"/>
      <c r="E1928" s="9"/>
      <c r="F1928" s="9"/>
      <c r="G1928" s="9"/>
      <c r="H1928" s="9"/>
      <c r="I1928" s="9"/>
      <c r="J1928" s="9"/>
      <c r="K1928" s="9"/>
      <c r="L1928" s="9"/>
      <c r="M1928" s="9"/>
      <c r="N1928" s="10"/>
      <c r="O1928" s="10"/>
      <c r="P1928" s="9"/>
    </row>
    <row r="1929">
      <c r="A1929" s="10"/>
      <c r="B1929" s="9"/>
      <c r="C1929" s="10"/>
      <c r="D1929" s="10"/>
      <c r="E1929" s="9"/>
      <c r="F1929" s="9"/>
      <c r="G1929" s="9"/>
      <c r="H1929" s="9"/>
      <c r="I1929" s="9"/>
      <c r="J1929" s="9"/>
      <c r="K1929" s="9"/>
      <c r="L1929" s="9"/>
      <c r="M1929" s="9"/>
      <c r="N1929" s="10"/>
      <c r="O1929" s="10"/>
      <c r="P1929" s="9"/>
    </row>
    <row r="1930">
      <c r="A1930" s="10"/>
      <c r="B1930" s="9"/>
      <c r="C1930" s="10"/>
      <c r="D1930" s="10"/>
      <c r="E1930" s="9"/>
      <c r="F1930" s="9"/>
      <c r="G1930" s="9"/>
      <c r="H1930" s="9"/>
      <c r="I1930" s="9"/>
      <c r="J1930" s="9"/>
      <c r="K1930" s="9"/>
      <c r="L1930" s="9"/>
      <c r="M1930" s="9"/>
      <c r="N1930" s="10"/>
      <c r="O1930" s="10"/>
      <c r="P1930" s="9"/>
    </row>
    <row r="1931">
      <c r="A1931" s="10"/>
      <c r="B1931" s="9"/>
      <c r="C1931" s="10"/>
      <c r="D1931" s="10"/>
      <c r="E1931" s="9"/>
      <c r="F1931" s="9"/>
      <c r="G1931" s="9"/>
      <c r="H1931" s="9"/>
      <c r="I1931" s="9"/>
      <c r="J1931" s="9"/>
      <c r="K1931" s="9"/>
      <c r="L1931" s="9"/>
      <c r="M1931" s="9"/>
      <c r="N1931" s="10"/>
      <c r="O1931" s="10"/>
      <c r="P1931" s="9"/>
    </row>
    <row r="1932">
      <c r="A1932" s="10"/>
      <c r="B1932" s="9"/>
      <c r="C1932" s="10"/>
      <c r="D1932" s="10"/>
      <c r="E1932" s="9"/>
      <c r="F1932" s="9"/>
      <c r="G1932" s="9"/>
      <c r="H1932" s="9"/>
      <c r="I1932" s="9"/>
      <c r="J1932" s="9"/>
      <c r="K1932" s="9"/>
      <c r="L1932" s="9"/>
      <c r="M1932" s="9"/>
      <c r="N1932" s="10"/>
      <c r="O1932" s="10"/>
      <c r="P1932" s="9"/>
    </row>
    <row r="1933">
      <c r="A1933" s="10"/>
      <c r="B1933" s="9"/>
      <c r="C1933" s="10"/>
      <c r="D1933" s="10"/>
      <c r="E1933" s="9"/>
      <c r="F1933" s="9"/>
      <c r="G1933" s="9"/>
      <c r="H1933" s="9"/>
      <c r="I1933" s="9"/>
      <c r="J1933" s="9"/>
      <c r="K1933" s="9"/>
      <c r="L1933" s="9"/>
      <c r="M1933" s="9"/>
      <c r="N1933" s="10"/>
      <c r="O1933" s="10"/>
      <c r="P1933" s="9"/>
    </row>
    <row r="1934">
      <c r="A1934" s="10"/>
      <c r="B1934" s="9"/>
      <c r="C1934" s="10"/>
      <c r="D1934" s="10"/>
      <c r="E1934" s="9"/>
      <c r="F1934" s="9"/>
      <c r="G1934" s="9"/>
      <c r="H1934" s="9"/>
      <c r="I1934" s="9"/>
      <c r="J1934" s="9"/>
      <c r="K1934" s="9"/>
      <c r="L1934" s="9"/>
      <c r="M1934" s="9"/>
      <c r="N1934" s="10"/>
      <c r="O1934" s="10"/>
      <c r="P1934" s="9"/>
    </row>
    <row r="1935">
      <c r="A1935" s="10"/>
      <c r="B1935" s="9"/>
      <c r="C1935" s="10"/>
      <c r="D1935" s="10"/>
      <c r="E1935" s="9"/>
      <c r="F1935" s="9"/>
      <c r="G1935" s="9"/>
      <c r="H1935" s="9"/>
      <c r="I1935" s="9"/>
      <c r="J1935" s="9"/>
      <c r="K1935" s="9"/>
      <c r="L1935" s="9"/>
      <c r="M1935" s="9"/>
      <c r="N1935" s="10"/>
      <c r="O1935" s="10"/>
      <c r="P1935" s="9"/>
    </row>
    <row r="1936">
      <c r="A1936" s="10"/>
      <c r="B1936" s="9"/>
      <c r="C1936" s="10"/>
      <c r="D1936" s="10"/>
      <c r="E1936" s="9"/>
      <c r="F1936" s="9"/>
      <c r="G1936" s="9"/>
      <c r="H1936" s="9"/>
      <c r="I1936" s="9"/>
      <c r="J1936" s="9"/>
      <c r="K1936" s="9"/>
      <c r="L1936" s="9"/>
      <c r="M1936" s="9"/>
      <c r="N1936" s="10"/>
      <c r="O1936" s="10"/>
      <c r="P1936" s="9"/>
    </row>
    <row r="1937">
      <c r="A1937" s="10"/>
      <c r="B1937" s="9"/>
      <c r="C1937" s="10"/>
      <c r="D1937" s="10"/>
      <c r="E1937" s="9"/>
      <c r="F1937" s="9"/>
      <c r="G1937" s="9"/>
      <c r="H1937" s="9"/>
      <c r="I1937" s="9"/>
      <c r="J1937" s="9"/>
      <c r="K1937" s="9"/>
      <c r="L1937" s="9"/>
      <c r="M1937" s="9"/>
      <c r="N1937" s="10"/>
      <c r="O1937" s="10"/>
      <c r="P1937" s="9"/>
    </row>
    <row r="1938">
      <c r="A1938" s="10"/>
      <c r="B1938" s="9"/>
      <c r="C1938" s="10"/>
      <c r="D1938" s="10"/>
      <c r="E1938" s="9"/>
      <c r="F1938" s="9"/>
      <c r="G1938" s="9"/>
      <c r="H1938" s="9"/>
      <c r="I1938" s="9"/>
      <c r="J1938" s="9"/>
      <c r="K1938" s="9"/>
      <c r="L1938" s="9"/>
      <c r="M1938" s="9"/>
      <c r="N1938" s="10"/>
      <c r="O1938" s="10"/>
      <c r="P1938" s="9"/>
    </row>
    <row r="1939">
      <c r="A1939" s="10"/>
      <c r="B1939" s="9"/>
      <c r="C1939" s="10"/>
      <c r="D1939" s="10"/>
      <c r="E1939" s="9"/>
      <c r="F1939" s="9"/>
      <c r="G1939" s="9"/>
      <c r="H1939" s="9"/>
      <c r="I1939" s="9"/>
      <c r="J1939" s="9"/>
      <c r="K1939" s="9"/>
      <c r="L1939" s="9"/>
      <c r="M1939" s="9"/>
      <c r="N1939" s="10"/>
      <c r="O1939" s="10"/>
      <c r="P1939" s="9"/>
    </row>
    <row r="1940">
      <c r="A1940" s="10"/>
      <c r="B1940" s="9"/>
      <c r="C1940" s="10"/>
      <c r="D1940" s="10"/>
      <c r="E1940" s="9"/>
      <c r="F1940" s="9"/>
      <c r="G1940" s="9"/>
      <c r="H1940" s="9"/>
      <c r="I1940" s="9"/>
      <c r="J1940" s="9"/>
      <c r="K1940" s="9"/>
      <c r="L1940" s="9"/>
      <c r="M1940" s="9"/>
      <c r="N1940" s="10"/>
      <c r="O1940" s="10"/>
      <c r="P1940" s="9"/>
    </row>
    <row r="1941">
      <c r="A1941" s="10"/>
      <c r="B1941" s="9"/>
      <c r="C1941" s="10"/>
      <c r="D1941" s="10"/>
      <c r="E1941" s="9"/>
      <c r="F1941" s="9"/>
      <c r="G1941" s="9"/>
      <c r="H1941" s="9"/>
      <c r="I1941" s="9"/>
      <c r="J1941" s="9"/>
      <c r="K1941" s="9"/>
      <c r="L1941" s="9"/>
      <c r="M1941" s="9"/>
      <c r="N1941" s="10"/>
      <c r="O1941" s="10"/>
      <c r="P1941" s="9"/>
    </row>
    <row r="1942">
      <c r="A1942" s="10"/>
      <c r="B1942" s="9"/>
      <c r="C1942" s="10"/>
      <c r="D1942" s="10"/>
      <c r="E1942" s="9"/>
      <c r="F1942" s="9"/>
      <c r="G1942" s="9"/>
      <c r="H1942" s="9"/>
      <c r="I1942" s="9"/>
      <c r="J1942" s="9"/>
      <c r="K1942" s="9"/>
      <c r="L1942" s="9"/>
      <c r="M1942" s="9"/>
      <c r="N1942" s="10"/>
      <c r="O1942" s="10"/>
      <c r="P1942" s="9"/>
    </row>
    <row r="1943">
      <c r="A1943" s="10"/>
      <c r="B1943" s="9"/>
      <c r="C1943" s="10"/>
      <c r="D1943" s="10"/>
      <c r="E1943" s="9"/>
      <c r="F1943" s="9"/>
      <c r="G1943" s="9"/>
      <c r="H1943" s="9"/>
      <c r="I1943" s="9"/>
      <c r="J1943" s="9"/>
      <c r="K1943" s="9"/>
      <c r="L1943" s="9"/>
      <c r="M1943" s="9"/>
      <c r="N1943" s="10"/>
      <c r="O1943" s="10"/>
      <c r="P1943" s="9"/>
    </row>
    <row r="1944">
      <c r="A1944" s="10"/>
      <c r="B1944" s="9"/>
      <c r="C1944" s="10"/>
      <c r="D1944" s="10"/>
      <c r="E1944" s="9"/>
      <c r="F1944" s="9"/>
      <c r="G1944" s="9"/>
      <c r="H1944" s="9"/>
      <c r="I1944" s="9"/>
      <c r="J1944" s="9"/>
      <c r="K1944" s="9"/>
      <c r="L1944" s="9"/>
      <c r="M1944" s="9"/>
      <c r="N1944" s="10"/>
      <c r="O1944" s="10"/>
      <c r="P1944" s="9"/>
    </row>
    <row r="1945">
      <c r="A1945" s="10"/>
      <c r="B1945" s="9"/>
      <c r="C1945" s="10"/>
      <c r="D1945" s="10"/>
      <c r="E1945" s="9"/>
      <c r="F1945" s="9"/>
      <c r="G1945" s="9"/>
      <c r="H1945" s="9"/>
      <c r="I1945" s="9"/>
      <c r="J1945" s="9"/>
      <c r="K1945" s="9"/>
      <c r="L1945" s="9"/>
      <c r="M1945" s="9"/>
      <c r="N1945" s="10"/>
      <c r="O1945" s="10"/>
      <c r="P1945" s="9"/>
    </row>
    <row r="1946">
      <c r="A1946" s="10"/>
      <c r="B1946" s="9"/>
      <c r="C1946" s="10"/>
      <c r="D1946" s="10"/>
      <c r="E1946" s="9"/>
      <c r="F1946" s="9"/>
      <c r="G1946" s="9"/>
      <c r="H1946" s="9"/>
      <c r="I1946" s="9"/>
      <c r="J1946" s="9"/>
      <c r="K1946" s="9"/>
      <c r="L1946" s="9"/>
      <c r="M1946" s="9"/>
      <c r="N1946" s="10"/>
      <c r="O1946" s="10"/>
      <c r="P1946" s="9"/>
    </row>
    <row r="1947">
      <c r="A1947" s="10"/>
      <c r="B1947" s="9"/>
      <c r="C1947" s="10"/>
      <c r="D1947" s="10"/>
      <c r="E1947" s="9"/>
      <c r="F1947" s="9"/>
      <c r="G1947" s="9"/>
      <c r="H1947" s="9"/>
      <c r="I1947" s="9"/>
      <c r="J1947" s="9"/>
      <c r="K1947" s="9"/>
      <c r="L1947" s="9"/>
      <c r="M1947" s="9"/>
      <c r="N1947" s="10"/>
      <c r="O1947" s="10"/>
      <c r="P1947" s="9"/>
    </row>
    <row r="1948">
      <c r="A1948" s="10"/>
      <c r="B1948" s="9"/>
      <c r="C1948" s="10"/>
      <c r="D1948" s="10"/>
      <c r="E1948" s="9"/>
      <c r="F1948" s="9"/>
      <c r="G1948" s="9"/>
      <c r="H1948" s="9"/>
      <c r="I1948" s="9"/>
      <c r="J1948" s="9"/>
      <c r="K1948" s="9"/>
      <c r="L1948" s="9"/>
      <c r="M1948" s="9"/>
      <c r="N1948" s="10"/>
      <c r="O1948" s="10"/>
      <c r="P1948" s="9"/>
    </row>
    <row r="1949">
      <c r="A1949" s="10"/>
      <c r="B1949" s="9"/>
      <c r="C1949" s="10"/>
      <c r="D1949" s="10"/>
      <c r="E1949" s="9"/>
      <c r="F1949" s="9"/>
      <c r="G1949" s="9"/>
      <c r="H1949" s="9"/>
      <c r="I1949" s="9"/>
      <c r="J1949" s="9"/>
      <c r="K1949" s="9"/>
      <c r="L1949" s="9"/>
      <c r="M1949" s="9"/>
      <c r="N1949" s="10"/>
      <c r="O1949" s="10"/>
      <c r="P1949" s="9"/>
    </row>
    <row r="1950">
      <c r="A1950" s="10"/>
      <c r="B1950" s="9"/>
      <c r="C1950" s="10"/>
      <c r="D1950" s="10"/>
      <c r="E1950" s="9"/>
      <c r="F1950" s="9"/>
      <c r="G1950" s="9"/>
      <c r="H1950" s="9"/>
      <c r="I1950" s="9"/>
      <c r="J1950" s="9"/>
      <c r="K1950" s="9"/>
      <c r="L1950" s="9"/>
      <c r="M1950" s="9"/>
      <c r="N1950" s="10"/>
      <c r="O1950" s="10"/>
      <c r="P1950" s="9"/>
    </row>
    <row r="1951">
      <c r="A1951" s="10"/>
      <c r="B1951" s="9"/>
      <c r="C1951" s="10"/>
      <c r="D1951" s="10"/>
      <c r="E1951" s="9"/>
      <c r="F1951" s="9"/>
      <c r="G1951" s="9"/>
      <c r="H1951" s="9"/>
      <c r="I1951" s="9"/>
      <c r="J1951" s="9"/>
      <c r="K1951" s="9"/>
      <c r="L1951" s="9"/>
      <c r="M1951" s="9"/>
      <c r="N1951" s="10"/>
      <c r="O1951" s="10"/>
      <c r="P1951" s="9"/>
    </row>
    <row r="1952">
      <c r="A1952" s="10"/>
      <c r="B1952" s="9"/>
      <c r="C1952" s="10"/>
      <c r="D1952" s="10"/>
      <c r="E1952" s="9"/>
      <c r="F1952" s="9"/>
      <c r="G1952" s="9"/>
      <c r="H1952" s="9"/>
      <c r="I1952" s="9"/>
      <c r="J1952" s="9"/>
      <c r="K1952" s="9"/>
      <c r="L1952" s="9"/>
      <c r="M1952" s="9"/>
      <c r="N1952" s="10"/>
      <c r="O1952" s="10"/>
      <c r="P1952" s="9"/>
    </row>
    <row r="1953">
      <c r="A1953" s="10"/>
      <c r="B1953" s="9"/>
      <c r="C1953" s="10"/>
      <c r="D1953" s="10"/>
      <c r="E1953" s="9"/>
      <c r="F1953" s="9"/>
      <c r="G1953" s="9"/>
      <c r="H1953" s="9"/>
      <c r="I1953" s="9"/>
      <c r="J1953" s="9"/>
      <c r="K1953" s="9"/>
      <c r="L1953" s="9"/>
      <c r="M1953" s="9"/>
      <c r="N1953" s="10"/>
      <c r="O1953" s="10"/>
      <c r="P1953" s="9"/>
    </row>
    <row r="1954">
      <c r="A1954" s="10"/>
      <c r="B1954" s="9"/>
      <c r="C1954" s="10"/>
      <c r="D1954" s="10"/>
      <c r="E1954" s="9"/>
      <c r="F1954" s="9"/>
      <c r="G1954" s="9"/>
      <c r="H1954" s="9"/>
      <c r="I1954" s="9"/>
      <c r="J1954" s="9"/>
      <c r="K1954" s="9"/>
      <c r="L1954" s="9"/>
      <c r="M1954" s="9"/>
      <c r="N1954" s="10"/>
      <c r="O1954" s="10"/>
      <c r="P1954" s="9"/>
    </row>
    <row r="1955">
      <c r="A1955" s="10"/>
      <c r="B1955" s="9"/>
      <c r="C1955" s="10"/>
      <c r="D1955" s="10"/>
      <c r="E1955" s="9"/>
      <c r="F1955" s="9"/>
      <c r="G1955" s="9"/>
      <c r="H1955" s="9"/>
      <c r="I1955" s="9"/>
      <c r="J1955" s="9"/>
      <c r="K1955" s="9"/>
      <c r="L1955" s="9"/>
      <c r="M1955" s="9"/>
      <c r="N1955" s="10"/>
      <c r="O1955" s="10"/>
      <c r="P1955" s="9"/>
    </row>
    <row r="1956">
      <c r="A1956" s="10"/>
      <c r="B1956" s="9"/>
      <c r="C1956" s="10"/>
      <c r="D1956" s="10"/>
      <c r="E1956" s="9"/>
      <c r="F1956" s="9"/>
      <c r="G1956" s="9"/>
      <c r="H1956" s="9"/>
      <c r="I1956" s="9"/>
      <c r="J1956" s="9"/>
      <c r="K1956" s="9"/>
      <c r="L1956" s="9"/>
      <c r="M1956" s="9"/>
      <c r="N1956" s="10"/>
      <c r="O1956" s="10"/>
      <c r="P1956" s="9"/>
    </row>
    <row r="1957">
      <c r="A1957" s="10"/>
      <c r="B1957" s="9"/>
      <c r="C1957" s="10"/>
      <c r="D1957" s="10"/>
      <c r="E1957" s="9"/>
      <c r="F1957" s="9"/>
      <c r="G1957" s="9"/>
      <c r="H1957" s="9"/>
      <c r="I1957" s="9"/>
      <c r="J1957" s="9"/>
      <c r="K1957" s="9"/>
      <c r="L1957" s="9"/>
      <c r="M1957" s="9"/>
      <c r="N1957" s="10"/>
      <c r="O1957" s="10"/>
      <c r="P1957" s="9"/>
    </row>
    <row r="1958">
      <c r="A1958" s="10"/>
      <c r="B1958" s="9"/>
      <c r="C1958" s="10"/>
      <c r="D1958" s="10"/>
      <c r="E1958" s="9"/>
      <c r="F1958" s="9"/>
      <c r="G1958" s="9"/>
      <c r="H1958" s="9"/>
      <c r="I1958" s="9"/>
      <c r="J1958" s="9"/>
      <c r="K1958" s="9"/>
      <c r="L1958" s="9"/>
      <c r="M1958" s="9"/>
      <c r="N1958" s="10"/>
      <c r="O1958" s="10"/>
      <c r="P1958" s="9"/>
    </row>
    <row r="1959">
      <c r="A1959" s="10"/>
      <c r="B1959" s="9"/>
      <c r="C1959" s="10"/>
      <c r="D1959" s="10"/>
      <c r="E1959" s="9"/>
      <c r="F1959" s="9"/>
      <c r="G1959" s="9"/>
      <c r="H1959" s="9"/>
      <c r="I1959" s="9"/>
      <c r="J1959" s="9"/>
      <c r="K1959" s="9"/>
      <c r="L1959" s="9"/>
      <c r="M1959" s="9"/>
      <c r="N1959" s="10"/>
      <c r="O1959" s="10"/>
      <c r="P1959" s="9"/>
    </row>
    <row r="1960">
      <c r="A1960" s="10"/>
      <c r="B1960" s="9"/>
      <c r="C1960" s="10"/>
      <c r="D1960" s="10"/>
      <c r="E1960" s="9"/>
      <c r="F1960" s="9"/>
      <c r="G1960" s="9"/>
      <c r="H1960" s="9"/>
      <c r="I1960" s="9"/>
      <c r="J1960" s="9"/>
      <c r="K1960" s="9"/>
      <c r="L1960" s="9"/>
      <c r="M1960" s="9"/>
      <c r="N1960" s="10"/>
      <c r="O1960" s="10"/>
      <c r="P1960" s="9"/>
    </row>
    <row r="1961">
      <c r="A1961" s="10"/>
      <c r="B1961" s="9"/>
      <c r="C1961" s="10"/>
      <c r="D1961" s="10"/>
      <c r="E1961" s="9"/>
      <c r="F1961" s="9"/>
      <c r="G1961" s="9"/>
      <c r="H1961" s="9"/>
      <c r="I1961" s="9"/>
      <c r="J1961" s="9"/>
      <c r="K1961" s="9"/>
      <c r="L1961" s="9"/>
      <c r="M1961" s="9"/>
      <c r="N1961" s="10"/>
      <c r="O1961" s="10"/>
      <c r="P1961" s="9"/>
    </row>
    <row r="1962">
      <c r="A1962" s="10"/>
      <c r="B1962" s="9"/>
      <c r="C1962" s="10"/>
      <c r="D1962" s="10"/>
      <c r="E1962" s="9"/>
      <c r="F1962" s="9"/>
      <c r="G1962" s="9"/>
      <c r="H1962" s="9"/>
      <c r="I1962" s="9"/>
      <c r="J1962" s="9"/>
      <c r="K1962" s="9"/>
      <c r="L1962" s="9"/>
      <c r="M1962" s="9"/>
      <c r="N1962" s="10"/>
      <c r="O1962" s="10"/>
      <c r="P1962" s="9"/>
    </row>
    <row r="1963">
      <c r="A1963" s="10"/>
      <c r="B1963" s="9"/>
      <c r="C1963" s="10"/>
      <c r="D1963" s="10"/>
      <c r="E1963" s="9"/>
      <c r="F1963" s="9"/>
      <c r="G1963" s="9"/>
      <c r="H1963" s="9"/>
      <c r="I1963" s="9"/>
      <c r="J1963" s="9"/>
      <c r="K1963" s="9"/>
      <c r="L1963" s="9"/>
      <c r="M1963" s="9"/>
      <c r="N1963" s="10"/>
      <c r="O1963" s="10"/>
      <c r="P1963" s="9"/>
    </row>
    <row r="1964">
      <c r="A1964" s="10"/>
      <c r="B1964" s="9"/>
      <c r="C1964" s="10"/>
      <c r="D1964" s="10"/>
      <c r="E1964" s="9"/>
      <c r="F1964" s="9"/>
      <c r="G1964" s="9"/>
      <c r="H1964" s="9"/>
      <c r="I1964" s="9"/>
      <c r="J1964" s="9"/>
      <c r="K1964" s="9"/>
      <c r="L1964" s="9"/>
      <c r="M1964" s="9"/>
      <c r="N1964" s="10"/>
      <c r="O1964" s="10"/>
      <c r="P1964" s="9"/>
    </row>
    <row r="1965">
      <c r="A1965" s="10"/>
      <c r="B1965" s="9"/>
      <c r="C1965" s="10"/>
      <c r="D1965" s="10"/>
      <c r="E1965" s="9"/>
      <c r="F1965" s="9"/>
      <c r="G1965" s="9"/>
      <c r="H1965" s="9"/>
      <c r="I1965" s="9"/>
      <c r="J1965" s="9"/>
      <c r="K1965" s="9"/>
      <c r="L1965" s="9"/>
      <c r="M1965" s="9"/>
      <c r="N1965" s="10"/>
      <c r="O1965" s="10"/>
      <c r="P1965" s="9"/>
    </row>
    <row r="1966">
      <c r="A1966" s="10"/>
      <c r="B1966" s="9"/>
      <c r="C1966" s="10"/>
      <c r="D1966" s="10"/>
      <c r="E1966" s="9"/>
      <c r="F1966" s="9"/>
      <c r="G1966" s="9"/>
      <c r="H1966" s="9"/>
      <c r="I1966" s="9"/>
      <c r="J1966" s="9"/>
      <c r="K1966" s="9"/>
      <c r="L1966" s="9"/>
      <c r="M1966" s="9"/>
      <c r="N1966" s="10"/>
      <c r="O1966" s="10"/>
      <c r="P1966" s="9"/>
    </row>
    <row r="1967">
      <c r="A1967" s="10"/>
      <c r="B1967" s="9"/>
      <c r="C1967" s="10"/>
      <c r="D1967" s="10"/>
      <c r="E1967" s="9"/>
      <c r="F1967" s="9"/>
      <c r="G1967" s="9"/>
      <c r="H1967" s="9"/>
      <c r="I1967" s="9"/>
      <c r="J1967" s="9"/>
      <c r="K1967" s="9"/>
      <c r="L1967" s="9"/>
      <c r="M1967" s="9"/>
      <c r="N1967" s="10"/>
      <c r="O1967" s="10"/>
      <c r="P1967" s="9"/>
    </row>
    <row r="1968">
      <c r="A1968" s="10"/>
      <c r="B1968" s="9"/>
      <c r="C1968" s="10"/>
      <c r="D1968" s="10"/>
      <c r="E1968" s="9"/>
      <c r="F1968" s="9"/>
      <c r="G1968" s="9"/>
      <c r="H1968" s="9"/>
      <c r="I1968" s="9"/>
      <c r="J1968" s="9"/>
      <c r="K1968" s="9"/>
      <c r="L1968" s="9"/>
      <c r="M1968" s="9"/>
      <c r="N1968" s="10"/>
      <c r="O1968" s="10"/>
      <c r="P1968" s="9"/>
    </row>
    <row r="1969">
      <c r="A1969" s="10"/>
      <c r="B1969" s="9"/>
      <c r="C1969" s="10"/>
      <c r="D1969" s="10"/>
      <c r="E1969" s="9"/>
      <c r="F1969" s="9"/>
      <c r="G1969" s="9"/>
      <c r="H1969" s="9"/>
      <c r="I1969" s="9"/>
      <c r="J1969" s="9"/>
      <c r="K1969" s="9"/>
      <c r="L1969" s="9"/>
      <c r="M1969" s="9"/>
      <c r="N1969" s="10"/>
      <c r="O1969" s="10"/>
      <c r="P1969" s="9"/>
    </row>
    <row r="1970">
      <c r="A1970" s="10"/>
      <c r="B1970" s="9"/>
      <c r="C1970" s="10"/>
      <c r="D1970" s="10"/>
      <c r="E1970" s="9"/>
      <c r="F1970" s="9"/>
      <c r="G1970" s="9"/>
      <c r="H1970" s="9"/>
      <c r="I1970" s="9"/>
      <c r="J1970" s="9"/>
      <c r="K1970" s="9"/>
      <c r="L1970" s="9"/>
      <c r="M1970" s="9"/>
      <c r="N1970" s="10"/>
      <c r="O1970" s="10"/>
      <c r="P1970" s="9"/>
    </row>
    <row r="1971">
      <c r="A1971" s="10"/>
      <c r="B1971" s="9"/>
      <c r="C1971" s="10"/>
      <c r="D1971" s="10"/>
      <c r="E1971" s="9"/>
      <c r="F1971" s="9"/>
      <c r="G1971" s="9"/>
      <c r="H1971" s="9"/>
      <c r="I1971" s="9"/>
      <c r="J1971" s="9"/>
      <c r="K1971" s="9"/>
      <c r="L1971" s="9"/>
      <c r="M1971" s="9"/>
      <c r="N1971" s="10"/>
      <c r="O1971" s="10"/>
      <c r="P1971" s="9"/>
    </row>
    <row r="1972">
      <c r="A1972" s="10"/>
      <c r="B1972" s="9"/>
      <c r="C1972" s="10"/>
      <c r="D1972" s="10"/>
      <c r="E1972" s="9"/>
      <c r="F1972" s="9"/>
      <c r="G1972" s="9"/>
      <c r="H1972" s="9"/>
      <c r="I1972" s="9"/>
      <c r="J1972" s="9"/>
      <c r="K1972" s="9"/>
      <c r="L1972" s="9"/>
      <c r="M1972" s="9"/>
      <c r="N1972" s="10"/>
      <c r="O1972" s="10"/>
      <c r="P1972" s="9"/>
    </row>
    <row r="1973">
      <c r="A1973" s="10"/>
      <c r="B1973" s="9"/>
      <c r="C1973" s="10"/>
      <c r="D1973" s="10"/>
      <c r="E1973" s="9"/>
      <c r="F1973" s="9"/>
      <c r="G1973" s="9"/>
      <c r="H1973" s="9"/>
      <c r="I1973" s="9"/>
      <c r="J1973" s="9"/>
      <c r="K1973" s="9"/>
      <c r="L1973" s="9"/>
      <c r="M1973" s="9"/>
      <c r="N1973" s="10"/>
      <c r="O1973" s="10"/>
      <c r="P1973" s="9"/>
    </row>
    <row r="1974">
      <c r="A1974" s="10"/>
      <c r="B1974" s="9"/>
      <c r="C1974" s="10"/>
      <c r="D1974" s="10"/>
      <c r="E1974" s="9"/>
      <c r="F1974" s="9"/>
      <c r="G1974" s="9"/>
      <c r="H1974" s="9"/>
      <c r="I1974" s="9"/>
      <c r="J1974" s="9"/>
      <c r="K1974" s="9"/>
      <c r="L1974" s="9"/>
      <c r="M1974" s="9"/>
      <c r="N1974" s="10"/>
      <c r="O1974" s="10"/>
      <c r="P1974" s="9"/>
    </row>
    <row r="1975">
      <c r="A1975" s="10"/>
      <c r="B1975" s="9"/>
      <c r="C1975" s="10"/>
      <c r="D1975" s="10"/>
      <c r="E1975" s="9"/>
      <c r="F1975" s="9"/>
      <c r="G1975" s="9"/>
      <c r="H1975" s="9"/>
      <c r="I1975" s="9"/>
      <c r="J1975" s="9"/>
      <c r="K1975" s="9"/>
      <c r="L1975" s="9"/>
      <c r="M1975" s="9"/>
      <c r="N1975" s="10"/>
      <c r="O1975" s="10"/>
      <c r="P1975" s="9"/>
    </row>
    <row r="1976">
      <c r="A1976" s="10"/>
      <c r="B1976" s="9"/>
      <c r="C1976" s="10"/>
      <c r="D1976" s="10"/>
      <c r="E1976" s="9"/>
      <c r="F1976" s="9"/>
      <c r="G1976" s="9"/>
      <c r="H1976" s="9"/>
      <c r="I1976" s="9"/>
      <c r="J1976" s="9"/>
      <c r="K1976" s="9"/>
      <c r="L1976" s="9"/>
      <c r="M1976" s="9"/>
      <c r="N1976" s="10"/>
      <c r="O1976" s="10"/>
      <c r="P1976" s="9"/>
    </row>
    <row r="1977">
      <c r="A1977" s="10"/>
      <c r="B1977" s="9"/>
      <c r="C1977" s="10"/>
      <c r="D1977" s="10"/>
      <c r="E1977" s="9"/>
      <c r="F1977" s="9"/>
      <c r="G1977" s="9"/>
      <c r="H1977" s="9"/>
      <c r="I1977" s="9"/>
      <c r="J1977" s="9"/>
      <c r="K1977" s="9"/>
      <c r="L1977" s="9"/>
      <c r="M1977" s="9"/>
      <c r="N1977" s="10"/>
      <c r="O1977" s="10"/>
      <c r="P1977" s="9"/>
    </row>
    <row r="1978">
      <c r="A1978" s="10"/>
      <c r="B1978" s="9"/>
      <c r="C1978" s="10"/>
      <c r="D1978" s="10"/>
      <c r="E1978" s="9"/>
      <c r="F1978" s="9"/>
      <c r="G1978" s="9"/>
      <c r="H1978" s="9"/>
      <c r="I1978" s="9"/>
      <c r="J1978" s="9"/>
      <c r="K1978" s="9"/>
      <c r="L1978" s="9"/>
      <c r="M1978" s="9"/>
      <c r="N1978" s="10"/>
      <c r="O1978" s="10"/>
      <c r="P1978" s="9"/>
    </row>
    <row r="1979">
      <c r="A1979" s="10"/>
      <c r="B1979" s="9"/>
      <c r="C1979" s="10"/>
      <c r="D1979" s="10"/>
      <c r="E1979" s="9"/>
      <c r="F1979" s="9"/>
      <c r="G1979" s="9"/>
      <c r="H1979" s="9"/>
      <c r="I1979" s="9"/>
      <c r="J1979" s="9"/>
      <c r="K1979" s="9"/>
      <c r="L1979" s="9"/>
      <c r="M1979" s="9"/>
      <c r="N1979" s="10"/>
      <c r="O1979" s="10"/>
      <c r="P1979" s="9"/>
    </row>
    <row r="1980">
      <c r="A1980" s="10"/>
      <c r="B1980" s="9"/>
      <c r="C1980" s="10"/>
      <c r="D1980" s="10"/>
      <c r="E1980" s="9"/>
      <c r="F1980" s="9"/>
      <c r="G1980" s="9"/>
      <c r="H1980" s="9"/>
      <c r="I1980" s="9"/>
      <c r="J1980" s="9"/>
      <c r="K1980" s="9"/>
      <c r="L1980" s="9"/>
      <c r="M1980" s="9"/>
      <c r="N1980" s="10"/>
      <c r="O1980" s="10"/>
      <c r="P1980" s="9"/>
    </row>
    <row r="1981">
      <c r="A1981" s="10"/>
      <c r="B1981" s="9"/>
      <c r="C1981" s="10"/>
      <c r="D1981" s="10"/>
      <c r="E1981" s="9"/>
      <c r="F1981" s="9"/>
      <c r="G1981" s="9"/>
      <c r="H1981" s="9"/>
      <c r="I1981" s="9"/>
      <c r="J1981" s="9"/>
      <c r="K1981" s="9"/>
      <c r="L1981" s="9"/>
      <c r="M1981" s="9"/>
      <c r="N1981" s="10"/>
      <c r="O1981" s="10"/>
      <c r="P1981" s="9"/>
    </row>
    <row r="1982">
      <c r="A1982" s="10"/>
      <c r="B1982" s="9"/>
      <c r="C1982" s="10"/>
      <c r="D1982" s="10"/>
      <c r="E1982" s="9"/>
      <c r="F1982" s="9"/>
      <c r="G1982" s="9"/>
      <c r="H1982" s="9"/>
      <c r="I1982" s="9"/>
      <c r="J1982" s="9"/>
      <c r="K1982" s="9"/>
      <c r="L1982" s="9"/>
      <c r="M1982" s="9"/>
      <c r="N1982" s="10"/>
      <c r="O1982" s="10"/>
      <c r="P1982" s="9"/>
    </row>
    <row r="1983">
      <c r="A1983" s="10"/>
      <c r="B1983" s="9"/>
      <c r="C1983" s="10"/>
      <c r="D1983" s="10"/>
      <c r="E1983" s="9"/>
      <c r="F1983" s="9"/>
      <c r="G1983" s="9"/>
      <c r="H1983" s="9"/>
      <c r="I1983" s="9"/>
      <c r="J1983" s="9"/>
      <c r="K1983" s="9"/>
      <c r="L1983" s="9"/>
      <c r="M1983" s="9"/>
      <c r="N1983" s="10"/>
      <c r="O1983" s="10"/>
      <c r="P1983" s="9"/>
    </row>
    <row r="1984">
      <c r="A1984" s="10"/>
      <c r="B1984" s="9"/>
      <c r="C1984" s="10"/>
      <c r="D1984" s="10"/>
      <c r="E1984" s="9"/>
      <c r="F1984" s="9"/>
      <c r="G1984" s="9"/>
      <c r="H1984" s="9"/>
      <c r="I1984" s="9"/>
      <c r="J1984" s="9"/>
      <c r="K1984" s="9"/>
      <c r="L1984" s="9"/>
      <c r="M1984" s="9"/>
      <c r="N1984" s="10"/>
      <c r="O1984" s="10"/>
      <c r="P1984" s="9"/>
    </row>
    <row r="1985">
      <c r="A1985" s="10"/>
      <c r="B1985" s="9"/>
      <c r="C1985" s="10"/>
      <c r="D1985" s="10"/>
      <c r="E1985" s="9"/>
      <c r="F1985" s="9"/>
      <c r="G1985" s="9"/>
      <c r="H1985" s="9"/>
      <c r="I1985" s="9"/>
      <c r="J1985" s="9"/>
      <c r="K1985" s="9"/>
      <c r="L1985" s="9"/>
      <c r="M1985" s="9"/>
      <c r="N1985" s="10"/>
      <c r="O1985" s="10"/>
      <c r="P1985" s="9"/>
    </row>
    <row r="1986">
      <c r="A1986" s="10"/>
      <c r="B1986" s="9"/>
      <c r="C1986" s="10"/>
      <c r="D1986" s="10"/>
      <c r="E1986" s="9"/>
      <c r="F1986" s="9"/>
      <c r="G1986" s="9"/>
      <c r="H1986" s="9"/>
      <c r="I1986" s="9"/>
      <c r="J1986" s="9"/>
      <c r="K1986" s="9"/>
      <c r="L1986" s="9"/>
      <c r="M1986" s="9"/>
      <c r="N1986" s="10"/>
      <c r="O1986" s="10"/>
      <c r="P1986" s="9"/>
    </row>
    <row r="1987">
      <c r="A1987" s="10"/>
      <c r="B1987" s="9"/>
      <c r="C1987" s="10"/>
      <c r="D1987" s="10"/>
      <c r="E1987" s="9"/>
      <c r="F1987" s="9"/>
      <c r="G1987" s="9"/>
      <c r="H1987" s="9"/>
      <c r="I1987" s="9"/>
      <c r="J1987" s="9"/>
      <c r="K1987" s="9"/>
      <c r="L1987" s="9"/>
      <c r="M1987" s="9"/>
      <c r="N1987" s="10"/>
      <c r="O1987" s="10"/>
      <c r="P1987" s="9"/>
    </row>
    <row r="1988">
      <c r="A1988" s="10"/>
      <c r="B1988" s="9"/>
      <c r="C1988" s="10"/>
      <c r="D1988" s="10"/>
      <c r="E1988" s="9"/>
      <c r="F1988" s="9"/>
      <c r="G1988" s="9"/>
      <c r="H1988" s="9"/>
      <c r="I1988" s="9"/>
      <c r="J1988" s="9"/>
      <c r="K1988" s="9"/>
      <c r="L1988" s="9"/>
      <c r="M1988" s="9"/>
      <c r="N1988" s="10"/>
      <c r="O1988" s="10"/>
      <c r="P1988" s="9"/>
    </row>
    <row r="1989">
      <c r="A1989" s="10"/>
      <c r="B1989" s="9"/>
      <c r="C1989" s="10"/>
      <c r="D1989" s="10"/>
      <c r="E1989" s="9"/>
      <c r="F1989" s="9"/>
      <c r="G1989" s="9"/>
      <c r="H1989" s="9"/>
      <c r="I1989" s="9"/>
      <c r="J1989" s="9"/>
      <c r="K1989" s="9"/>
      <c r="L1989" s="9"/>
      <c r="M1989" s="9"/>
      <c r="N1989" s="10"/>
      <c r="O1989" s="10"/>
      <c r="P1989" s="9"/>
    </row>
    <row r="1990">
      <c r="A1990" s="10"/>
      <c r="B1990" s="9"/>
      <c r="C1990" s="10"/>
      <c r="D1990" s="10"/>
      <c r="E1990" s="9"/>
      <c r="F1990" s="9"/>
      <c r="G1990" s="9"/>
      <c r="H1990" s="9"/>
      <c r="I1990" s="9"/>
      <c r="J1990" s="9"/>
      <c r="K1990" s="9"/>
      <c r="L1990" s="9"/>
      <c r="M1990" s="9"/>
      <c r="N1990" s="10"/>
      <c r="O1990" s="10"/>
      <c r="P1990" s="9"/>
    </row>
    <row r="1991">
      <c r="A1991" s="10"/>
      <c r="B1991" s="9"/>
      <c r="C1991" s="10"/>
      <c r="D1991" s="10"/>
      <c r="E1991" s="9"/>
      <c r="F1991" s="9"/>
      <c r="G1991" s="9"/>
      <c r="H1991" s="9"/>
      <c r="I1991" s="9"/>
      <c r="J1991" s="9"/>
      <c r="K1991" s="9"/>
      <c r="L1991" s="9"/>
      <c r="M1991" s="9"/>
      <c r="N1991" s="10"/>
      <c r="O1991" s="10"/>
      <c r="P1991" s="9"/>
    </row>
    <row r="1992">
      <c r="A1992" s="10"/>
      <c r="B1992" s="9"/>
      <c r="C1992" s="10"/>
      <c r="D1992" s="10"/>
      <c r="E1992" s="9"/>
      <c r="F1992" s="9"/>
      <c r="G1992" s="9"/>
      <c r="H1992" s="9"/>
      <c r="I1992" s="9"/>
      <c r="J1992" s="9"/>
      <c r="K1992" s="9"/>
      <c r="L1992" s="9"/>
      <c r="M1992" s="9"/>
      <c r="N1992" s="10"/>
      <c r="O1992" s="10"/>
      <c r="P1992" s="9"/>
    </row>
    <row r="1993">
      <c r="A1993" s="10"/>
      <c r="B1993" s="9"/>
      <c r="C1993" s="10"/>
      <c r="D1993" s="10"/>
      <c r="E1993" s="9"/>
      <c r="F1993" s="9"/>
      <c r="G1993" s="9"/>
      <c r="H1993" s="9"/>
      <c r="I1993" s="9"/>
      <c r="J1993" s="9"/>
      <c r="K1993" s="9"/>
      <c r="L1993" s="9"/>
      <c r="M1993" s="9"/>
      <c r="N1993" s="10"/>
      <c r="O1993" s="10"/>
      <c r="P1993" s="9"/>
    </row>
    <row r="1994">
      <c r="A1994" s="10"/>
      <c r="B1994" s="9"/>
      <c r="C1994" s="10"/>
      <c r="D1994" s="10"/>
      <c r="E1994" s="9"/>
      <c r="F1994" s="9"/>
      <c r="G1994" s="9"/>
      <c r="H1994" s="9"/>
      <c r="I1994" s="9"/>
      <c r="J1994" s="9"/>
      <c r="K1994" s="9"/>
      <c r="L1994" s="9"/>
      <c r="M1994" s="9"/>
      <c r="N1994" s="10"/>
      <c r="O1994" s="10"/>
      <c r="P1994" s="9"/>
    </row>
    <row r="1995">
      <c r="A1995" s="10"/>
      <c r="B1995" s="9"/>
      <c r="C1995" s="10"/>
      <c r="D1995" s="10"/>
      <c r="E1995" s="9"/>
      <c r="F1995" s="9"/>
      <c r="G1995" s="9"/>
      <c r="H1995" s="9"/>
      <c r="I1995" s="9"/>
      <c r="J1995" s="9"/>
      <c r="K1995" s="9"/>
      <c r="L1995" s="9"/>
      <c r="M1995" s="9"/>
      <c r="N1995" s="10"/>
      <c r="O1995" s="10"/>
      <c r="P1995" s="9"/>
    </row>
    <row r="1996">
      <c r="A1996" s="10"/>
      <c r="B1996" s="9"/>
      <c r="C1996" s="10"/>
      <c r="D1996" s="10"/>
      <c r="E1996" s="9"/>
      <c r="F1996" s="9"/>
      <c r="G1996" s="9"/>
      <c r="H1996" s="9"/>
      <c r="I1996" s="9"/>
      <c r="J1996" s="9"/>
      <c r="K1996" s="9"/>
      <c r="L1996" s="9"/>
      <c r="M1996" s="9"/>
      <c r="N1996" s="10"/>
      <c r="O1996" s="10"/>
      <c r="P1996" s="9"/>
    </row>
    <row r="1997">
      <c r="A1997" s="10"/>
      <c r="B1997" s="9"/>
      <c r="C1997" s="10"/>
      <c r="D1997" s="10"/>
      <c r="E1997" s="9"/>
      <c r="F1997" s="9"/>
      <c r="G1997" s="9"/>
      <c r="H1997" s="9"/>
      <c r="I1997" s="9"/>
      <c r="J1997" s="9"/>
      <c r="K1997" s="9"/>
      <c r="L1997" s="9"/>
      <c r="M1997" s="9"/>
      <c r="N1997" s="10"/>
      <c r="O1997" s="10"/>
      <c r="P1997" s="9"/>
    </row>
    <row r="1998">
      <c r="A1998" s="10"/>
      <c r="B1998" s="9"/>
      <c r="C1998" s="10"/>
      <c r="D1998" s="10"/>
      <c r="E1998" s="9"/>
      <c r="F1998" s="9"/>
      <c r="G1998" s="9"/>
      <c r="H1998" s="9"/>
      <c r="I1998" s="9"/>
      <c r="J1998" s="9"/>
      <c r="K1998" s="9"/>
      <c r="L1998" s="9"/>
      <c r="M1998" s="9"/>
      <c r="N1998" s="10"/>
      <c r="O1998" s="10"/>
      <c r="P1998" s="9"/>
    </row>
    <row r="1999">
      <c r="A1999" s="10"/>
      <c r="B1999" s="9"/>
      <c r="C1999" s="10"/>
      <c r="D1999" s="10"/>
      <c r="E1999" s="9"/>
      <c r="F1999" s="9"/>
      <c r="G1999" s="9"/>
      <c r="H1999" s="9"/>
      <c r="I1999" s="9"/>
      <c r="J1999" s="9"/>
      <c r="K1999" s="9"/>
      <c r="L1999" s="9"/>
      <c r="M1999" s="9"/>
      <c r="N1999" s="10"/>
      <c r="O1999" s="10"/>
      <c r="P1999" s="9"/>
    </row>
    <row r="2000">
      <c r="A2000" s="10"/>
      <c r="B2000" s="9"/>
      <c r="C2000" s="10"/>
      <c r="D2000" s="10"/>
      <c r="E2000" s="9"/>
      <c r="F2000" s="9"/>
      <c r="G2000" s="9"/>
      <c r="H2000" s="9"/>
      <c r="I2000" s="9"/>
      <c r="J2000" s="9"/>
      <c r="K2000" s="9"/>
      <c r="L2000" s="9"/>
      <c r="M2000" s="9"/>
      <c r="N2000" s="10"/>
      <c r="O2000" s="10"/>
      <c r="P2000" s="9"/>
    </row>
    <row r="2001">
      <c r="A2001" s="10"/>
      <c r="B2001" s="9"/>
      <c r="C2001" s="10"/>
      <c r="D2001" s="10"/>
      <c r="E2001" s="9"/>
      <c r="F2001" s="9"/>
      <c r="G2001" s="9"/>
      <c r="H2001" s="9"/>
      <c r="I2001" s="9"/>
      <c r="J2001" s="9"/>
      <c r="K2001" s="9"/>
      <c r="L2001" s="9"/>
      <c r="M2001" s="9"/>
      <c r="N2001" s="10"/>
      <c r="O2001" s="10"/>
      <c r="P2001" s="9"/>
    </row>
    <row r="2002">
      <c r="A2002" s="10"/>
      <c r="B2002" s="9"/>
      <c r="C2002" s="10"/>
      <c r="D2002" s="10"/>
      <c r="E2002" s="9"/>
      <c r="F2002" s="9"/>
      <c r="G2002" s="9"/>
      <c r="H2002" s="9"/>
      <c r="I2002" s="9"/>
      <c r="J2002" s="9"/>
      <c r="K2002" s="9"/>
      <c r="L2002" s="9"/>
      <c r="M2002" s="9"/>
      <c r="N2002" s="10"/>
      <c r="O2002" s="10"/>
      <c r="P2002" s="9"/>
    </row>
    <row r="2003">
      <c r="A2003" s="10"/>
      <c r="B2003" s="9"/>
      <c r="C2003" s="10"/>
      <c r="D2003" s="10"/>
      <c r="E2003" s="9"/>
      <c r="F2003" s="9"/>
      <c r="G2003" s="9"/>
      <c r="H2003" s="9"/>
      <c r="I2003" s="9"/>
      <c r="J2003" s="9"/>
      <c r="K2003" s="9"/>
      <c r="L2003" s="9"/>
      <c r="M2003" s="9"/>
      <c r="N2003" s="10"/>
      <c r="O2003" s="10"/>
      <c r="P2003" s="9"/>
    </row>
    <row r="2004">
      <c r="A2004" s="10"/>
      <c r="B2004" s="9"/>
      <c r="C2004" s="10"/>
      <c r="D2004" s="10"/>
      <c r="E2004" s="9"/>
      <c r="F2004" s="9"/>
      <c r="G2004" s="9"/>
      <c r="H2004" s="9"/>
      <c r="I2004" s="9"/>
      <c r="J2004" s="9"/>
      <c r="K2004" s="9"/>
      <c r="L2004" s="9"/>
      <c r="M2004" s="9"/>
      <c r="N2004" s="10"/>
      <c r="O2004" s="10"/>
      <c r="P2004" s="9"/>
    </row>
    <row r="2005">
      <c r="A2005" s="10"/>
      <c r="B2005" s="9"/>
      <c r="C2005" s="10"/>
      <c r="D2005" s="10"/>
      <c r="E2005" s="9"/>
      <c r="F2005" s="9"/>
      <c r="G2005" s="9"/>
      <c r="H2005" s="9"/>
      <c r="I2005" s="9"/>
      <c r="J2005" s="9"/>
      <c r="K2005" s="9"/>
      <c r="L2005" s="9"/>
      <c r="M2005" s="9"/>
      <c r="N2005" s="10"/>
      <c r="O2005" s="10"/>
      <c r="P2005" s="9"/>
    </row>
    <row r="2006">
      <c r="A2006" s="10"/>
      <c r="B2006" s="9"/>
      <c r="C2006" s="10"/>
      <c r="D2006" s="10"/>
      <c r="E2006" s="9"/>
      <c r="F2006" s="9"/>
      <c r="G2006" s="9"/>
      <c r="H2006" s="9"/>
      <c r="I2006" s="9"/>
      <c r="J2006" s="9"/>
      <c r="K2006" s="9"/>
      <c r="L2006" s="9"/>
      <c r="M2006" s="9"/>
      <c r="N2006" s="10"/>
      <c r="O2006" s="10"/>
      <c r="P2006" s="9"/>
    </row>
    <row r="2007">
      <c r="A2007" s="10"/>
      <c r="B2007" s="9"/>
      <c r="C2007" s="10"/>
      <c r="D2007" s="10"/>
      <c r="E2007" s="9"/>
      <c r="F2007" s="9"/>
      <c r="G2007" s="9"/>
      <c r="H2007" s="9"/>
      <c r="I2007" s="9"/>
      <c r="J2007" s="9"/>
      <c r="K2007" s="9"/>
      <c r="L2007" s="9"/>
      <c r="M2007" s="9"/>
      <c r="N2007" s="10"/>
      <c r="O2007" s="10"/>
      <c r="P2007" s="9"/>
    </row>
    <row r="2008">
      <c r="A2008" s="10"/>
      <c r="B2008" s="9"/>
      <c r="C2008" s="10"/>
      <c r="D2008" s="10"/>
      <c r="E2008" s="9"/>
      <c r="F2008" s="9"/>
      <c r="G2008" s="9"/>
      <c r="H2008" s="9"/>
      <c r="I2008" s="9"/>
      <c r="J2008" s="9"/>
      <c r="K2008" s="9"/>
      <c r="L2008" s="9"/>
      <c r="M2008" s="9"/>
      <c r="N2008" s="10"/>
      <c r="O2008" s="10"/>
      <c r="P2008" s="9"/>
    </row>
    <row r="2009">
      <c r="A2009" s="10"/>
      <c r="B2009" s="9"/>
      <c r="C2009" s="10"/>
      <c r="D2009" s="10"/>
      <c r="E2009" s="9"/>
      <c r="F2009" s="9"/>
      <c r="G2009" s="9"/>
      <c r="H2009" s="9"/>
      <c r="I2009" s="9"/>
      <c r="J2009" s="9"/>
      <c r="K2009" s="9"/>
      <c r="L2009" s="9"/>
      <c r="M2009" s="9"/>
      <c r="N2009" s="10"/>
      <c r="O2009" s="10"/>
      <c r="P2009" s="9"/>
    </row>
    <row r="2010">
      <c r="A2010" s="10"/>
      <c r="B2010" s="9"/>
      <c r="C2010" s="10"/>
      <c r="D2010" s="10"/>
      <c r="E2010" s="9"/>
      <c r="F2010" s="9"/>
      <c r="G2010" s="9"/>
      <c r="H2010" s="9"/>
      <c r="I2010" s="9"/>
      <c r="J2010" s="9"/>
      <c r="K2010" s="9"/>
      <c r="L2010" s="9"/>
      <c r="M2010" s="9"/>
      <c r="N2010" s="10"/>
      <c r="O2010" s="10"/>
      <c r="P2010" s="9"/>
    </row>
    <row r="2011">
      <c r="A2011" s="10"/>
      <c r="B2011" s="9"/>
      <c r="C2011" s="10"/>
      <c r="D2011" s="10"/>
      <c r="E2011" s="9"/>
      <c r="F2011" s="9"/>
      <c r="G2011" s="9"/>
      <c r="H2011" s="9"/>
      <c r="I2011" s="9"/>
      <c r="J2011" s="9"/>
      <c r="K2011" s="9"/>
      <c r="L2011" s="9"/>
      <c r="M2011" s="9"/>
      <c r="N2011" s="10"/>
      <c r="O2011" s="10"/>
      <c r="P2011" s="9"/>
    </row>
    <row r="2012">
      <c r="A2012" s="10"/>
      <c r="B2012" s="9"/>
      <c r="C2012" s="10"/>
      <c r="D2012" s="10"/>
      <c r="E2012" s="9"/>
      <c r="F2012" s="9"/>
      <c r="G2012" s="9"/>
      <c r="H2012" s="9"/>
      <c r="I2012" s="9"/>
      <c r="J2012" s="9"/>
      <c r="K2012" s="9"/>
      <c r="L2012" s="9"/>
      <c r="M2012" s="9"/>
      <c r="N2012" s="10"/>
      <c r="O2012" s="10"/>
      <c r="P2012" s="9"/>
    </row>
    <row r="2013">
      <c r="A2013" s="10"/>
      <c r="B2013" s="9"/>
      <c r="C2013" s="10"/>
      <c r="D2013" s="10"/>
      <c r="E2013" s="9"/>
      <c r="F2013" s="9"/>
      <c r="G2013" s="9"/>
      <c r="H2013" s="9"/>
      <c r="I2013" s="9"/>
      <c r="J2013" s="9"/>
      <c r="K2013" s="9"/>
      <c r="L2013" s="9"/>
      <c r="M2013" s="9"/>
      <c r="N2013" s="10"/>
      <c r="O2013" s="10"/>
      <c r="P2013" s="9"/>
    </row>
    <row r="2014">
      <c r="A2014" s="10"/>
      <c r="B2014" s="9"/>
      <c r="C2014" s="10"/>
      <c r="D2014" s="10"/>
      <c r="E2014" s="9"/>
      <c r="F2014" s="9"/>
      <c r="G2014" s="9"/>
      <c r="H2014" s="9"/>
      <c r="I2014" s="9"/>
      <c r="J2014" s="9"/>
      <c r="K2014" s="9"/>
      <c r="L2014" s="9"/>
      <c r="M2014" s="9"/>
      <c r="N2014" s="10"/>
      <c r="O2014" s="10"/>
      <c r="P2014" s="9"/>
    </row>
    <row r="2015">
      <c r="A2015" s="10"/>
      <c r="B2015" s="9"/>
      <c r="C2015" s="10"/>
      <c r="D2015" s="10"/>
      <c r="E2015" s="9"/>
      <c r="F2015" s="9"/>
      <c r="G2015" s="9"/>
      <c r="H2015" s="9"/>
      <c r="I2015" s="9"/>
      <c r="J2015" s="9"/>
      <c r="K2015" s="9"/>
      <c r="L2015" s="9"/>
      <c r="M2015" s="9"/>
      <c r="N2015" s="10"/>
      <c r="O2015" s="10"/>
      <c r="P2015" s="9"/>
    </row>
    <row r="2016">
      <c r="A2016" s="10"/>
      <c r="B2016" s="9"/>
      <c r="C2016" s="10"/>
      <c r="D2016" s="10"/>
      <c r="E2016" s="9"/>
      <c r="F2016" s="9"/>
      <c r="G2016" s="9"/>
      <c r="H2016" s="9"/>
      <c r="I2016" s="9"/>
      <c r="J2016" s="9"/>
      <c r="K2016" s="9"/>
      <c r="L2016" s="9"/>
      <c r="M2016" s="9"/>
      <c r="N2016" s="10"/>
      <c r="O2016" s="10"/>
      <c r="P2016" s="9"/>
    </row>
    <row r="2017">
      <c r="A2017" s="10"/>
      <c r="B2017" s="9"/>
      <c r="C2017" s="10"/>
      <c r="D2017" s="10"/>
      <c r="E2017" s="9"/>
      <c r="F2017" s="9"/>
      <c r="G2017" s="9"/>
      <c r="H2017" s="9"/>
      <c r="I2017" s="9"/>
      <c r="J2017" s="9"/>
      <c r="K2017" s="9"/>
      <c r="L2017" s="9"/>
      <c r="M2017" s="9"/>
      <c r="N2017" s="10"/>
      <c r="O2017" s="10"/>
      <c r="P2017" s="9"/>
    </row>
    <row r="2018">
      <c r="A2018" s="10"/>
      <c r="B2018" s="9"/>
      <c r="C2018" s="10"/>
      <c r="D2018" s="10"/>
      <c r="E2018" s="9"/>
      <c r="F2018" s="9"/>
      <c r="G2018" s="9"/>
      <c r="H2018" s="9"/>
      <c r="I2018" s="9"/>
      <c r="J2018" s="9"/>
      <c r="K2018" s="9"/>
      <c r="L2018" s="9"/>
      <c r="M2018" s="9"/>
      <c r="N2018" s="10"/>
      <c r="O2018" s="10"/>
      <c r="P2018" s="9"/>
    </row>
    <row r="2019">
      <c r="A2019" s="10"/>
      <c r="B2019" s="9"/>
      <c r="C2019" s="10"/>
      <c r="D2019" s="10"/>
      <c r="E2019" s="9"/>
      <c r="F2019" s="9"/>
      <c r="G2019" s="9"/>
      <c r="H2019" s="9"/>
      <c r="I2019" s="9"/>
      <c r="J2019" s="9"/>
      <c r="K2019" s="9"/>
      <c r="L2019" s="9"/>
      <c r="M2019" s="9"/>
      <c r="N2019" s="10"/>
      <c r="O2019" s="10"/>
      <c r="P2019" s="9"/>
    </row>
    <row r="2020">
      <c r="A2020" s="10"/>
      <c r="B2020" s="9"/>
      <c r="C2020" s="10"/>
      <c r="D2020" s="10"/>
      <c r="E2020" s="9"/>
      <c r="F2020" s="9"/>
      <c r="G2020" s="9"/>
      <c r="H2020" s="9"/>
      <c r="I2020" s="9"/>
      <c r="J2020" s="9"/>
      <c r="K2020" s="9"/>
      <c r="L2020" s="9"/>
      <c r="M2020" s="9"/>
      <c r="N2020" s="10"/>
      <c r="O2020" s="10"/>
      <c r="P2020" s="9"/>
    </row>
    <row r="2021">
      <c r="A2021" s="10"/>
      <c r="B2021" s="9"/>
      <c r="C2021" s="10"/>
      <c r="D2021" s="10"/>
      <c r="E2021" s="9"/>
      <c r="F2021" s="9"/>
      <c r="G2021" s="9"/>
      <c r="H2021" s="9"/>
      <c r="I2021" s="9"/>
      <c r="J2021" s="9"/>
      <c r="K2021" s="9"/>
      <c r="L2021" s="9"/>
      <c r="M2021" s="9"/>
      <c r="N2021" s="10"/>
      <c r="O2021" s="10"/>
      <c r="P2021" s="9"/>
    </row>
    <row r="2022">
      <c r="A2022" s="10"/>
      <c r="B2022" s="9"/>
      <c r="C2022" s="10"/>
      <c r="D2022" s="10"/>
      <c r="E2022" s="9"/>
      <c r="F2022" s="9"/>
      <c r="G2022" s="9"/>
      <c r="H2022" s="9"/>
      <c r="I2022" s="9"/>
      <c r="J2022" s="9"/>
      <c r="K2022" s="9"/>
      <c r="L2022" s="9"/>
      <c r="M2022" s="9"/>
      <c r="N2022" s="10"/>
      <c r="O2022" s="10"/>
      <c r="P2022" s="9"/>
    </row>
    <row r="2023">
      <c r="A2023" s="10"/>
      <c r="B2023" s="9"/>
      <c r="C2023" s="10"/>
      <c r="D2023" s="10"/>
      <c r="E2023" s="9"/>
      <c r="F2023" s="9"/>
      <c r="G2023" s="9"/>
      <c r="H2023" s="9"/>
      <c r="I2023" s="9"/>
      <c r="J2023" s="9"/>
      <c r="K2023" s="9"/>
      <c r="L2023" s="9"/>
      <c r="M2023" s="9"/>
      <c r="N2023" s="10"/>
      <c r="O2023" s="10"/>
      <c r="P2023" s="9"/>
    </row>
    <row r="2024">
      <c r="A2024" s="10"/>
      <c r="B2024" s="9"/>
      <c r="C2024" s="10"/>
      <c r="D2024" s="10"/>
      <c r="E2024" s="9"/>
      <c r="F2024" s="9"/>
      <c r="G2024" s="9"/>
      <c r="H2024" s="9"/>
      <c r="I2024" s="9"/>
      <c r="J2024" s="9"/>
      <c r="K2024" s="9"/>
      <c r="L2024" s="9"/>
      <c r="M2024" s="9"/>
      <c r="N2024" s="10"/>
      <c r="O2024" s="10"/>
      <c r="P2024" s="9"/>
    </row>
    <row r="2025">
      <c r="A2025" s="10"/>
      <c r="B2025" s="9"/>
      <c r="C2025" s="10"/>
      <c r="D2025" s="10"/>
      <c r="E2025" s="9"/>
      <c r="F2025" s="9"/>
      <c r="G2025" s="9"/>
      <c r="H2025" s="9"/>
      <c r="I2025" s="9"/>
      <c r="J2025" s="9"/>
      <c r="K2025" s="9"/>
      <c r="L2025" s="9"/>
      <c r="M2025" s="9"/>
      <c r="N2025" s="10"/>
      <c r="O2025" s="10"/>
      <c r="P2025" s="9"/>
    </row>
    <row r="2026">
      <c r="A2026" s="10"/>
      <c r="B2026" s="9"/>
      <c r="C2026" s="10"/>
      <c r="D2026" s="10"/>
      <c r="E2026" s="9"/>
      <c r="F2026" s="9"/>
      <c r="G2026" s="9"/>
      <c r="H2026" s="9"/>
      <c r="I2026" s="9"/>
      <c r="J2026" s="9"/>
      <c r="K2026" s="9"/>
      <c r="L2026" s="9"/>
      <c r="M2026" s="9"/>
      <c r="N2026" s="10"/>
      <c r="O2026" s="10"/>
      <c r="P2026" s="9"/>
    </row>
    <row r="2027">
      <c r="A2027" s="10"/>
      <c r="B2027" s="9"/>
      <c r="C2027" s="10"/>
      <c r="D2027" s="10"/>
      <c r="E2027" s="9"/>
      <c r="F2027" s="9"/>
      <c r="G2027" s="9"/>
      <c r="H2027" s="9"/>
      <c r="I2027" s="9"/>
      <c r="J2027" s="9"/>
      <c r="K2027" s="9"/>
      <c r="L2027" s="9"/>
      <c r="M2027" s="9"/>
      <c r="N2027" s="10"/>
      <c r="O2027" s="10"/>
      <c r="P2027" s="9"/>
    </row>
    <row r="2028">
      <c r="A2028" s="10"/>
      <c r="B2028" s="9"/>
      <c r="C2028" s="10"/>
      <c r="D2028" s="10"/>
      <c r="E2028" s="9"/>
      <c r="F2028" s="9"/>
      <c r="G2028" s="9"/>
      <c r="H2028" s="9"/>
      <c r="I2028" s="9"/>
      <c r="J2028" s="9"/>
      <c r="K2028" s="9"/>
      <c r="L2028" s="9"/>
      <c r="M2028" s="9"/>
      <c r="N2028" s="10"/>
      <c r="O2028" s="10"/>
      <c r="P2028" s="9"/>
    </row>
    <row r="2029">
      <c r="A2029" s="10"/>
      <c r="B2029" s="9"/>
      <c r="C2029" s="10"/>
      <c r="D2029" s="10"/>
      <c r="E2029" s="9"/>
      <c r="F2029" s="9"/>
      <c r="G2029" s="9"/>
      <c r="H2029" s="9"/>
      <c r="I2029" s="9"/>
      <c r="J2029" s="9"/>
      <c r="K2029" s="9"/>
      <c r="L2029" s="9"/>
      <c r="M2029" s="9"/>
      <c r="N2029" s="10"/>
      <c r="O2029" s="10"/>
      <c r="P2029" s="9"/>
    </row>
    <row r="2030">
      <c r="A2030" s="10"/>
      <c r="B2030" s="9"/>
      <c r="C2030" s="10"/>
      <c r="D2030" s="10"/>
      <c r="E2030" s="9"/>
      <c r="F2030" s="9"/>
      <c r="G2030" s="9"/>
      <c r="H2030" s="9"/>
      <c r="I2030" s="9"/>
      <c r="J2030" s="9"/>
      <c r="K2030" s="9"/>
      <c r="L2030" s="9"/>
      <c r="M2030" s="9"/>
      <c r="N2030" s="10"/>
      <c r="O2030" s="10"/>
      <c r="P2030" s="9"/>
    </row>
    <row r="2031">
      <c r="A2031" s="10"/>
      <c r="B2031" s="9"/>
      <c r="C2031" s="10"/>
      <c r="D2031" s="10"/>
      <c r="E2031" s="9"/>
      <c r="F2031" s="9"/>
      <c r="G2031" s="9"/>
      <c r="H2031" s="9"/>
      <c r="I2031" s="9"/>
      <c r="J2031" s="9"/>
      <c r="K2031" s="9"/>
      <c r="L2031" s="9"/>
      <c r="M2031" s="9"/>
      <c r="N2031" s="10"/>
      <c r="O2031" s="10"/>
      <c r="P2031" s="9"/>
    </row>
    <row r="2032">
      <c r="A2032" s="10"/>
      <c r="B2032" s="9"/>
      <c r="C2032" s="10"/>
      <c r="D2032" s="10"/>
      <c r="E2032" s="9"/>
      <c r="F2032" s="9"/>
      <c r="G2032" s="9"/>
      <c r="H2032" s="9"/>
      <c r="I2032" s="9"/>
      <c r="J2032" s="9"/>
      <c r="K2032" s="9"/>
      <c r="L2032" s="9"/>
      <c r="M2032" s="9"/>
      <c r="N2032" s="10"/>
      <c r="O2032" s="10"/>
      <c r="P2032" s="9"/>
    </row>
    <row r="2033">
      <c r="A2033" s="10"/>
      <c r="B2033" s="9"/>
      <c r="C2033" s="10"/>
      <c r="D2033" s="10"/>
      <c r="E2033" s="9"/>
      <c r="F2033" s="9"/>
      <c r="G2033" s="9"/>
      <c r="H2033" s="9"/>
      <c r="I2033" s="9"/>
      <c r="J2033" s="9"/>
      <c r="K2033" s="9"/>
      <c r="L2033" s="9"/>
      <c r="M2033" s="9"/>
      <c r="N2033" s="10"/>
      <c r="O2033" s="10"/>
      <c r="P2033" s="9"/>
    </row>
    <row r="2034">
      <c r="A2034" s="10"/>
      <c r="B2034" s="9"/>
      <c r="C2034" s="10"/>
      <c r="D2034" s="10"/>
      <c r="E2034" s="9"/>
      <c r="F2034" s="9"/>
      <c r="G2034" s="9"/>
      <c r="H2034" s="9"/>
      <c r="I2034" s="9"/>
      <c r="J2034" s="9"/>
      <c r="K2034" s="9"/>
      <c r="L2034" s="9"/>
      <c r="M2034" s="9"/>
      <c r="N2034" s="10"/>
      <c r="O2034" s="10"/>
      <c r="P2034" s="9"/>
    </row>
    <row r="2035">
      <c r="A2035" s="10"/>
      <c r="B2035" s="9"/>
      <c r="C2035" s="10"/>
      <c r="D2035" s="10"/>
      <c r="E2035" s="9"/>
      <c r="F2035" s="9"/>
      <c r="G2035" s="9"/>
      <c r="H2035" s="9"/>
      <c r="I2035" s="9"/>
      <c r="J2035" s="9"/>
      <c r="K2035" s="9"/>
      <c r="L2035" s="9"/>
      <c r="M2035" s="9"/>
      <c r="N2035" s="10"/>
      <c r="O2035" s="10"/>
      <c r="P2035" s="9"/>
    </row>
    <row r="2036">
      <c r="A2036" s="10"/>
      <c r="B2036" s="9"/>
      <c r="C2036" s="10"/>
      <c r="D2036" s="10"/>
      <c r="E2036" s="9"/>
      <c r="F2036" s="9"/>
      <c r="G2036" s="9"/>
      <c r="H2036" s="9"/>
      <c r="I2036" s="9"/>
      <c r="J2036" s="9"/>
      <c r="K2036" s="9"/>
      <c r="L2036" s="9"/>
      <c r="M2036" s="9"/>
      <c r="N2036" s="10"/>
      <c r="O2036" s="10"/>
      <c r="P2036" s="9"/>
    </row>
    <row r="2037">
      <c r="A2037" s="10"/>
      <c r="B2037" s="9"/>
      <c r="C2037" s="10"/>
      <c r="D2037" s="10"/>
      <c r="E2037" s="9"/>
      <c r="F2037" s="9"/>
      <c r="G2037" s="9"/>
      <c r="H2037" s="9"/>
      <c r="I2037" s="9"/>
      <c r="J2037" s="9"/>
      <c r="K2037" s="9"/>
      <c r="L2037" s="9"/>
      <c r="M2037" s="9"/>
      <c r="N2037" s="10"/>
      <c r="O2037" s="10"/>
      <c r="P2037" s="9"/>
    </row>
    <row r="2038">
      <c r="A2038" s="10"/>
      <c r="B2038" s="9"/>
      <c r="C2038" s="10"/>
      <c r="D2038" s="10"/>
      <c r="E2038" s="9"/>
      <c r="F2038" s="9"/>
      <c r="G2038" s="9"/>
      <c r="H2038" s="9"/>
      <c r="I2038" s="9"/>
      <c r="J2038" s="9"/>
      <c r="K2038" s="9"/>
      <c r="L2038" s="9"/>
      <c r="M2038" s="9"/>
      <c r="N2038" s="10"/>
      <c r="O2038" s="10"/>
      <c r="P2038" s="9"/>
    </row>
    <row r="2039">
      <c r="A2039" s="10"/>
      <c r="B2039" s="9"/>
      <c r="C2039" s="10"/>
      <c r="D2039" s="10"/>
      <c r="E2039" s="9"/>
      <c r="F2039" s="9"/>
      <c r="G2039" s="9"/>
      <c r="H2039" s="9"/>
      <c r="I2039" s="9"/>
      <c r="J2039" s="9"/>
      <c r="K2039" s="9"/>
      <c r="L2039" s="9"/>
      <c r="M2039" s="9"/>
      <c r="N2039" s="10"/>
      <c r="O2039" s="10"/>
      <c r="P2039" s="9"/>
    </row>
    <row r="2040">
      <c r="A2040" s="10"/>
      <c r="B2040" s="9"/>
      <c r="C2040" s="10"/>
      <c r="D2040" s="10"/>
      <c r="E2040" s="9"/>
      <c r="F2040" s="9"/>
      <c r="G2040" s="9"/>
      <c r="H2040" s="9"/>
      <c r="I2040" s="9"/>
      <c r="J2040" s="9"/>
      <c r="K2040" s="9"/>
      <c r="L2040" s="9"/>
      <c r="M2040" s="9"/>
      <c r="N2040" s="10"/>
      <c r="O2040" s="10"/>
      <c r="P2040" s="9"/>
    </row>
    <row r="2041">
      <c r="A2041" s="10"/>
      <c r="B2041" s="9"/>
      <c r="C2041" s="10"/>
      <c r="D2041" s="10"/>
      <c r="E2041" s="9"/>
      <c r="F2041" s="9"/>
      <c r="G2041" s="9"/>
      <c r="H2041" s="9"/>
      <c r="I2041" s="9"/>
      <c r="J2041" s="9"/>
      <c r="K2041" s="9"/>
      <c r="L2041" s="9"/>
      <c r="M2041" s="9"/>
      <c r="N2041" s="10"/>
      <c r="O2041" s="10"/>
      <c r="P2041" s="9"/>
    </row>
    <row r="2042">
      <c r="A2042" s="10"/>
      <c r="B2042" s="9"/>
      <c r="C2042" s="10"/>
      <c r="D2042" s="10"/>
      <c r="E2042" s="9"/>
      <c r="F2042" s="9"/>
      <c r="G2042" s="9"/>
      <c r="H2042" s="9"/>
      <c r="I2042" s="9"/>
      <c r="J2042" s="9"/>
      <c r="K2042" s="9"/>
      <c r="L2042" s="9"/>
      <c r="M2042" s="9"/>
      <c r="N2042" s="10"/>
      <c r="O2042" s="10"/>
      <c r="P2042" s="9"/>
    </row>
    <row r="2043">
      <c r="A2043" s="10"/>
      <c r="B2043" s="9"/>
      <c r="C2043" s="10"/>
      <c r="D2043" s="10"/>
      <c r="E2043" s="9"/>
      <c r="F2043" s="9"/>
      <c r="G2043" s="9"/>
      <c r="H2043" s="9"/>
      <c r="I2043" s="9"/>
      <c r="J2043" s="9"/>
      <c r="K2043" s="9"/>
      <c r="L2043" s="9"/>
      <c r="M2043" s="9"/>
      <c r="N2043" s="10"/>
      <c r="O2043" s="10"/>
      <c r="P2043" s="9"/>
    </row>
    <row r="2044">
      <c r="A2044" s="10"/>
      <c r="B2044" s="9"/>
      <c r="C2044" s="10"/>
      <c r="D2044" s="10"/>
      <c r="E2044" s="9"/>
      <c r="F2044" s="9"/>
      <c r="G2044" s="9"/>
      <c r="H2044" s="9"/>
      <c r="I2044" s="9"/>
      <c r="J2044" s="9"/>
      <c r="K2044" s="9"/>
      <c r="L2044" s="9"/>
      <c r="M2044" s="9"/>
      <c r="N2044" s="10"/>
      <c r="O2044" s="10"/>
      <c r="P2044" s="9"/>
    </row>
    <row r="2045">
      <c r="A2045" s="10"/>
      <c r="B2045" s="9"/>
      <c r="C2045" s="10"/>
      <c r="D2045" s="10"/>
      <c r="E2045" s="9"/>
      <c r="F2045" s="9"/>
      <c r="G2045" s="9"/>
      <c r="H2045" s="9"/>
      <c r="I2045" s="9"/>
      <c r="J2045" s="9"/>
      <c r="K2045" s="9"/>
      <c r="L2045" s="9"/>
      <c r="M2045" s="9"/>
      <c r="N2045" s="10"/>
      <c r="O2045" s="10"/>
      <c r="P2045" s="9"/>
    </row>
    <row r="2046">
      <c r="A2046" s="10"/>
      <c r="B2046" s="9"/>
      <c r="C2046" s="10"/>
      <c r="D2046" s="10"/>
      <c r="E2046" s="9"/>
      <c r="F2046" s="9"/>
      <c r="G2046" s="9"/>
      <c r="H2046" s="9"/>
      <c r="I2046" s="9"/>
      <c r="J2046" s="9"/>
      <c r="K2046" s="9"/>
      <c r="L2046" s="9"/>
      <c r="M2046" s="9"/>
      <c r="N2046" s="10"/>
      <c r="O2046" s="10"/>
      <c r="P2046" s="9"/>
    </row>
    <row r="2047">
      <c r="A2047" s="10"/>
      <c r="B2047" s="9"/>
      <c r="C2047" s="10"/>
      <c r="D2047" s="10"/>
      <c r="E2047" s="9"/>
      <c r="F2047" s="9"/>
      <c r="G2047" s="9"/>
      <c r="H2047" s="9"/>
      <c r="I2047" s="9"/>
      <c r="J2047" s="9"/>
      <c r="K2047" s="9"/>
      <c r="L2047" s="9"/>
      <c r="M2047" s="9"/>
      <c r="N2047" s="10"/>
      <c r="O2047" s="10"/>
      <c r="P2047" s="9"/>
    </row>
    <row r="2048">
      <c r="A2048" s="10"/>
      <c r="B2048" s="9"/>
      <c r="C2048" s="10"/>
      <c r="D2048" s="10"/>
      <c r="E2048" s="9"/>
      <c r="F2048" s="9"/>
      <c r="G2048" s="9"/>
      <c r="H2048" s="9"/>
      <c r="I2048" s="9"/>
      <c r="J2048" s="9"/>
      <c r="K2048" s="9"/>
      <c r="L2048" s="9"/>
      <c r="M2048" s="9"/>
      <c r="N2048" s="10"/>
      <c r="O2048" s="10"/>
      <c r="P2048" s="9"/>
    </row>
    <row r="2049">
      <c r="A2049" s="10"/>
      <c r="B2049" s="9"/>
      <c r="C2049" s="10"/>
      <c r="D2049" s="10"/>
      <c r="E2049" s="9"/>
      <c r="F2049" s="9"/>
      <c r="G2049" s="9"/>
      <c r="H2049" s="9"/>
      <c r="I2049" s="9"/>
      <c r="J2049" s="9"/>
      <c r="K2049" s="9"/>
      <c r="L2049" s="9"/>
      <c r="M2049" s="9"/>
      <c r="N2049" s="10"/>
      <c r="O2049" s="10"/>
      <c r="P2049" s="9"/>
    </row>
    <row r="2050">
      <c r="A2050" s="10"/>
      <c r="B2050" s="9"/>
      <c r="C2050" s="10"/>
      <c r="D2050" s="10"/>
      <c r="E2050" s="9"/>
      <c r="F2050" s="9"/>
      <c r="G2050" s="9"/>
      <c r="H2050" s="9"/>
      <c r="I2050" s="9"/>
      <c r="J2050" s="9"/>
      <c r="K2050" s="9"/>
      <c r="L2050" s="9"/>
      <c r="M2050" s="9"/>
      <c r="N2050" s="10"/>
      <c r="O2050" s="10"/>
      <c r="P2050" s="9"/>
    </row>
    <row r="2051">
      <c r="A2051" s="10"/>
      <c r="B2051" s="9"/>
      <c r="C2051" s="10"/>
      <c r="D2051" s="10"/>
      <c r="E2051" s="9"/>
      <c r="F2051" s="9"/>
      <c r="G2051" s="9"/>
      <c r="H2051" s="9"/>
      <c r="I2051" s="9"/>
      <c r="J2051" s="9"/>
      <c r="K2051" s="9"/>
      <c r="L2051" s="9"/>
      <c r="M2051" s="9"/>
      <c r="N2051" s="10"/>
      <c r="O2051" s="10"/>
      <c r="P2051" s="9"/>
    </row>
    <row r="2052">
      <c r="A2052" s="10"/>
      <c r="B2052" s="9"/>
      <c r="C2052" s="10"/>
      <c r="D2052" s="10"/>
      <c r="E2052" s="9"/>
      <c r="F2052" s="9"/>
      <c r="G2052" s="9"/>
      <c r="H2052" s="9"/>
      <c r="I2052" s="9"/>
      <c r="J2052" s="9"/>
      <c r="K2052" s="9"/>
      <c r="L2052" s="9"/>
      <c r="M2052" s="9"/>
      <c r="N2052" s="10"/>
      <c r="O2052" s="10"/>
      <c r="P2052" s="9"/>
    </row>
    <row r="2053">
      <c r="A2053" s="10"/>
      <c r="B2053" s="9"/>
      <c r="C2053" s="10"/>
      <c r="D2053" s="10"/>
      <c r="E2053" s="9"/>
      <c r="F2053" s="9"/>
      <c r="G2053" s="9"/>
      <c r="H2053" s="9"/>
      <c r="I2053" s="9"/>
      <c r="J2053" s="9"/>
      <c r="K2053" s="9"/>
      <c r="L2053" s="9"/>
      <c r="M2053" s="9"/>
      <c r="N2053" s="10"/>
      <c r="O2053" s="10"/>
      <c r="P2053" s="9"/>
    </row>
    <row r="2054">
      <c r="A2054" s="10"/>
      <c r="B2054" s="9"/>
      <c r="C2054" s="10"/>
      <c r="D2054" s="10"/>
      <c r="E2054" s="9"/>
      <c r="F2054" s="9"/>
      <c r="G2054" s="9"/>
      <c r="H2054" s="9"/>
      <c r="I2054" s="9"/>
      <c r="J2054" s="9"/>
      <c r="K2054" s="9"/>
      <c r="L2054" s="9"/>
      <c r="M2054" s="9"/>
      <c r="N2054" s="10"/>
      <c r="O2054" s="10"/>
      <c r="P2054" s="9"/>
    </row>
    <row r="2055">
      <c r="A2055" s="10"/>
      <c r="B2055" s="9"/>
      <c r="C2055" s="10"/>
      <c r="D2055" s="10"/>
      <c r="E2055" s="9"/>
      <c r="F2055" s="9"/>
      <c r="G2055" s="9"/>
      <c r="H2055" s="9"/>
      <c r="I2055" s="9"/>
      <c r="J2055" s="9"/>
      <c r="K2055" s="9"/>
      <c r="L2055" s="9"/>
      <c r="M2055" s="9"/>
      <c r="N2055" s="10"/>
      <c r="O2055" s="10"/>
      <c r="P2055" s="9"/>
    </row>
    <row r="2056">
      <c r="A2056" s="10"/>
      <c r="B2056" s="9"/>
      <c r="C2056" s="10"/>
      <c r="D2056" s="10"/>
      <c r="E2056" s="9"/>
      <c r="F2056" s="9"/>
      <c r="G2056" s="9"/>
      <c r="H2056" s="9"/>
      <c r="I2056" s="9"/>
      <c r="J2056" s="9"/>
      <c r="K2056" s="9"/>
      <c r="L2056" s="9"/>
      <c r="M2056" s="9"/>
      <c r="N2056" s="10"/>
      <c r="O2056" s="10"/>
      <c r="P2056" s="9"/>
    </row>
    <row r="2057">
      <c r="A2057" s="10"/>
      <c r="B2057" s="9"/>
      <c r="C2057" s="10"/>
      <c r="D2057" s="10"/>
      <c r="E2057" s="9"/>
      <c r="F2057" s="9"/>
      <c r="G2057" s="9"/>
      <c r="H2057" s="9"/>
      <c r="I2057" s="9"/>
      <c r="J2057" s="9"/>
      <c r="K2057" s="9"/>
      <c r="L2057" s="9"/>
      <c r="M2057" s="9"/>
      <c r="N2057" s="10"/>
      <c r="O2057" s="10"/>
      <c r="P2057" s="9"/>
    </row>
    <row r="2058">
      <c r="A2058" s="10"/>
      <c r="B2058" s="9"/>
      <c r="C2058" s="10"/>
      <c r="D2058" s="10"/>
      <c r="E2058" s="9"/>
      <c r="F2058" s="9"/>
      <c r="G2058" s="9"/>
      <c r="H2058" s="9"/>
      <c r="I2058" s="9"/>
      <c r="J2058" s="9"/>
      <c r="K2058" s="9"/>
      <c r="L2058" s="9"/>
      <c r="M2058" s="9"/>
      <c r="N2058" s="10"/>
      <c r="O2058" s="10"/>
      <c r="P2058" s="9"/>
    </row>
    <row r="2059">
      <c r="A2059" s="10"/>
      <c r="B2059" s="9"/>
      <c r="C2059" s="10"/>
      <c r="D2059" s="10"/>
      <c r="E2059" s="9"/>
      <c r="F2059" s="9"/>
      <c r="G2059" s="9"/>
      <c r="H2059" s="9"/>
      <c r="I2059" s="9"/>
      <c r="J2059" s="9"/>
      <c r="K2059" s="9"/>
      <c r="L2059" s="9"/>
      <c r="M2059" s="9"/>
      <c r="N2059" s="10"/>
      <c r="O2059" s="10"/>
      <c r="P2059" s="9"/>
    </row>
    <row r="2060">
      <c r="A2060" s="10"/>
      <c r="B2060" s="9"/>
      <c r="C2060" s="10"/>
      <c r="D2060" s="10"/>
      <c r="E2060" s="9"/>
      <c r="F2060" s="9"/>
      <c r="G2060" s="9"/>
      <c r="H2060" s="9"/>
      <c r="I2060" s="9"/>
      <c r="J2060" s="9"/>
      <c r="K2060" s="9"/>
      <c r="L2060" s="9"/>
      <c r="M2060" s="9"/>
      <c r="N2060" s="10"/>
      <c r="O2060" s="10"/>
      <c r="P2060" s="9"/>
    </row>
    <row r="2061">
      <c r="A2061" s="10"/>
      <c r="B2061" s="9"/>
      <c r="C2061" s="10"/>
      <c r="D2061" s="10"/>
      <c r="E2061" s="9"/>
      <c r="F2061" s="9"/>
      <c r="G2061" s="9"/>
      <c r="H2061" s="9"/>
      <c r="I2061" s="9"/>
      <c r="J2061" s="9"/>
      <c r="K2061" s="9"/>
      <c r="L2061" s="9"/>
      <c r="M2061" s="9"/>
      <c r="N2061" s="10"/>
      <c r="O2061" s="10"/>
      <c r="P2061" s="9"/>
    </row>
    <row r="2062">
      <c r="A2062" s="10"/>
      <c r="B2062" s="9"/>
      <c r="C2062" s="10"/>
      <c r="D2062" s="10"/>
      <c r="E2062" s="9"/>
      <c r="F2062" s="9"/>
      <c r="G2062" s="9"/>
      <c r="H2062" s="9"/>
      <c r="I2062" s="9"/>
      <c r="J2062" s="9"/>
      <c r="K2062" s="9"/>
      <c r="L2062" s="9"/>
      <c r="M2062" s="9"/>
      <c r="N2062" s="10"/>
      <c r="O2062" s="10"/>
      <c r="P2062" s="9"/>
    </row>
    <row r="2063">
      <c r="A2063" s="10"/>
      <c r="B2063" s="9"/>
      <c r="C2063" s="10"/>
      <c r="D2063" s="10"/>
      <c r="E2063" s="9"/>
      <c r="F2063" s="9"/>
      <c r="G2063" s="9"/>
      <c r="H2063" s="9"/>
      <c r="I2063" s="9"/>
      <c r="J2063" s="9"/>
      <c r="K2063" s="9"/>
      <c r="L2063" s="9"/>
      <c r="M2063" s="9"/>
      <c r="N2063" s="10"/>
      <c r="O2063" s="10"/>
      <c r="P2063" s="9"/>
    </row>
    <row r="2064">
      <c r="A2064" s="10"/>
      <c r="B2064" s="9"/>
      <c r="C2064" s="10"/>
      <c r="D2064" s="10"/>
      <c r="E2064" s="9"/>
      <c r="F2064" s="9"/>
      <c r="G2064" s="9"/>
      <c r="H2064" s="9"/>
      <c r="I2064" s="9"/>
      <c r="J2064" s="9"/>
      <c r="K2064" s="9"/>
      <c r="L2064" s="9"/>
      <c r="M2064" s="9"/>
      <c r="N2064" s="10"/>
      <c r="O2064" s="10"/>
      <c r="P2064" s="9"/>
    </row>
    <row r="2065">
      <c r="A2065" s="10"/>
      <c r="B2065" s="9"/>
      <c r="C2065" s="10"/>
      <c r="D2065" s="10"/>
      <c r="E2065" s="9"/>
      <c r="F2065" s="9"/>
      <c r="G2065" s="9"/>
      <c r="H2065" s="9"/>
      <c r="I2065" s="9"/>
      <c r="J2065" s="9"/>
      <c r="K2065" s="9"/>
      <c r="L2065" s="9"/>
      <c r="M2065" s="9"/>
      <c r="N2065" s="10"/>
      <c r="O2065" s="10"/>
      <c r="P2065" s="9"/>
    </row>
    <row r="2066">
      <c r="A2066" s="10"/>
      <c r="B2066" s="9"/>
      <c r="C2066" s="10"/>
      <c r="D2066" s="10"/>
      <c r="E2066" s="9"/>
      <c r="F2066" s="9"/>
      <c r="G2066" s="9"/>
      <c r="H2066" s="9"/>
      <c r="I2066" s="9"/>
      <c r="J2066" s="9"/>
      <c r="K2066" s="9"/>
      <c r="L2066" s="9"/>
      <c r="M2066" s="9"/>
      <c r="N2066" s="10"/>
      <c r="O2066" s="10"/>
      <c r="P2066" s="9"/>
    </row>
    <row r="2067">
      <c r="A2067" s="10"/>
      <c r="B2067" s="9"/>
      <c r="C2067" s="10"/>
      <c r="D2067" s="10"/>
      <c r="E2067" s="9"/>
      <c r="F2067" s="9"/>
      <c r="G2067" s="9"/>
      <c r="H2067" s="9"/>
      <c r="I2067" s="9"/>
      <c r="J2067" s="9"/>
      <c r="K2067" s="9"/>
      <c r="L2067" s="9"/>
      <c r="M2067" s="9"/>
      <c r="N2067" s="10"/>
      <c r="O2067" s="10"/>
      <c r="P2067" s="9"/>
    </row>
    <row r="2068">
      <c r="A2068" s="10"/>
      <c r="B2068" s="9"/>
      <c r="C2068" s="10"/>
      <c r="D2068" s="10"/>
      <c r="E2068" s="9"/>
      <c r="F2068" s="9"/>
      <c r="G2068" s="9"/>
      <c r="H2068" s="9"/>
      <c r="I2068" s="9"/>
      <c r="J2068" s="9"/>
      <c r="K2068" s="9"/>
      <c r="L2068" s="9"/>
      <c r="M2068" s="9"/>
      <c r="N2068" s="10"/>
      <c r="O2068" s="10"/>
      <c r="P2068" s="9"/>
    </row>
    <row r="2069">
      <c r="A2069" s="10"/>
      <c r="B2069" s="9"/>
      <c r="C2069" s="10"/>
      <c r="D2069" s="10"/>
      <c r="E2069" s="9"/>
      <c r="F2069" s="9"/>
      <c r="G2069" s="9"/>
      <c r="H2069" s="9"/>
      <c r="I2069" s="9"/>
      <c r="J2069" s="9"/>
      <c r="K2069" s="9"/>
      <c r="L2069" s="9"/>
      <c r="M2069" s="9"/>
      <c r="N2069" s="10"/>
      <c r="O2069" s="10"/>
      <c r="P2069" s="9"/>
    </row>
    <row r="2070">
      <c r="A2070" s="10"/>
      <c r="B2070" s="9"/>
      <c r="C2070" s="10"/>
      <c r="D2070" s="10"/>
      <c r="E2070" s="9"/>
      <c r="F2070" s="9"/>
      <c r="G2070" s="9"/>
      <c r="H2070" s="9"/>
      <c r="I2070" s="9"/>
      <c r="J2070" s="9"/>
      <c r="K2070" s="9"/>
      <c r="L2070" s="9"/>
      <c r="M2070" s="9"/>
      <c r="N2070" s="10"/>
      <c r="O2070" s="10"/>
      <c r="P2070" s="9"/>
    </row>
    <row r="2071">
      <c r="A2071" s="10"/>
      <c r="B2071" s="9"/>
      <c r="C2071" s="10"/>
      <c r="D2071" s="10"/>
      <c r="E2071" s="9"/>
      <c r="F2071" s="9"/>
      <c r="G2071" s="9"/>
      <c r="H2071" s="9"/>
      <c r="I2071" s="9"/>
      <c r="J2071" s="9"/>
      <c r="K2071" s="9"/>
      <c r="L2071" s="9"/>
      <c r="M2071" s="9"/>
      <c r="N2071" s="10"/>
      <c r="O2071" s="10"/>
      <c r="P2071" s="9"/>
    </row>
    <row r="2072">
      <c r="A2072" s="10"/>
      <c r="B2072" s="9"/>
      <c r="C2072" s="10"/>
      <c r="D2072" s="10"/>
      <c r="E2072" s="9"/>
      <c r="F2072" s="9"/>
      <c r="G2072" s="9"/>
      <c r="H2072" s="9"/>
      <c r="I2072" s="9"/>
      <c r="J2072" s="9"/>
      <c r="K2072" s="9"/>
      <c r="L2072" s="9"/>
      <c r="M2072" s="9"/>
      <c r="N2072" s="10"/>
      <c r="O2072" s="10"/>
      <c r="P2072" s="9"/>
    </row>
    <row r="2073">
      <c r="A2073" s="10"/>
      <c r="B2073" s="9"/>
      <c r="C2073" s="10"/>
      <c r="D2073" s="10"/>
      <c r="E2073" s="9"/>
      <c r="F2073" s="9"/>
      <c r="G2073" s="9"/>
      <c r="H2073" s="9"/>
      <c r="I2073" s="9"/>
      <c r="J2073" s="9"/>
      <c r="K2073" s="9"/>
      <c r="L2073" s="9"/>
      <c r="M2073" s="9"/>
      <c r="N2073" s="10"/>
      <c r="O2073" s="10"/>
      <c r="P2073" s="9"/>
    </row>
    <row r="2074">
      <c r="A2074" s="10"/>
      <c r="B2074" s="9"/>
      <c r="C2074" s="10"/>
      <c r="D2074" s="10"/>
      <c r="E2074" s="9"/>
      <c r="F2074" s="9"/>
      <c r="G2074" s="9"/>
      <c r="H2074" s="9"/>
      <c r="I2074" s="9"/>
      <c r="J2074" s="9"/>
      <c r="K2074" s="9"/>
      <c r="L2074" s="9"/>
      <c r="M2074" s="9"/>
      <c r="N2074" s="10"/>
      <c r="O2074" s="10"/>
      <c r="P2074" s="9"/>
    </row>
    <row r="2075">
      <c r="A2075" s="10"/>
      <c r="B2075" s="9"/>
      <c r="C2075" s="10"/>
      <c r="D2075" s="10"/>
      <c r="E2075" s="9"/>
      <c r="F2075" s="9"/>
      <c r="G2075" s="9"/>
      <c r="H2075" s="9"/>
      <c r="I2075" s="9"/>
      <c r="J2075" s="9"/>
      <c r="K2075" s="9"/>
      <c r="L2075" s="9"/>
      <c r="M2075" s="9"/>
      <c r="N2075" s="10"/>
      <c r="O2075" s="10"/>
      <c r="P2075" s="9"/>
    </row>
    <row r="2076">
      <c r="A2076" s="10"/>
      <c r="B2076" s="9"/>
      <c r="C2076" s="10"/>
      <c r="D2076" s="10"/>
      <c r="E2076" s="9"/>
      <c r="F2076" s="9"/>
      <c r="G2076" s="9"/>
      <c r="H2076" s="9"/>
      <c r="I2076" s="9"/>
      <c r="J2076" s="9"/>
      <c r="K2076" s="9"/>
      <c r="L2076" s="9"/>
      <c r="M2076" s="9"/>
      <c r="N2076" s="10"/>
      <c r="O2076" s="10"/>
      <c r="P2076" s="9"/>
    </row>
    <row r="2077">
      <c r="A2077" s="10"/>
      <c r="B2077" s="9"/>
      <c r="C2077" s="10"/>
      <c r="D2077" s="10"/>
      <c r="E2077" s="9"/>
      <c r="F2077" s="9"/>
      <c r="G2077" s="9"/>
      <c r="H2077" s="9"/>
      <c r="I2077" s="9"/>
      <c r="J2077" s="9"/>
      <c r="K2077" s="9"/>
      <c r="L2077" s="9"/>
      <c r="M2077" s="9"/>
      <c r="N2077" s="10"/>
      <c r="O2077" s="10"/>
      <c r="P2077" s="9"/>
    </row>
    <row r="2078">
      <c r="A2078" s="10"/>
      <c r="B2078" s="9"/>
      <c r="C2078" s="10"/>
      <c r="D2078" s="10"/>
      <c r="E2078" s="9"/>
      <c r="F2078" s="9"/>
      <c r="G2078" s="9"/>
      <c r="H2078" s="9"/>
      <c r="I2078" s="9"/>
      <c r="J2078" s="9"/>
      <c r="K2078" s="9"/>
      <c r="L2078" s="9"/>
      <c r="M2078" s="9"/>
      <c r="N2078" s="10"/>
      <c r="O2078" s="10"/>
      <c r="P2078" s="9"/>
    </row>
    <row r="2079">
      <c r="A2079" s="10"/>
      <c r="B2079" s="9"/>
      <c r="C2079" s="10"/>
      <c r="D2079" s="10"/>
      <c r="E2079" s="9"/>
      <c r="F2079" s="9"/>
      <c r="G2079" s="9"/>
      <c r="H2079" s="9"/>
      <c r="I2079" s="9"/>
      <c r="J2079" s="9"/>
      <c r="K2079" s="9"/>
      <c r="L2079" s="9"/>
      <c r="M2079" s="9"/>
      <c r="N2079" s="10"/>
      <c r="O2079" s="10"/>
      <c r="P2079" s="9"/>
    </row>
    <row r="2080">
      <c r="A2080" s="10"/>
      <c r="B2080" s="9"/>
      <c r="C2080" s="10"/>
      <c r="D2080" s="10"/>
      <c r="E2080" s="9"/>
      <c r="F2080" s="9"/>
      <c r="G2080" s="9"/>
      <c r="H2080" s="9"/>
      <c r="I2080" s="9"/>
      <c r="J2080" s="9"/>
      <c r="K2080" s="9"/>
      <c r="L2080" s="9"/>
      <c r="M2080" s="9"/>
      <c r="N2080" s="10"/>
      <c r="O2080" s="10"/>
      <c r="P2080" s="9"/>
    </row>
    <row r="2081">
      <c r="A2081" s="10"/>
      <c r="B2081" s="9"/>
      <c r="C2081" s="10"/>
      <c r="D2081" s="10"/>
      <c r="E2081" s="9"/>
      <c r="F2081" s="9"/>
      <c r="G2081" s="9"/>
      <c r="H2081" s="9"/>
      <c r="I2081" s="9"/>
      <c r="J2081" s="9"/>
      <c r="K2081" s="9"/>
      <c r="L2081" s="9"/>
      <c r="M2081" s="9"/>
      <c r="N2081" s="10"/>
      <c r="O2081" s="10"/>
      <c r="P2081" s="9"/>
    </row>
    <row r="2082">
      <c r="A2082" s="10"/>
      <c r="B2082" s="9"/>
      <c r="C2082" s="10"/>
      <c r="D2082" s="10"/>
      <c r="E2082" s="9"/>
      <c r="F2082" s="9"/>
      <c r="G2082" s="9"/>
      <c r="H2082" s="9"/>
      <c r="I2082" s="9"/>
      <c r="J2082" s="9"/>
      <c r="K2082" s="9"/>
      <c r="L2082" s="9"/>
      <c r="M2082" s="9"/>
      <c r="N2082" s="10"/>
      <c r="O2082" s="10"/>
      <c r="P2082" s="9"/>
    </row>
    <row r="2083">
      <c r="A2083" s="10"/>
      <c r="B2083" s="9"/>
      <c r="C2083" s="10"/>
      <c r="D2083" s="10"/>
      <c r="E2083" s="9"/>
      <c r="F2083" s="9"/>
      <c r="G2083" s="9"/>
      <c r="H2083" s="9"/>
      <c r="I2083" s="9"/>
      <c r="J2083" s="9"/>
      <c r="K2083" s="9"/>
      <c r="L2083" s="9"/>
      <c r="M2083" s="9"/>
      <c r="N2083" s="10"/>
      <c r="O2083" s="10"/>
      <c r="P2083" s="9"/>
    </row>
    <row r="2084">
      <c r="A2084" s="10"/>
      <c r="B2084" s="9"/>
      <c r="C2084" s="10"/>
      <c r="D2084" s="10"/>
      <c r="E2084" s="9"/>
      <c r="F2084" s="9"/>
      <c r="G2084" s="9"/>
      <c r="H2084" s="9"/>
      <c r="I2084" s="9"/>
      <c r="J2084" s="9"/>
      <c r="K2084" s="9"/>
      <c r="L2084" s="9"/>
      <c r="M2084" s="9"/>
      <c r="N2084" s="10"/>
      <c r="O2084" s="10"/>
      <c r="P2084" s="9"/>
    </row>
    <row r="2085">
      <c r="A2085" s="10"/>
      <c r="B2085" s="9"/>
      <c r="C2085" s="10"/>
      <c r="D2085" s="10"/>
      <c r="E2085" s="9"/>
      <c r="F2085" s="9"/>
      <c r="G2085" s="9"/>
      <c r="H2085" s="9"/>
      <c r="I2085" s="9"/>
      <c r="J2085" s="9"/>
      <c r="K2085" s="9"/>
      <c r="L2085" s="9"/>
      <c r="M2085" s="9"/>
      <c r="N2085" s="10"/>
      <c r="O2085" s="10"/>
      <c r="P2085" s="9"/>
    </row>
    <row r="2086">
      <c r="A2086" s="10"/>
      <c r="B2086" s="9"/>
      <c r="C2086" s="10"/>
      <c r="D2086" s="10"/>
      <c r="E2086" s="9"/>
      <c r="F2086" s="9"/>
      <c r="G2086" s="9"/>
      <c r="H2086" s="9"/>
      <c r="I2086" s="9"/>
      <c r="J2086" s="9"/>
      <c r="K2086" s="9"/>
      <c r="L2086" s="9"/>
      <c r="M2086" s="9"/>
      <c r="N2086" s="10"/>
      <c r="O2086" s="10"/>
      <c r="P2086" s="9"/>
    </row>
    <row r="2087">
      <c r="A2087" s="10"/>
      <c r="B2087" s="9"/>
      <c r="C2087" s="10"/>
      <c r="D2087" s="10"/>
      <c r="E2087" s="9"/>
      <c r="F2087" s="9"/>
      <c r="G2087" s="9"/>
      <c r="H2087" s="9"/>
      <c r="I2087" s="9"/>
      <c r="J2087" s="9"/>
      <c r="K2087" s="9"/>
      <c r="L2087" s="9"/>
      <c r="M2087" s="9"/>
      <c r="N2087" s="10"/>
      <c r="O2087" s="10"/>
      <c r="P2087" s="9"/>
    </row>
    <row r="2088">
      <c r="A2088" s="10"/>
      <c r="B2088" s="9"/>
      <c r="C2088" s="10"/>
      <c r="D2088" s="10"/>
      <c r="E2088" s="9"/>
      <c r="F2088" s="9"/>
      <c r="G2088" s="9"/>
      <c r="H2088" s="9"/>
      <c r="I2088" s="9"/>
      <c r="J2088" s="9"/>
      <c r="K2088" s="9"/>
      <c r="L2088" s="9"/>
      <c r="M2088" s="9"/>
      <c r="N2088" s="10"/>
      <c r="O2088" s="10"/>
      <c r="P2088" s="9"/>
    </row>
    <row r="2089">
      <c r="A2089" s="10"/>
      <c r="B2089" s="9"/>
      <c r="C2089" s="10"/>
      <c r="D2089" s="10"/>
      <c r="E2089" s="9"/>
      <c r="F2089" s="9"/>
      <c r="G2089" s="9"/>
      <c r="H2089" s="9"/>
      <c r="I2089" s="9"/>
      <c r="J2089" s="9"/>
      <c r="K2089" s="9"/>
      <c r="L2089" s="9"/>
      <c r="M2089" s="9"/>
      <c r="N2089" s="10"/>
      <c r="O2089" s="10"/>
      <c r="P2089" s="9"/>
    </row>
    <row r="2090">
      <c r="A2090" s="10"/>
      <c r="B2090" s="9"/>
      <c r="C2090" s="10"/>
      <c r="D2090" s="10"/>
      <c r="E2090" s="9"/>
      <c r="F2090" s="9"/>
      <c r="G2090" s="9"/>
      <c r="H2090" s="9"/>
      <c r="I2090" s="9"/>
      <c r="J2090" s="9"/>
      <c r="K2090" s="9"/>
      <c r="L2090" s="9"/>
      <c r="M2090" s="9"/>
      <c r="N2090" s="10"/>
      <c r="O2090" s="10"/>
      <c r="P2090" s="9"/>
    </row>
    <row r="2091">
      <c r="A2091" s="10"/>
      <c r="B2091" s="9"/>
      <c r="C2091" s="10"/>
      <c r="D2091" s="10"/>
      <c r="E2091" s="9"/>
      <c r="F2091" s="9"/>
      <c r="G2091" s="9"/>
      <c r="H2091" s="9"/>
      <c r="I2091" s="9"/>
      <c r="J2091" s="9"/>
      <c r="K2091" s="9"/>
      <c r="L2091" s="9"/>
      <c r="M2091" s="9"/>
      <c r="N2091" s="10"/>
      <c r="O2091" s="10"/>
      <c r="P2091" s="9"/>
    </row>
    <row r="2092">
      <c r="A2092" s="10"/>
      <c r="B2092" s="9"/>
      <c r="C2092" s="10"/>
      <c r="D2092" s="10"/>
      <c r="E2092" s="9"/>
      <c r="F2092" s="9"/>
      <c r="G2092" s="9"/>
      <c r="H2092" s="9"/>
      <c r="I2092" s="9"/>
      <c r="J2092" s="9"/>
      <c r="K2092" s="9"/>
      <c r="L2092" s="9"/>
      <c r="M2092" s="9"/>
      <c r="N2092" s="10"/>
      <c r="O2092" s="10"/>
      <c r="P2092" s="9"/>
    </row>
    <row r="2093">
      <c r="A2093" s="10"/>
      <c r="B2093" s="9"/>
      <c r="C2093" s="10"/>
      <c r="D2093" s="10"/>
      <c r="E2093" s="9"/>
      <c r="F2093" s="9"/>
      <c r="G2093" s="9"/>
      <c r="H2093" s="9"/>
      <c r="I2093" s="9"/>
      <c r="J2093" s="9"/>
      <c r="K2093" s="9"/>
      <c r="L2093" s="9"/>
      <c r="M2093" s="9"/>
      <c r="N2093" s="10"/>
      <c r="O2093" s="10"/>
      <c r="P2093" s="9"/>
    </row>
    <row r="2094">
      <c r="A2094" s="10"/>
      <c r="B2094" s="9"/>
      <c r="C2094" s="10"/>
      <c r="D2094" s="10"/>
      <c r="E2094" s="9"/>
      <c r="F2094" s="9"/>
      <c r="G2094" s="9"/>
      <c r="H2094" s="9"/>
      <c r="I2094" s="9"/>
      <c r="J2094" s="9"/>
      <c r="K2094" s="9"/>
      <c r="L2094" s="9"/>
      <c r="M2094" s="9"/>
      <c r="N2094" s="10"/>
      <c r="O2094" s="10"/>
      <c r="P2094" s="9"/>
    </row>
    <row r="2095">
      <c r="A2095" s="10"/>
      <c r="B2095" s="9"/>
      <c r="C2095" s="10"/>
      <c r="D2095" s="10"/>
      <c r="E2095" s="9"/>
      <c r="F2095" s="9"/>
      <c r="G2095" s="9"/>
      <c r="H2095" s="9"/>
      <c r="I2095" s="9"/>
      <c r="J2095" s="9"/>
      <c r="K2095" s="9"/>
      <c r="L2095" s="9"/>
      <c r="M2095" s="9"/>
      <c r="N2095" s="10"/>
      <c r="O2095" s="10"/>
      <c r="P2095" s="9"/>
    </row>
    <row r="2096">
      <c r="A2096" s="10"/>
      <c r="B2096" s="9"/>
      <c r="C2096" s="10"/>
      <c r="D2096" s="10"/>
      <c r="E2096" s="9"/>
      <c r="F2096" s="9"/>
      <c r="G2096" s="9"/>
      <c r="H2096" s="9"/>
      <c r="I2096" s="9"/>
      <c r="J2096" s="9"/>
      <c r="K2096" s="9"/>
      <c r="L2096" s="9"/>
      <c r="M2096" s="9"/>
      <c r="N2096" s="10"/>
      <c r="O2096" s="10"/>
      <c r="P2096" s="9"/>
    </row>
    <row r="2097">
      <c r="A2097" s="10"/>
      <c r="B2097" s="9"/>
      <c r="C2097" s="10"/>
      <c r="D2097" s="10"/>
      <c r="E2097" s="9"/>
      <c r="F2097" s="9"/>
      <c r="G2097" s="9"/>
      <c r="H2097" s="9"/>
      <c r="I2097" s="9"/>
      <c r="J2097" s="9"/>
      <c r="K2097" s="9"/>
      <c r="L2097" s="9"/>
      <c r="M2097" s="9"/>
      <c r="N2097" s="10"/>
      <c r="O2097" s="10"/>
      <c r="P2097" s="9"/>
    </row>
    <row r="2098">
      <c r="A2098" s="10"/>
      <c r="B2098" s="9"/>
      <c r="C2098" s="10"/>
      <c r="D2098" s="10"/>
      <c r="E2098" s="9"/>
      <c r="F2098" s="9"/>
      <c r="G2098" s="9"/>
      <c r="H2098" s="9"/>
      <c r="I2098" s="9"/>
      <c r="J2098" s="9"/>
      <c r="K2098" s="9"/>
      <c r="L2098" s="9"/>
      <c r="M2098" s="9"/>
      <c r="N2098" s="10"/>
      <c r="O2098" s="10"/>
      <c r="P2098" s="9"/>
    </row>
    <row r="2099">
      <c r="A2099" s="10"/>
      <c r="B2099" s="9"/>
      <c r="C2099" s="10"/>
      <c r="D2099" s="10"/>
      <c r="E2099" s="9"/>
      <c r="F2099" s="9"/>
      <c r="G2099" s="9"/>
      <c r="H2099" s="9"/>
      <c r="I2099" s="9"/>
      <c r="J2099" s="9"/>
      <c r="K2099" s="9"/>
      <c r="L2099" s="9"/>
      <c r="M2099" s="9"/>
      <c r="N2099" s="10"/>
      <c r="O2099" s="10"/>
      <c r="P2099" s="9"/>
    </row>
    <row r="2100">
      <c r="A2100" s="10"/>
      <c r="B2100" s="9"/>
      <c r="C2100" s="10"/>
      <c r="D2100" s="10"/>
      <c r="E2100" s="9"/>
      <c r="F2100" s="9"/>
      <c r="G2100" s="9"/>
      <c r="H2100" s="9"/>
      <c r="I2100" s="9"/>
      <c r="J2100" s="9"/>
      <c r="K2100" s="9"/>
      <c r="L2100" s="9"/>
      <c r="M2100" s="9"/>
      <c r="N2100" s="10"/>
      <c r="O2100" s="10"/>
      <c r="P2100" s="9"/>
    </row>
    <row r="2101">
      <c r="A2101" s="10"/>
      <c r="B2101" s="9"/>
      <c r="C2101" s="10"/>
      <c r="D2101" s="10"/>
      <c r="E2101" s="9"/>
      <c r="F2101" s="9"/>
      <c r="G2101" s="9"/>
      <c r="H2101" s="9"/>
      <c r="I2101" s="9"/>
      <c r="J2101" s="9"/>
      <c r="K2101" s="9"/>
      <c r="L2101" s="9"/>
      <c r="M2101" s="9"/>
      <c r="N2101" s="10"/>
      <c r="O2101" s="10"/>
      <c r="P2101" s="9"/>
    </row>
    <row r="2102">
      <c r="A2102" s="10"/>
      <c r="B2102" s="9"/>
      <c r="C2102" s="10"/>
      <c r="D2102" s="10"/>
      <c r="E2102" s="9"/>
      <c r="F2102" s="9"/>
      <c r="G2102" s="9"/>
      <c r="H2102" s="9"/>
      <c r="I2102" s="9"/>
      <c r="J2102" s="9"/>
      <c r="K2102" s="9"/>
      <c r="L2102" s="9"/>
      <c r="M2102" s="9"/>
      <c r="N2102" s="10"/>
      <c r="O2102" s="10"/>
      <c r="P2102" s="9"/>
    </row>
    <row r="2103">
      <c r="A2103" s="10"/>
      <c r="B2103" s="9"/>
      <c r="C2103" s="10"/>
      <c r="D2103" s="10"/>
      <c r="E2103" s="9"/>
      <c r="F2103" s="9"/>
      <c r="G2103" s="9"/>
      <c r="H2103" s="9"/>
      <c r="I2103" s="9"/>
      <c r="J2103" s="9"/>
      <c r="K2103" s="9"/>
      <c r="L2103" s="9"/>
      <c r="M2103" s="9"/>
      <c r="N2103" s="10"/>
      <c r="O2103" s="10"/>
      <c r="P2103" s="9"/>
    </row>
    <row r="2104">
      <c r="A2104" s="10"/>
      <c r="B2104" s="9"/>
      <c r="C2104" s="10"/>
      <c r="D2104" s="10"/>
      <c r="E2104" s="9"/>
      <c r="F2104" s="9"/>
      <c r="G2104" s="9"/>
      <c r="H2104" s="9"/>
      <c r="I2104" s="9"/>
      <c r="J2104" s="9"/>
      <c r="K2104" s="9"/>
      <c r="L2104" s="9"/>
      <c r="M2104" s="9"/>
      <c r="N2104" s="10"/>
      <c r="O2104" s="10"/>
      <c r="P2104" s="9"/>
    </row>
    <row r="2105">
      <c r="A2105" s="10"/>
      <c r="B2105" s="9"/>
      <c r="C2105" s="10"/>
      <c r="D2105" s="10"/>
      <c r="E2105" s="9"/>
      <c r="F2105" s="9"/>
      <c r="G2105" s="9"/>
      <c r="H2105" s="9"/>
      <c r="I2105" s="9"/>
      <c r="J2105" s="9"/>
      <c r="K2105" s="9"/>
      <c r="L2105" s="9"/>
      <c r="M2105" s="9"/>
      <c r="N2105" s="10"/>
      <c r="O2105" s="10"/>
      <c r="P2105" s="9"/>
    </row>
    <row r="2106">
      <c r="A2106" s="10"/>
      <c r="B2106" s="9"/>
      <c r="C2106" s="10"/>
      <c r="D2106" s="10"/>
      <c r="E2106" s="9"/>
      <c r="F2106" s="9"/>
      <c r="G2106" s="9"/>
      <c r="H2106" s="9"/>
      <c r="I2106" s="9"/>
      <c r="J2106" s="9"/>
      <c r="K2106" s="9"/>
      <c r="L2106" s="9"/>
      <c r="M2106" s="9"/>
      <c r="N2106" s="10"/>
      <c r="O2106" s="10"/>
      <c r="P2106" s="9"/>
    </row>
    <row r="2107">
      <c r="A2107" s="10"/>
      <c r="B2107" s="9"/>
      <c r="C2107" s="10"/>
      <c r="D2107" s="10"/>
      <c r="E2107" s="9"/>
      <c r="F2107" s="9"/>
      <c r="G2107" s="9"/>
      <c r="H2107" s="9"/>
      <c r="I2107" s="9"/>
      <c r="J2107" s="9"/>
      <c r="K2107" s="9"/>
      <c r="L2107" s="9"/>
      <c r="M2107" s="9"/>
      <c r="N2107" s="10"/>
      <c r="O2107" s="10"/>
      <c r="P2107" s="9"/>
    </row>
    <row r="2108">
      <c r="A2108" s="10"/>
      <c r="B2108" s="9"/>
      <c r="C2108" s="10"/>
      <c r="D2108" s="10"/>
      <c r="E2108" s="9"/>
      <c r="F2108" s="9"/>
      <c r="G2108" s="9"/>
      <c r="H2108" s="9"/>
      <c r="I2108" s="9"/>
      <c r="J2108" s="9"/>
      <c r="K2108" s="9"/>
      <c r="L2108" s="9"/>
      <c r="M2108" s="9"/>
      <c r="N2108" s="10"/>
      <c r="O2108" s="10"/>
      <c r="P2108" s="9"/>
    </row>
    <row r="2109">
      <c r="A2109" s="10"/>
      <c r="B2109" s="9"/>
      <c r="C2109" s="10"/>
      <c r="D2109" s="10"/>
      <c r="E2109" s="9"/>
      <c r="F2109" s="9"/>
      <c r="G2109" s="9"/>
      <c r="H2109" s="9"/>
      <c r="I2109" s="9"/>
      <c r="J2109" s="9"/>
      <c r="K2109" s="9"/>
      <c r="L2109" s="9"/>
      <c r="M2109" s="9"/>
      <c r="N2109" s="10"/>
      <c r="O2109" s="10"/>
      <c r="P2109" s="9"/>
    </row>
    <row r="2110">
      <c r="A2110" s="10"/>
      <c r="B2110" s="9"/>
      <c r="C2110" s="10"/>
      <c r="D2110" s="10"/>
      <c r="E2110" s="9"/>
      <c r="F2110" s="9"/>
      <c r="G2110" s="9"/>
      <c r="H2110" s="9"/>
      <c r="I2110" s="9"/>
      <c r="J2110" s="9"/>
      <c r="K2110" s="9"/>
      <c r="L2110" s="9"/>
      <c r="M2110" s="9"/>
      <c r="N2110" s="10"/>
      <c r="O2110" s="10"/>
      <c r="P2110" s="9"/>
    </row>
    <row r="2111">
      <c r="A2111" s="10"/>
      <c r="B2111" s="9"/>
      <c r="C2111" s="10"/>
      <c r="D2111" s="10"/>
      <c r="E2111" s="9"/>
      <c r="F2111" s="9"/>
      <c r="G2111" s="9"/>
      <c r="H2111" s="9"/>
      <c r="I2111" s="9"/>
      <c r="J2111" s="9"/>
      <c r="K2111" s="9"/>
      <c r="L2111" s="9"/>
      <c r="M2111" s="9"/>
      <c r="N2111" s="10"/>
      <c r="O2111" s="10"/>
      <c r="P2111" s="9"/>
    </row>
    <row r="2112">
      <c r="A2112" s="10"/>
      <c r="B2112" s="9"/>
      <c r="C2112" s="10"/>
      <c r="D2112" s="10"/>
      <c r="E2112" s="9"/>
      <c r="F2112" s="9"/>
      <c r="G2112" s="9"/>
      <c r="H2112" s="9"/>
      <c r="I2112" s="9"/>
      <c r="J2112" s="9"/>
      <c r="K2112" s="9"/>
      <c r="L2112" s="9"/>
      <c r="M2112" s="9"/>
      <c r="N2112" s="10"/>
      <c r="O2112" s="10"/>
      <c r="P2112" s="9"/>
    </row>
    <row r="2113">
      <c r="A2113" s="10"/>
      <c r="B2113" s="9"/>
      <c r="C2113" s="10"/>
      <c r="D2113" s="10"/>
      <c r="E2113" s="9"/>
      <c r="F2113" s="9"/>
      <c r="G2113" s="9"/>
      <c r="H2113" s="9"/>
      <c r="I2113" s="9"/>
      <c r="J2113" s="9"/>
      <c r="K2113" s="9"/>
      <c r="L2113" s="9"/>
      <c r="M2113" s="9"/>
      <c r="N2113" s="10"/>
      <c r="O2113" s="10"/>
      <c r="P2113" s="9"/>
    </row>
    <row r="2114">
      <c r="A2114" s="10"/>
      <c r="B2114" s="9"/>
      <c r="C2114" s="10"/>
      <c r="D2114" s="10"/>
      <c r="E2114" s="9"/>
      <c r="F2114" s="9"/>
      <c r="G2114" s="9"/>
      <c r="H2114" s="9"/>
      <c r="I2114" s="9"/>
      <c r="J2114" s="9"/>
      <c r="K2114" s="9"/>
      <c r="L2114" s="9"/>
      <c r="M2114" s="9"/>
      <c r="N2114" s="10"/>
      <c r="O2114" s="10"/>
      <c r="P2114" s="9"/>
    </row>
    <row r="2115">
      <c r="A2115" s="10"/>
      <c r="B2115" s="9"/>
      <c r="C2115" s="10"/>
      <c r="D2115" s="10"/>
      <c r="E2115" s="9"/>
      <c r="F2115" s="9"/>
      <c r="G2115" s="9"/>
      <c r="H2115" s="9"/>
      <c r="I2115" s="9"/>
      <c r="J2115" s="9"/>
      <c r="K2115" s="9"/>
      <c r="L2115" s="9"/>
      <c r="M2115" s="9"/>
      <c r="N2115" s="10"/>
      <c r="O2115" s="10"/>
      <c r="P2115" s="9"/>
    </row>
    <row r="2116">
      <c r="A2116" s="10"/>
      <c r="B2116" s="9"/>
      <c r="C2116" s="10"/>
      <c r="D2116" s="10"/>
      <c r="E2116" s="9"/>
      <c r="F2116" s="9"/>
      <c r="G2116" s="9"/>
      <c r="H2116" s="9"/>
      <c r="I2116" s="9"/>
      <c r="J2116" s="9"/>
      <c r="K2116" s="9"/>
      <c r="L2116" s="9"/>
      <c r="M2116" s="9"/>
      <c r="N2116" s="10"/>
      <c r="O2116" s="10"/>
      <c r="P2116" s="9"/>
    </row>
    <row r="2117">
      <c r="A2117" s="10"/>
      <c r="B2117" s="9"/>
      <c r="C2117" s="10"/>
      <c r="D2117" s="10"/>
      <c r="E2117" s="9"/>
      <c r="F2117" s="9"/>
      <c r="G2117" s="9"/>
      <c r="H2117" s="9"/>
      <c r="I2117" s="9"/>
      <c r="J2117" s="9"/>
      <c r="K2117" s="9"/>
      <c r="L2117" s="9"/>
      <c r="M2117" s="9"/>
      <c r="N2117" s="10"/>
      <c r="O2117" s="10"/>
      <c r="P2117" s="9"/>
    </row>
    <row r="2118">
      <c r="A2118" s="10"/>
      <c r="B2118" s="9"/>
      <c r="C2118" s="10"/>
      <c r="D2118" s="10"/>
      <c r="E2118" s="9"/>
      <c r="F2118" s="9"/>
      <c r="G2118" s="9"/>
      <c r="H2118" s="9"/>
      <c r="I2118" s="9"/>
      <c r="J2118" s="9"/>
      <c r="K2118" s="9"/>
      <c r="L2118" s="9"/>
      <c r="M2118" s="9"/>
      <c r="N2118" s="10"/>
      <c r="O2118" s="10"/>
      <c r="P2118" s="9"/>
    </row>
    <row r="2119">
      <c r="A2119" s="10"/>
      <c r="B2119" s="9"/>
      <c r="C2119" s="10"/>
      <c r="D2119" s="10"/>
      <c r="E2119" s="9"/>
      <c r="F2119" s="9"/>
      <c r="G2119" s="9"/>
      <c r="H2119" s="9"/>
      <c r="I2119" s="9"/>
      <c r="J2119" s="9"/>
      <c r="K2119" s="9"/>
      <c r="L2119" s="9"/>
      <c r="M2119" s="9"/>
      <c r="N2119" s="10"/>
      <c r="O2119" s="10"/>
      <c r="P2119" s="9"/>
    </row>
    <row r="2120">
      <c r="A2120" s="10"/>
      <c r="B2120" s="9"/>
      <c r="C2120" s="10"/>
      <c r="D2120" s="10"/>
      <c r="E2120" s="9"/>
      <c r="F2120" s="9"/>
      <c r="G2120" s="9"/>
      <c r="H2120" s="9"/>
      <c r="I2120" s="9"/>
      <c r="J2120" s="9"/>
      <c r="K2120" s="9"/>
      <c r="L2120" s="9"/>
      <c r="M2120" s="9"/>
      <c r="N2120" s="10"/>
      <c r="O2120" s="10"/>
      <c r="P2120" s="9"/>
    </row>
    <row r="2121">
      <c r="A2121" s="10"/>
      <c r="B2121" s="9"/>
      <c r="C2121" s="10"/>
      <c r="D2121" s="10"/>
      <c r="E2121" s="9"/>
      <c r="F2121" s="9"/>
      <c r="G2121" s="9"/>
      <c r="H2121" s="9"/>
      <c r="I2121" s="9"/>
      <c r="J2121" s="9"/>
      <c r="K2121" s="9"/>
      <c r="L2121" s="9"/>
      <c r="M2121" s="9"/>
      <c r="N2121" s="10"/>
      <c r="O2121" s="10"/>
      <c r="P2121" s="9"/>
    </row>
    <row r="2122">
      <c r="A2122" s="10"/>
      <c r="B2122" s="9"/>
      <c r="C2122" s="10"/>
      <c r="D2122" s="10"/>
      <c r="E2122" s="9"/>
      <c r="F2122" s="9"/>
      <c r="G2122" s="9"/>
      <c r="H2122" s="9"/>
      <c r="I2122" s="9"/>
      <c r="J2122" s="9"/>
      <c r="K2122" s="9"/>
      <c r="L2122" s="9"/>
      <c r="M2122" s="9"/>
      <c r="N2122" s="10"/>
      <c r="O2122" s="10"/>
      <c r="P2122" s="9"/>
    </row>
    <row r="2123">
      <c r="A2123" s="10"/>
      <c r="B2123" s="9"/>
      <c r="C2123" s="10"/>
      <c r="D2123" s="10"/>
      <c r="E2123" s="9"/>
      <c r="F2123" s="9"/>
      <c r="G2123" s="9"/>
      <c r="H2123" s="9"/>
      <c r="I2123" s="9"/>
      <c r="J2123" s="9"/>
      <c r="K2123" s="9"/>
      <c r="L2123" s="9"/>
      <c r="M2123" s="9"/>
      <c r="N2123" s="10"/>
      <c r="O2123" s="10"/>
      <c r="P2123" s="9"/>
    </row>
    <row r="2124">
      <c r="A2124" s="10"/>
      <c r="B2124" s="9"/>
      <c r="C2124" s="10"/>
      <c r="D2124" s="10"/>
      <c r="E2124" s="9"/>
      <c r="F2124" s="9"/>
      <c r="G2124" s="9"/>
      <c r="H2124" s="9"/>
      <c r="I2124" s="9"/>
      <c r="J2124" s="9"/>
      <c r="K2124" s="9"/>
      <c r="L2124" s="9"/>
      <c r="M2124" s="9"/>
      <c r="N2124" s="10"/>
      <c r="O2124" s="10"/>
      <c r="P2124" s="9"/>
    </row>
    <row r="2125">
      <c r="A2125" s="10"/>
      <c r="B2125" s="9"/>
      <c r="C2125" s="10"/>
      <c r="D2125" s="10"/>
      <c r="E2125" s="9"/>
      <c r="F2125" s="9"/>
      <c r="G2125" s="9"/>
      <c r="H2125" s="9"/>
      <c r="I2125" s="9"/>
      <c r="J2125" s="9"/>
      <c r="K2125" s="9"/>
      <c r="L2125" s="9"/>
      <c r="M2125" s="9"/>
      <c r="N2125" s="10"/>
      <c r="O2125" s="10"/>
      <c r="P2125" s="9"/>
    </row>
    <row r="2126">
      <c r="A2126" s="10"/>
      <c r="B2126" s="9"/>
      <c r="C2126" s="10"/>
      <c r="D2126" s="10"/>
      <c r="E2126" s="9"/>
      <c r="F2126" s="9"/>
      <c r="G2126" s="9"/>
      <c r="H2126" s="9"/>
      <c r="I2126" s="9"/>
      <c r="J2126" s="9"/>
      <c r="K2126" s="9"/>
      <c r="L2126" s="9"/>
      <c r="M2126" s="9"/>
      <c r="N2126" s="10"/>
      <c r="O2126" s="10"/>
      <c r="P2126" s="9"/>
    </row>
    <row r="2127">
      <c r="A2127" s="10"/>
      <c r="B2127" s="9"/>
      <c r="C2127" s="10"/>
      <c r="D2127" s="10"/>
      <c r="E2127" s="9"/>
      <c r="F2127" s="9"/>
      <c r="G2127" s="9"/>
      <c r="H2127" s="9"/>
      <c r="I2127" s="9"/>
      <c r="J2127" s="9"/>
      <c r="K2127" s="9"/>
      <c r="L2127" s="9"/>
      <c r="M2127" s="9"/>
      <c r="N2127" s="10"/>
      <c r="O2127" s="10"/>
      <c r="P2127" s="9"/>
    </row>
    <row r="2128">
      <c r="A2128" s="10"/>
      <c r="B2128" s="9"/>
      <c r="C2128" s="10"/>
      <c r="D2128" s="10"/>
      <c r="E2128" s="9"/>
      <c r="F2128" s="9"/>
      <c r="G2128" s="9"/>
      <c r="H2128" s="9"/>
      <c r="I2128" s="9"/>
      <c r="J2128" s="9"/>
      <c r="K2128" s="9"/>
      <c r="L2128" s="9"/>
      <c r="M2128" s="9"/>
      <c r="N2128" s="10"/>
      <c r="O2128" s="10"/>
      <c r="P2128" s="9"/>
    </row>
    <row r="2129">
      <c r="A2129" s="10"/>
      <c r="B2129" s="9"/>
      <c r="C2129" s="10"/>
      <c r="D2129" s="10"/>
      <c r="E2129" s="9"/>
      <c r="F2129" s="9"/>
      <c r="G2129" s="9"/>
      <c r="H2129" s="9"/>
      <c r="I2129" s="9"/>
      <c r="J2129" s="9"/>
      <c r="K2129" s="9"/>
      <c r="L2129" s="9"/>
      <c r="M2129" s="9"/>
      <c r="N2129" s="10"/>
      <c r="O2129" s="10"/>
      <c r="P2129" s="9"/>
    </row>
    <row r="2130">
      <c r="A2130" s="10"/>
      <c r="B2130" s="9"/>
      <c r="C2130" s="10"/>
      <c r="D2130" s="10"/>
      <c r="E2130" s="9"/>
      <c r="F2130" s="9"/>
      <c r="G2130" s="9"/>
      <c r="H2130" s="9"/>
      <c r="I2130" s="9"/>
      <c r="J2130" s="9"/>
      <c r="K2130" s="9"/>
      <c r="L2130" s="9"/>
      <c r="M2130" s="9"/>
      <c r="N2130" s="10"/>
      <c r="O2130" s="10"/>
      <c r="P2130" s="9"/>
    </row>
    <row r="2131">
      <c r="A2131" s="10"/>
      <c r="B2131" s="9"/>
      <c r="C2131" s="10"/>
      <c r="D2131" s="10"/>
      <c r="E2131" s="9"/>
      <c r="F2131" s="9"/>
      <c r="G2131" s="9"/>
      <c r="H2131" s="9"/>
      <c r="I2131" s="9"/>
      <c r="J2131" s="9"/>
      <c r="K2131" s="9"/>
      <c r="L2131" s="9"/>
      <c r="M2131" s="9"/>
      <c r="N2131" s="10"/>
      <c r="O2131" s="10"/>
      <c r="P2131" s="9"/>
    </row>
    <row r="2132">
      <c r="A2132" s="10"/>
      <c r="B2132" s="9"/>
      <c r="C2132" s="10"/>
      <c r="D2132" s="10"/>
      <c r="E2132" s="9"/>
      <c r="F2132" s="9"/>
      <c r="G2132" s="9"/>
      <c r="H2132" s="9"/>
      <c r="I2132" s="9"/>
      <c r="J2132" s="9"/>
      <c r="K2132" s="9"/>
      <c r="L2132" s="9"/>
      <c r="M2132" s="9"/>
      <c r="N2132" s="10"/>
      <c r="O2132" s="10"/>
      <c r="P2132" s="9"/>
    </row>
    <row r="2133">
      <c r="A2133" s="10"/>
      <c r="B2133" s="9"/>
      <c r="C2133" s="10"/>
      <c r="D2133" s="10"/>
      <c r="E2133" s="9"/>
      <c r="F2133" s="9"/>
      <c r="G2133" s="9"/>
      <c r="H2133" s="9"/>
      <c r="I2133" s="9"/>
      <c r="J2133" s="9"/>
      <c r="K2133" s="9"/>
      <c r="L2133" s="9"/>
      <c r="M2133" s="9"/>
      <c r="N2133" s="10"/>
      <c r="O2133" s="10"/>
      <c r="P2133" s="9"/>
    </row>
    <row r="2134">
      <c r="A2134" s="10"/>
      <c r="B2134" s="9"/>
      <c r="C2134" s="10"/>
      <c r="D2134" s="10"/>
      <c r="E2134" s="9"/>
      <c r="F2134" s="9"/>
      <c r="G2134" s="9"/>
      <c r="H2134" s="9"/>
      <c r="I2134" s="9"/>
      <c r="J2134" s="9"/>
      <c r="K2134" s="9"/>
      <c r="L2134" s="9"/>
      <c r="M2134" s="9"/>
      <c r="N2134" s="10"/>
      <c r="O2134" s="10"/>
      <c r="P2134" s="9"/>
    </row>
    <row r="2135">
      <c r="A2135" s="10"/>
      <c r="B2135" s="9"/>
      <c r="C2135" s="10"/>
      <c r="D2135" s="10"/>
      <c r="E2135" s="9"/>
      <c r="F2135" s="9"/>
      <c r="G2135" s="9"/>
      <c r="H2135" s="9"/>
      <c r="I2135" s="9"/>
      <c r="J2135" s="9"/>
      <c r="K2135" s="9"/>
      <c r="L2135" s="9"/>
      <c r="M2135" s="9"/>
      <c r="N2135" s="10"/>
      <c r="O2135" s="10"/>
      <c r="P2135" s="9"/>
    </row>
    <row r="2136">
      <c r="A2136" s="10"/>
      <c r="B2136" s="9"/>
      <c r="C2136" s="10"/>
      <c r="D2136" s="10"/>
      <c r="E2136" s="9"/>
      <c r="F2136" s="9"/>
      <c r="G2136" s="9"/>
      <c r="H2136" s="9"/>
      <c r="I2136" s="9"/>
      <c r="J2136" s="9"/>
      <c r="K2136" s="9"/>
      <c r="L2136" s="9"/>
      <c r="M2136" s="9"/>
      <c r="N2136" s="10"/>
      <c r="O2136" s="10"/>
      <c r="P2136" s="9"/>
    </row>
    <row r="2137">
      <c r="A2137" s="10"/>
      <c r="B2137" s="9"/>
      <c r="C2137" s="10"/>
      <c r="D2137" s="10"/>
      <c r="E2137" s="9"/>
      <c r="F2137" s="9"/>
      <c r="G2137" s="9"/>
      <c r="H2137" s="9"/>
      <c r="I2137" s="9"/>
      <c r="J2137" s="9"/>
      <c r="K2137" s="9"/>
      <c r="L2137" s="9"/>
      <c r="M2137" s="9"/>
      <c r="N2137" s="10"/>
      <c r="O2137" s="10"/>
      <c r="P2137" s="9"/>
    </row>
    <row r="2138">
      <c r="A2138" s="10"/>
      <c r="B2138" s="9"/>
      <c r="C2138" s="10"/>
      <c r="D2138" s="10"/>
      <c r="E2138" s="9"/>
      <c r="F2138" s="9"/>
      <c r="G2138" s="9"/>
      <c r="H2138" s="9"/>
      <c r="I2138" s="9"/>
      <c r="J2138" s="9"/>
      <c r="K2138" s="9"/>
      <c r="L2138" s="9"/>
      <c r="M2138" s="9"/>
      <c r="N2138" s="10"/>
      <c r="O2138" s="10"/>
      <c r="P2138" s="9"/>
    </row>
    <row r="2139">
      <c r="A2139" s="10"/>
      <c r="B2139" s="9"/>
      <c r="C2139" s="10"/>
      <c r="D2139" s="10"/>
      <c r="E2139" s="9"/>
      <c r="F2139" s="9"/>
      <c r="G2139" s="9"/>
      <c r="H2139" s="9"/>
      <c r="I2139" s="9"/>
      <c r="J2139" s="9"/>
      <c r="K2139" s="9"/>
      <c r="L2139" s="9"/>
      <c r="M2139" s="9"/>
      <c r="N2139" s="10"/>
      <c r="O2139" s="10"/>
      <c r="P2139" s="9"/>
    </row>
    <row r="2140">
      <c r="A2140" s="10"/>
      <c r="B2140" s="9"/>
      <c r="C2140" s="10"/>
      <c r="D2140" s="10"/>
      <c r="E2140" s="9"/>
      <c r="F2140" s="9"/>
      <c r="G2140" s="9"/>
      <c r="H2140" s="9"/>
      <c r="I2140" s="9"/>
      <c r="J2140" s="9"/>
      <c r="K2140" s="9"/>
      <c r="L2140" s="9"/>
      <c r="M2140" s="9"/>
      <c r="N2140" s="10"/>
      <c r="O2140" s="10"/>
      <c r="P2140" s="9"/>
    </row>
    <row r="2141">
      <c r="A2141" s="10"/>
      <c r="B2141" s="9"/>
      <c r="C2141" s="10"/>
      <c r="D2141" s="10"/>
      <c r="E2141" s="9"/>
      <c r="F2141" s="9"/>
      <c r="G2141" s="9"/>
      <c r="H2141" s="9"/>
      <c r="I2141" s="9"/>
      <c r="J2141" s="9"/>
      <c r="K2141" s="9"/>
      <c r="L2141" s="9"/>
      <c r="M2141" s="9"/>
      <c r="N2141" s="10"/>
      <c r="O2141" s="10"/>
      <c r="P2141" s="9"/>
    </row>
    <row r="2142">
      <c r="A2142" s="10"/>
      <c r="B2142" s="9"/>
      <c r="C2142" s="10"/>
      <c r="D2142" s="10"/>
      <c r="E2142" s="9"/>
      <c r="F2142" s="9"/>
      <c r="G2142" s="9"/>
      <c r="H2142" s="9"/>
      <c r="I2142" s="9"/>
      <c r="J2142" s="9"/>
      <c r="K2142" s="9"/>
      <c r="L2142" s="9"/>
      <c r="M2142" s="9"/>
      <c r="N2142" s="10"/>
      <c r="O2142" s="10"/>
      <c r="P2142" s="9"/>
    </row>
    <row r="2143">
      <c r="A2143" s="10"/>
      <c r="B2143" s="9"/>
      <c r="C2143" s="10"/>
      <c r="D2143" s="10"/>
      <c r="E2143" s="9"/>
      <c r="F2143" s="9"/>
      <c r="G2143" s="9"/>
      <c r="H2143" s="9"/>
      <c r="I2143" s="9"/>
      <c r="J2143" s="9"/>
      <c r="K2143" s="9"/>
      <c r="L2143" s="9"/>
      <c r="M2143" s="9"/>
      <c r="N2143" s="10"/>
      <c r="O2143" s="10"/>
      <c r="P2143" s="9"/>
    </row>
    <row r="2144">
      <c r="A2144" s="10"/>
      <c r="B2144" s="9"/>
      <c r="C2144" s="10"/>
      <c r="D2144" s="10"/>
      <c r="E2144" s="9"/>
      <c r="F2144" s="9"/>
      <c r="G2144" s="9"/>
      <c r="H2144" s="9"/>
      <c r="I2144" s="9"/>
      <c r="J2144" s="9"/>
      <c r="K2144" s="9"/>
      <c r="L2144" s="9"/>
      <c r="M2144" s="9"/>
      <c r="N2144" s="10"/>
      <c r="O2144" s="10"/>
      <c r="P2144" s="9"/>
    </row>
    <row r="2145">
      <c r="A2145" s="10"/>
      <c r="B2145" s="9"/>
      <c r="C2145" s="10"/>
      <c r="D2145" s="10"/>
      <c r="E2145" s="9"/>
      <c r="F2145" s="9"/>
      <c r="G2145" s="9"/>
      <c r="H2145" s="9"/>
      <c r="I2145" s="9"/>
      <c r="J2145" s="9"/>
      <c r="K2145" s="9"/>
      <c r="L2145" s="9"/>
      <c r="M2145" s="9"/>
      <c r="N2145" s="10"/>
      <c r="O2145" s="10"/>
      <c r="P2145" s="9"/>
    </row>
    <row r="2146">
      <c r="A2146" s="10"/>
      <c r="B2146" s="9"/>
      <c r="C2146" s="10"/>
      <c r="D2146" s="10"/>
      <c r="E2146" s="9"/>
      <c r="F2146" s="9"/>
      <c r="G2146" s="9"/>
      <c r="H2146" s="9"/>
      <c r="I2146" s="9"/>
      <c r="J2146" s="9"/>
      <c r="K2146" s="9"/>
      <c r="L2146" s="9"/>
      <c r="M2146" s="9"/>
      <c r="N2146" s="10"/>
      <c r="O2146" s="10"/>
      <c r="P2146" s="9"/>
    </row>
    <row r="2147">
      <c r="A2147" s="10"/>
      <c r="B2147" s="9"/>
      <c r="C2147" s="10"/>
      <c r="D2147" s="10"/>
      <c r="E2147" s="9"/>
      <c r="F2147" s="9"/>
      <c r="G2147" s="9"/>
      <c r="H2147" s="9"/>
      <c r="I2147" s="9"/>
      <c r="J2147" s="9"/>
      <c r="K2147" s="9"/>
      <c r="L2147" s="9"/>
      <c r="M2147" s="9"/>
      <c r="N2147" s="10"/>
      <c r="O2147" s="10"/>
      <c r="P2147" s="9"/>
    </row>
    <row r="2148">
      <c r="A2148" s="10"/>
      <c r="B2148" s="9"/>
      <c r="C2148" s="10"/>
      <c r="D2148" s="10"/>
      <c r="E2148" s="9"/>
      <c r="F2148" s="9"/>
      <c r="G2148" s="9"/>
      <c r="H2148" s="9"/>
      <c r="I2148" s="9"/>
      <c r="J2148" s="9"/>
      <c r="K2148" s="9"/>
      <c r="L2148" s="9"/>
      <c r="M2148" s="9"/>
      <c r="N2148" s="10"/>
      <c r="O2148" s="10"/>
      <c r="P2148" s="9"/>
    </row>
    <row r="2149">
      <c r="A2149" s="10"/>
      <c r="B2149" s="9"/>
      <c r="C2149" s="10"/>
      <c r="D2149" s="10"/>
      <c r="E2149" s="9"/>
      <c r="F2149" s="9"/>
      <c r="G2149" s="9"/>
      <c r="H2149" s="9"/>
      <c r="I2149" s="9"/>
      <c r="J2149" s="9"/>
      <c r="K2149" s="9"/>
      <c r="L2149" s="9"/>
      <c r="M2149" s="9"/>
      <c r="N2149" s="10"/>
      <c r="O2149" s="10"/>
      <c r="P2149" s="9"/>
    </row>
    <row r="2150">
      <c r="A2150" s="10"/>
      <c r="B2150" s="9"/>
      <c r="C2150" s="10"/>
      <c r="D2150" s="10"/>
      <c r="E2150" s="9"/>
      <c r="F2150" s="9"/>
      <c r="G2150" s="9"/>
      <c r="H2150" s="9"/>
      <c r="I2150" s="9"/>
      <c r="J2150" s="9"/>
      <c r="K2150" s="9"/>
      <c r="L2150" s="9"/>
      <c r="M2150" s="9"/>
      <c r="N2150" s="10"/>
      <c r="O2150" s="10"/>
      <c r="P2150" s="9"/>
    </row>
    <row r="2151">
      <c r="A2151" s="10"/>
      <c r="B2151" s="9"/>
      <c r="C2151" s="10"/>
      <c r="D2151" s="10"/>
      <c r="E2151" s="9"/>
      <c r="F2151" s="9"/>
      <c r="G2151" s="9"/>
      <c r="H2151" s="9"/>
      <c r="I2151" s="9"/>
      <c r="J2151" s="9"/>
      <c r="K2151" s="9"/>
      <c r="L2151" s="9"/>
      <c r="M2151" s="9"/>
      <c r="N2151" s="10"/>
      <c r="O2151" s="10"/>
      <c r="P2151" s="9"/>
    </row>
    <row r="2152">
      <c r="A2152" s="10"/>
      <c r="B2152" s="9"/>
      <c r="C2152" s="10"/>
      <c r="D2152" s="10"/>
      <c r="E2152" s="9"/>
      <c r="F2152" s="9"/>
      <c r="G2152" s="9"/>
      <c r="H2152" s="9"/>
      <c r="I2152" s="9"/>
      <c r="J2152" s="9"/>
      <c r="K2152" s="9"/>
      <c r="L2152" s="9"/>
      <c r="M2152" s="9"/>
      <c r="N2152" s="10"/>
      <c r="O2152" s="10"/>
      <c r="P2152" s="9"/>
    </row>
    <row r="2153">
      <c r="A2153" s="10"/>
      <c r="B2153" s="9"/>
      <c r="C2153" s="10"/>
      <c r="D2153" s="10"/>
      <c r="E2153" s="9"/>
      <c r="F2153" s="9"/>
      <c r="G2153" s="9"/>
      <c r="H2153" s="9"/>
      <c r="I2153" s="9"/>
      <c r="J2153" s="9"/>
      <c r="K2153" s="9"/>
      <c r="L2153" s="9"/>
      <c r="M2153" s="9"/>
      <c r="N2153" s="10"/>
      <c r="O2153" s="10"/>
      <c r="P2153" s="9"/>
    </row>
    <row r="2154">
      <c r="A2154" s="10"/>
      <c r="B2154" s="9"/>
      <c r="C2154" s="10"/>
      <c r="D2154" s="10"/>
      <c r="E2154" s="9"/>
      <c r="F2154" s="9"/>
      <c r="G2154" s="9"/>
      <c r="H2154" s="9"/>
      <c r="I2154" s="9"/>
      <c r="J2154" s="9"/>
      <c r="K2154" s="9"/>
      <c r="L2154" s="9"/>
      <c r="M2154" s="9"/>
      <c r="N2154" s="10"/>
      <c r="O2154" s="10"/>
      <c r="P2154" s="9"/>
    </row>
    <row r="2155">
      <c r="A2155" s="10"/>
      <c r="B2155" s="9"/>
      <c r="C2155" s="10"/>
      <c r="D2155" s="10"/>
      <c r="E2155" s="9"/>
      <c r="F2155" s="9"/>
      <c r="G2155" s="9"/>
      <c r="H2155" s="9"/>
      <c r="I2155" s="9"/>
      <c r="J2155" s="9"/>
      <c r="K2155" s="9"/>
      <c r="L2155" s="9"/>
      <c r="M2155" s="9"/>
      <c r="N2155" s="10"/>
      <c r="O2155" s="10"/>
      <c r="P2155" s="9"/>
    </row>
    <row r="2156">
      <c r="A2156" s="10"/>
      <c r="B2156" s="9"/>
      <c r="C2156" s="10"/>
      <c r="D2156" s="10"/>
      <c r="E2156" s="9"/>
      <c r="F2156" s="9"/>
      <c r="G2156" s="9"/>
      <c r="H2156" s="9"/>
      <c r="I2156" s="9"/>
      <c r="J2156" s="9"/>
      <c r="K2156" s="9"/>
      <c r="L2156" s="9"/>
      <c r="M2156" s="9"/>
      <c r="N2156" s="10"/>
      <c r="O2156" s="10"/>
      <c r="P2156" s="9"/>
    </row>
    <row r="2157">
      <c r="A2157" s="10"/>
      <c r="B2157" s="9"/>
      <c r="C2157" s="10"/>
      <c r="D2157" s="10"/>
      <c r="E2157" s="9"/>
      <c r="F2157" s="9"/>
      <c r="G2157" s="9"/>
      <c r="H2157" s="9"/>
      <c r="I2157" s="9"/>
      <c r="J2157" s="9"/>
      <c r="K2157" s="9"/>
      <c r="L2157" s="9"/>
      <c r="M2157" s="9"/>
      <c r="N2157" s="10"/>
      <c r="O2157" s="10"/>
      <c r="P2157" s="9"/>
    </row>
    <row r="2158">
      <c r="A2158" s="10"/>
      <c r="B2158" s="9"/>
      <c r="C2158" s="10"/>
      <c r="D2158" s="10"/>
      <c r="E2158" s="9"/>
      <c r="F2158" s="9"/>
      <c r="G2158" s="9"/>
      <c r="H2158" s="9"/>
      <c r="I2158" s="9"/>
      <c r="J2158" s="9"/>
      <c r="K2158" s="9"/>
      <c r="L2158" s="9"/>
      <c r="M2158" s="9"/>
      <c r="N2158" s="10"/>
      <c r="O2158" s="10"/>
      <c r="P2158" s="9"/>
    </row>
    <row r="2159">
      <c r="A2159" s="10"/>
      <c r="B2159" s="9"/>
      <c r="C2159" s="10"/>
      <c r="D2159" s="10"/>
      <c r="E2159" s="9"/>
      <c r="F2159" s="9"/>
      <c r="G2159" s="9"/>
      <c r="H2159" s="9"/>
      <c r="I2159" s="9"/>
      <c r="J2159" s="9"/>
      <c r="K2159" s="9"/>
      <c r="L2159" s="9"/>
      <c r="M2159" s="9"/>
      <c r="N2159" s="10"/>
      <c r="O2159" s="10"/>
      <c r="P2159" s="9"/>
    </row>
    <row r="2160">
      <c r="A2160" s="10"/>
      <c r="B2160" s="9"/>
      <c r="C2160" s="10"/>
      <c r="D2160" s="10"/>
      <c r="E2160" s="9"/>
      <c r="F2160" s="9"/>
      <c r="G2160" s="9"/>
      <c r="H2160" s="9"/>
      <c r="I2160" s="9"/>
      <c r="J2160" s="9"/>
      <c r="K2160" s="9"/>
      <c r="L2160" s="9"/>
      <c r="M2160" s="9"/>
      <c r="N2160" s="10"/>
      <c r="O2160" s="10"/>
      <c r="P2160" s="9"/>
    </row>
    <row r="2161">
      <c r="A2161" s="10"/>
      <c r="B2161" s="9"/>
      <c r="C2161" s="10"/>
      <c r="D2161" s="10"/>
      <c r="E2161" s="9"/>
      <c r="F2161" s="9"/>
      <c r="G2161" s="9"/>
      <c r="H2161" s="9"/>
      <c r="I2161" s="9"/>
      <c r="J2161" s="9"/>
      <c r="K2161" s="9"/>
      <c r="L2161" s="9"/>
      <c r="M2161" s="9"/>
      <c r="N2161" s="10"/>
      <c r="O2161" s="10"/>
      <c r="P2161" s="9"/>
    </row>
    <row r="2162">
      <c r="A2162" s="10"/>
      <c r="B2162" s="9"/>
      <c r="C2162" s="10"/>
      <c r="D2162" s="10"/>
      <c r="E2162" s="9"/>
      <c r="F2162" s="9"/>
      <c r="G2162" s="9"/>
      <c r="H2162" s="9"/>
      <c r="I2162" s="9"/>
      <c r="J2162" s="9"/>
      <c r="K2162" s="9"/>
      <c r="L2162" s="9"/>
      <c r="M2162" s="9"/>
      <c r="N2162" s="10"/>
      <c r="O2162" s="10"/>
      <c r="P2162" s="9"/>
    </row>
    <row r="2163">
      <c r="A2163" s="10"/>
      <c r="B2163" s="9"/>
      <c r="C2163" s="10"/>
      <c r="D2163" s="10"/>
      <c r="E2163" s="9"/>
      <c r="F2163" s="9"/>
      <c r="G2163" s="9"/>
      <c r="H2163" s="9"/>
      <c r="I2163" s="9"/>
      <c r="J2163" s="9"/>
      <c r="K2163" s="9"/>
      <c r="L2163" s="9"/>
      <c r="M2163" s="9"/>
      <c r="N2163" s="10"/>
      <c r="O2163" s="10"/>
      <c r="P2163" s="9"/>
    </row>
    <row r="2164">
      <c r="A2164" s="10"/>
      <c r="B2164" s="9"/>
      <c r="C2164" s="10"/>
      <c r="D2164" s="10"/>
      <c r="E2164" s="9"/>
      <c r="F2164" s="9"/>
      <c r="G2164" s="9"/>
      <c r="H2164" s="9"/>
      <c r="I2164" s="9"/>
      <c r="J2164" s="9"/>
      <c r="K2164" s="9"/>
      <c r="L2164" s="9"/>
      <c r="M2164" s="9"/>
      <c r="N2164" s="10"/>
      <c r="O2164" s="10"/>
      <c r="P2164" s="9"/>
    </row>
    <row r="2165">
      <c r="A2165" s="10"/>
      <c r="B2165" s="9"/>
      <c r="C2165" s="10"/>
      <c r="D2165" s="10"/>
      <c r="E2165" s="9"/>
      <c r="F2165" s="9"/>
      <c r="G2165" s="9"/>
      <c r="H2165" s="9"/>
      <c r="I2165" s="9"/>
      <c r="J2165" s="9"/>
      <c r="K2165" s="9"/>
      <c r="L2165" s="9"/>
      <c r="M2165" s="9"/>
      <c r="N2165" s="10"/>
      <c r="O2165" s="10"/>
      <c r="P2165" s="9"/>
    </row>
    <row r="2166">
      <c r="A2166" s="10"/>
      <c r="B2166" s="9"/>
      <c r="C2166" s="10"/>
      <c r="D2166" s="10"/>
      <c r="E2166" s="9"/>
      <c r="F2166" s="9"/>
      <c r="G2166" s="9"/>
      <c r="H2166" s="9"/>
      <c r="I2166" s="9"/>
      <c r="J2166" s="9"/>
      <c r="K2166" s="9"/>
      <c r="L2166" s="9"/>
      <c r="M2166" s="9"/>
      <c r="N2166" s="10"/>
      <c r="O2166" s="10"/>
      <c r="P2166" s="9"/>
    </row>
    <row r="2167">
      <c r="A2167" s="10"/>
      <c r="B2167" s="9"/>
      <c r="C2167" s="10"/>
      <c r="D2167" s="10"/>
      <c r="E2167" s="9"/>
      <c r="F2167" s="9"/>
      <c r="G2167" s="9"/>
      <c r="H2167" s="9"/>
      <c r="I2167" s="9"/>
      <c r="J2167" s="9"/>
      <c r="K2167" s="9"/>
      <c r="L2167" s="9"/>
      <c r="M2167" s="9"/>
      <c r="N2167" s="10"/>
      <c r="O2167" s="10"/>
      <c r="P2167" s="9"/>
    </row>
    <row r="2168">
      <c r="A2168" s="10"/>
      <c r="B2168" s="9"/>
      <c r="C2168" s="10"/>
      <c r="D2168" s="10"/>
      <c r="E2168" s="9"/>
      <c r="F2168" s="9"/>
      <c r="G2168" s="9"/>
      <c r="H2168" s="9"/>
      <c r="I2168" s="9"/>
      <c r="J2168" s="9"/>
      <c r="K2168" s="9"/>
      <c r="L2168" s="9"/>
      <c r="M2168" s="9"/>
      <c r="N2168" s="10"/>
      <c r="O2168" s="10"/>
      <c r="P2168" s="9"/>
    </row>
    <row r="2169">
      <c r="A2169" s="10"/>
      <c r="B2169" s="9"/>
      <c r="C2169" s="10"/>
      <c r="D2169" s="10"/>
      <c r="E2169" s="9"/>
      <c r="F2169" s="9"/>
      <c r="G2169" s="9"/>
      <c r="H2169" s="9"/>
      <c r="I2169" s="9"/>
      <c r="J2169" s="9"/>
      <c r="K2169" s="9"/>
      <c r="L2169" s="9"/>
      <c r="M2169" s="9"/>
      <c r="N2169" s="10"/>
      <c r="O2169" s="10"/>
      <c r="P2169" s="9"/>
    </row>
    <row r="2170">
      <c r="A2170" s="10"/>
      <c r="B2170" s="9"/>
      <c r="C2170" s="10"/>
      <c r="D2170" s="10"/>
      <c r="E2170" s="9"/>
      <c r="F2170" s="9"/>
      <c r="G2170" s="9"/>
      <c r="H2170" s="9"/>
      <c r="I2170" s="9"/>
      <c r="J2170" s="9"/>
      <c r="K2170" s="9"/>
      <c r="L2170" s="9"/>
      <c r="M2170" s="9"/>
      <c r="N2170" s="10"/>
      <c r="O2170" s="10"/>
      <c r="P2170" s="9"/>
    </row>
    <row r="2171">
      <c r="A2171" s="10"/>
      <c r="B2171" s="9"/>
      <c r="C2171" s="10"/>
      <c r="D2171" s="10"/>
      <c r="E2171" s="9"/>
      <c r="F2171" s="9"/>
      <c r="G2171" s="9"/>
      <c r="H2171" s="9"/>
      <c r="I2171" s="9"/>
      <c r="J2171" s="9"/>
      <c r="K2171" s="9"/>
      <c r="L2171" s="9"/>
      <c r="M2171" s="9"/>
      <c r="N2171" s="10"/>
      <c r="O2171" s="10"/>
      <c r="P2171" s="9"/>
    </row>
    <row r="2172">
      <c r="A2172" s="10"/>
      <c r="B2172" s="9"/>
      <c r="C2172" s="10"/>
      <c r="D2172" s="10"/>
      <c r="E2172" s="9"/>
      <c r="F2172" s="9"/>
      <c r="G2172" s="9"/>
      <c r="H2172" s="9"/>
      <c r="I2172" s="9"/>
      <c r="J2172" s="9"/>
      <c r="K2172" s="9"/>
      <c r="L2172" s="9"/>
      <c r="M2172" s="9"/>
      <c r="N2172" s="10"/>
      <c r="O2172" s="10"/>
      <c r="P2172" s="9"/>
    </row>
    <row r="2173">
      <c r="A2173" s="10"/>
      <c r="B2173" s="9"/>
      <c r="C2173" s="10"/>
      <c r="D2173" s="10"/>
      <c r="E2173" s="9"/>
      <c r="F2173" s="9"/>
      <c r="G2173" s="9"/>
      <c r="H2173" s="9"/>
      <c r="I2173" s="9"/>
      <c r="J2173" s="9"/>
      <c r="K2173" s="9"/>
      <c r="L2173" s="9"/>
      <c r="M2173" s="9"/>
      <c r="N2173" s="10"/>
      <c r="O2173" s="10"/>
      <c r="P2173" s="9"/>
    </row>
    <row r="2174">
      <c r="A2174" s="10"/>
      <c r="B2174" s="9"/>
      <c r="C2174" s="10"/>
      <c r="D2174" s="10"/>
      <c r="E2174" s="9"/>
      <c r="F2174" s="9"/>
      <c r="G2174" s="9"/>
      <c r="H2174" s="9"/>
      <c r="I2174" s="9"/>
      <c r="J2174" s="9"/>
      <c r="K2174" s="9"/>
      <c r="L2174" s="9"/>
      <c r="M2174" s="9"/>
      <c r="N2174" s="10"/>
      <c r="O2174" s="10"/>
      <c r="P2174" s="9"/>
    </row>
    <row r="2175">
      <c r="A2175" s="10"/>
      <c r="B2175" s="9"/>
      <c r="C2175" s="10"/>
      <c r="D2175" s="10"/>
      <c r="E2175" s="9"/>
      <c r="F2175" s="9"/>
      <c r="G2175" s="9"/>
      <c r="H2175" s="9"/>
      <c r="I2175" s="9"/>
      <c r="J2175" s="9"/>
      <c r="K2175" s="9"/>
      <c r="L2175" s="9"/>
      <c r="M2175" s="9"/>
      <c r="N2175" s="10"/>
      <c r="O2175" s="10"/>
      <c r="P2175" s="9"/>
    </row>
    <row r="2176">
      <c r="A2176" s="10"/>
      <c r="B2176" s="9"/>
      <c r="C2176" s="10"/>
      <c r="D2176" s="10"/>
      <c r="E2176" s="9"/>
      <c r="F2176" s="9"/>
      <c r="G2176" s="9"/>
      <c r="H2176" s="9"/>
      <c r="I2176" s="9"/>
      <c r="J2176" s="9"/>
      <c r="K2176" s="9"/>
      <c r="L2176" s="9"/>
      <c r="M2176" s="9"/>
      <c r="N2176" s="10"/>
      <c r="O2176" s="10"/>
      <c r="P2176" s="9"/>
    </row>
    <row r="2177">
      <c r="A2177" s="10"/>
      <c r="B2177" s="9"/>
      <c r="C2177" s="10"/>
      <c r="D2177" s="10"/>
      <c r="E2177" s="9"/>
      <c r="F2177" s="9"/>
      <c r="G2177" s="9"/>
      <c r="H2177" s="9"/>
      <c r="I2177" s="9"/>
      <c r="J2177" s="9"/>
      <c r="K2177" s="9"/>
      <c r="L2177" s="9"/>
      <c r="M2177" s="9"/>
      <c r="N2177" s="10"/>
      <c r="O2177" s="10"/>
      <c r="P2177" s="9"/>
    </row>
    <row r="2178">
      <c r="A2178" s="10"/>
      <c r="B2178" s="9"/>
      <c r="C2178" s="10"/>
      <c r="D2178" s="10"/>
      <c r="E2178" s="9"/>
      <c r="F2178" s="9"/>
      <c r="G2178" s="9"/>
      <c r="H2178" s="9"/>
      <c r="I2178" s="9"/>
      <c r="J2178" s="9"/>
      <c r="K2178" s="9"/>
      <c r="L2178" s="9"/>
      <c r="M2178" s="9"/>
      <c r="N2178" s="10"/>
      <c r="O2178" s="10"/>
      <c r="P2178" s="9"/>
    </row>
    <row r="2179">
      <c r="A2179" s="10"/>
      <c r="B2179" s="9"/>
      <c r="C2179" s="10"/>
      <c r="D2179" s="10"/>
      <c r="E2179" s="9"/>
      <c r="F2179" s="9"/>
      <c r="G2179" s="9"/>
      <c r="H2179" s="9"/>
      <c r="I2179" s="9"/>
      <c r="J2179" s="9"/>
      <c r="K2179" s="9"/>
      <c r="L2179" s="9"/>
      <c r="M2179" s="9"/>
      <c r="N2179" s="10"/>
      <c r="O2179" s="10"/>
      <c r="P2179" s="9"/>
    </row>
    <row r="2180">
      <c r="A2180" s="10"/>
      <c r="B2180" s="9"/>
      <c r="C2180" s="10"/>
      <c r="D2180" s="10"/>
      <c r="E2180" s="9"/>
      <c r="F2180" s="9"/>
      <c r="G2180" s="9"/>
      <c r="H2180" s="9"/>
      <c r="I2180" s="9"/>
      <c r="J2180" s="9"/>
      <c r="K2180" s="9"/>
      <c r="L2180" s="9"/>
      <c r="M2180" s="9"/>
      <c r="N2180" s="10"/>
      <c r="O2180" s="10"/>
      <c r="P2180" s="9"/>
    </row>
    <row r="2181">
      <c r="A2181" s="10"/>
      <c r="B2181" s="9"/>
      <c r="C2181" s="10"/>
      <c r="D2181" s="10"/>
      <c r="E2181" s="9"/>
      <c r="F2181" s="9"/>
      <c r="G2181" s="9"/>
      <c r="H2181" s="9"/>
      <c r="I2181" s="9"/>
      <c r="J2181" s="9"/>
      <c r="K2181" s="9"/>
      <c r="L2181" s="9"/>
      <c r="M2181" s="9"/>
      <c r="N2181" s="10"/>
      <c r="O2181" s="10"/>
      <c r="P2181" s="9"/>
    </row>
    <row r="2182">
      <c r="A2182" s="10"/>
      <c r="B2182" s="9"/>
      <c r="C2182" s="10"/>
      <c r="D2182" s="10"/>
      <c r="E2182" s="9"/>
      <c r="F2182" s="9"/>
      <c r="G2182" s="9"/>
      <c r="H2182" s="9"/>
      <c r="I2182" s="9"/>
      <c r="J2182" s="9"/>
      <c r="K2182" s="9"/>
      <c r="L2182" s="9"/>
      <c r="M2182" s="9"/>
      <c r="N2182" s="10"/>
      <c r="O2182" s="10"/>
      <c r="P2182" s="9"/>
    </row>
    <row r="2183">
      <c r="A2183" s="10"/>
      <c r="B2183" s="9"/>
      <c r="C2183" s="10"/>
      <c r="D2183" s="10"/>
      <c r="E2183" s="9"/>
      <c r="F2183" s="9"/>
      <c r="G2183" s="9"/>
      <c r="H2183" s="9"/>
      <c r="I2183" s="9"/>
      <c r="J2183" s="9"/>
      <c r="K2183" s="9"/>
      <c r="L2183" s="9"/>
      <c r="M2183" s="9"/>
      <c r="N2183" s="10"/>
      <c r="O2183" s="10"/>
      <c r="P2183" s="9"/>
    </row>
    <row r="2184">
      <c r="A2184" s="10"/>
      <c r="B2184" s="9"/>
      <c r="C2184" s="10"/>
      <c r="D2184" s="10"/>
      <c r="E2184" s="9"/>
      <c r="F2184" s="9"/>
      <c r="G2184" s="9"/>
      <c r="H2184" s="9"/>
      <c r="I2184" s="9"/>
      <c r="J2184" s="9"/>
      <c r="K2184" s="9"/>
      <c r="L2184" s="9"/>
      <c r="M2184" s="9"/>
      <c r="N2184" s="10"/>
      <c r="O2184" s="10"/>
      <c r="P2184" s="9"/>
    </row>
    <row r="2185">
      <c r="A2185" s="10"/>
      <c r="B2185" s="9"/>
      <c r="C2185" s="10"/>
      <c r="D2185" s="10"/>
      <c r="E2185" s="9"/>
      <c r="F2185" s="9"/>
      <c r="G2185" s="9"/>
      <c r="H2185" s="9"/>
      <c r="I2185" s="9"/>
      <c r="J2185" s="9"/>
      <c r="K2185" s="9"/>
      <c r="L2185" s="9"/>
      <c r="M2185" s="9"/>
      <c r="N2185" s="10"/>
      <c r="O2185" s="10"/>
      <c r="P2185" s="9"/>
    </row>
    <row r="2186">
      <c r="A2186" s="10"/>
      <c r="B2186" s="9"/>
      <c r="C2186" s="10"/>
      <c r="D2186" s="10"/>
      <c r="E2186" s="9"/>
      <c r="F2186" s="9"/>
      <c r="G2186" s="9"/>
      <c r="H2186" s="9"/>
      <c r="I2186" s="9"/>
      <c r="J2186" s="9"/>
      <c r="K2186" s="9"/>
      <c r="L2186" s="9"/>
      <c r="M2186" s="9"/>
      <c r="N2186" s="10"/>
      <c r="O2186" s="10"/>
      <c r="P2186" s="9"/>
    </row>
    <row r="2187">
      <c r="A2187" s="10"/>
      <c r="B2187" s="9"/>
      <c r="C2187" s="10"/>
      <c r="D2187" s="10"/>
      <c r="E2187" s="9"/>
      <c r="F2187" s="9"/>
      <c r="G2187" s="9"/>
      <c r="H2187" s="9"/>
      <c r="I2187" s="9"/>
      <c r="J2187" s="9"/>
      <c r="K2187" s="9"/>
      <c r="L2187" s="9"/>
      <c r="M2187" s="9"/>
      <c r="N2187" s="10"/>
      <c r="O2187" s="10"/>
      <c r="P2187" s="9"/>
    </row>
    <row r="2188">
      <c r="A2188" s="10"/>
      <c r="B2188" s="9"/>
      <c r="C2188" s="10"/>
      <c r="D2188" s="10"/>
      <c r="E2188" s="9"/>
      <c r="F2188" s="9"/>
      <c r="G2188" s="9"/>
      <c r="H2188" s="9"/>
      <c r="I2188" s="9"/>
      <c r="J2188" s="9"/>
      <c r="K2188" s="9"/>
      <c r="L2188" s="9"/>
      <c r="M2188" s="9"/>
      <c r="N2188" s="10"/>
      <c r="O2188" s="10"/>
      <c r="P2188" s="9"/>
    </row>
    <row r="2189">
      <c r="A2189" s="10"/>
      <c r="B2189" s="9"/>
      <c r="C2189" s="10"/>
      <c r="D2189" s="10"/>
      <c r="E2189" s="9"/>
      <c r="F2189" s="9"/>
      <c r="G2189" s="9"/>
      <c r="H2189" s="9"/>
      <c r="I2189" s="9"/>
      <c r="J2189" s="9"/>
      <c r="K2189" s="9"/>
      <c r="L2189" s="9"/>
      <c r="M2189" s="9"/>
      <c r="N2189" s="10"/>
      <c r="O2189" s="10"/>
      <c r="P2189" s="9"/>
    </row>
    <row r="2190">
      <c r="A2190" s="10"/>
      <c r="B2190" s="9"/>
      <c r="C2190" s="10"/>
      <c r="D2190" s="10"/>
      <c r="E2190" s="9"/>
      <c r="F2190" s="9"/>
      <c r="G2190" s="9"/>
      <c r="H2190" s="9"/>
      <c r="I2190" s="9"/>
      <c r="J2190" s="9"/>
      <c r="K2190" s="9"/>
      <c r="L2190" s="9"/>
      <c r="M2190" s="9"/>
      <c r="N2190" s="10"/>
      <c r="O2190" s="10"/>
      <c r="P2190" s="9"/>
    </row>
    <row r="2191">
      <c r="A2191" s="10"/>
      <c r="B2191" s="9"/>
      <c r="C2191" s="10"/>
      <c r="D2191" s="10"/>
      <c r="E2191" s="9"/>
      <c r="F2191" s="9"/>
      <c r="G2191" s="9"/>
      <c r="H2191" s="9"/>
      <c r="I2191" s="9"/>
      <c r="J2191" s="9"/>
      <c r="K2191" s="9"/>
      <c r="L2191" s="9"/>
      <c r="M2191" s="9"/>
      <c r="N2191" s="10"/>
      <c r="O2191" s="10"/>
      <c r="P2191" s="9"/>
    </row>
    <row r="2192">
      <c r="A2192" s="10"/>
      <c r="B2192" s="9"/>
      <c r="C2192" s="10"/>
      <c r="D2192" s="10"/>
      <c r="E2192" s="9"/>
      <c r="F2192" s="9"/>
      <c r="G2192" s="9"/>
      <c r="H2192" s="9"/>
      <c r="I2192" s="9"/>
      <c r="J2192" s="9"/>
      <c r="K2192" s="9"/>
      <c r="L2192" s="9"/>
      <c r="M2192" s="9"/>
      <c r="N2192" s="10"/>
      <c r="O2192" s="10"/>
      <c r="P2192" s="9"/>
    </row>
    <row r="2193">
      <c r="A2193" s="10"/>
      <c r="B2193" s="9"/>
      <c r="C2193" s="10"/>
      <c r="D2193" s="10"/>
      <c r="E2193" s="9"/>
      <c r="F2193" s="9"/>
      <c r="G2193" s="9"/>
      <c r="H2193" s="9"/>
      <c r="I2193" s="9"/>
      <c r="J2193" s="9"/>
      <c r="K2193" s="9"/>
      <c r="L2193" s="9"/>
      <c r="M2193" s="9"/>
      <c r="N2193" s="10"/>
      <c r="O2193" s="10"/>
      <c r="P2193" s="9"/>
    </row>
    <row r="2194">
      <c r="A2194" s="10"/>
      <c r="B2194" s="9"/>
      <c r="C2194" s="10"/>
      <c r="D2194" s="10"/>
      <c r="E2194" s="9"/>
      <c r="F2194" s="9"/>
      <c r="G2194" s="9"/>
      <c r="H2194" s="9"/>
      <c r="I2194" s="9"/>
      <c r="J2194" s="9"/>
      <c r="K2194" s="9"/>
      <c r="L2194" s="9"/>
      <c r="M2194" s="9"/>
      <c r="N2194" s="10"/>
      <c r="O2194" s="10"/>
      <c r="P2194" s="9"/>
    </row>
    <row r="2195">
      <c r="A2195" s="10"/>
      <c r="B2195" s="9"/>
      <c r="C2195" s="10"/>
      <c r="D2195" s="10"/>
      <c r="E2195" s="9"/>
      <c r="F2195" s="9"/>
      <c r="G2195" s="9"/>
      <c r="H2195" s="9"/>
      <c r="I2195" s="9"/>
      <c r="J2195" s="9"/>
      <c r="K2195" s="9"/>
      <c r="L2195" s="9"/>
      <c r="M2195" s="9"/>
      <c r="N2195" s="10"/>
      <c r="O2195" s="10"/>
      <c r="P2195" s="9"/>
    </row>
    <row r="2196">
      <c r="A2196" s="10"/>
      <c r="B2196" s="9"/>
      <c r="C2196" s="10"/>
      <c r="D2196" s="10"/>
      <c r="E2196" s="9"/>
      <c r="F2196" s="9"/>
      <c r="G2196" s="9"/>
      <c r="H2196" s="9"/>
      <c r="I2196" s="9"/>
      <c r="J2196" s="9"/>
      <c r="K2196" s="9"/>
      <c r="L2196" s="9"/>
      <c r="M2196" s="9"/>
      <c r="N2196" s="10"/>
      <c r="O2196" s="10"/>
      <c r="P2196" s="9"/>
    </row>
    <row r="2197">
      <c r="A2197" s="10"/>
      <c r="B2197" s="9"/>
      <c r="C2197" s="10"/>
      <c r="D2197" s="10"/>
      <c r="E2197" s="9"/>
      <c r="F2197" s="9"/>
      <c r="G2197" s="9"/>
      <c r="H2197" s="9"/>
      <c r="I2197" s="9"/>
      <c r="J2197" s="9"/>
      <c r="K2197" s="9"/>
      <c r="L2197" s="9"/>
      <c r="M2197" s="9"/>
      <c r="N2197" s="10"/>
      <c r="O2197" s="10"/>
      <c r="P2197" s="9"/>
    </row>
    <row r="2198">
      <c r="A2198" s="10"/>
      <c r="B2198" s="9"/>
      <c r="C2198" s="10"/>
      <c r="D2198" s="10"/>
      <c r="E2198" s="9"/>
      <c r="F2198" s="9"/>
      <c r="G2198" s="9"/>
      <c r="H2198" s="9"/>
      <c r="I2198" s="9"/>
      <c r="J2198" s="9"/>
      <c r="K2198" s="9"/>
      <c r="L2198" s="9"/>
      <c r="M2198" s="9"/>
      <c r="N2198" s="10"/>
      <c r="O2198" s="10"/>
      <c r="P2198" s="9"/>
    </row>
    <row r="2199">
      <c r="A2199" s="10"/>
      <c r="B2199" s="9"/>
      <c r="C2199" s="10"/>
      <c r="D2199" s="10"/>
      <c r="E2199" s="9"/>
      <c r="F2199" s="9"/>
      <c r="G2199" s="9"/>
      <c r="H2199" s="9"/>
      <c r="I2199" s="9"/>
      <c r="J2199" s="9"/>
      <c r="K2199" s="9"/>
      <c r="L2199" s="9"/>
      <c r="M2199" s="9"/>
      <c r="N2199" s="10"/>
      <c r="O2199" s="10"/>
      <c r="P2199" s="9"/>
    </row>
    <row r="2200">
      <c r="A2200" s="10"/>
      <c r="B2200" s="9"/>
      <c r="C2200" s="10"/>
      <c r="D2200" s="10"/>
      <c r="E2200" s="9"/>
      <c r="F2200" s="9"/>
      <c r="G2200" s="9"/>
      <c r="H2200" s="9"/>
      <c r="I2200" s="9"/>
      <c r="J2200" s="9"/>
      <c r="K2200" s="9"/>
      <c r="L2200" s="9"/>
      <c r="M2200" s="9"/>
      <c r="N2200" s="10"/>
      <c r="O2200" s="10"/>
      <c r="P2200" s="9"/>
    </row>
    <row r="2201">
      <c r="A2201" s="10"/>
      <c r="B2201" s="9"/>
      <c r="C2201" s="10"/>
      <c r="D2201" s="10"/>
      <c r="E2201" s="9"/>
      <c r="F2201" s="9"/>
      <c r="G2201" s="9"/>
      <c r="H2201" s="9"/>
      <c r="I2201" s="9"/>
      <c r="J2201" s="9"/>
      <c r="K2201" s="9"/>
      <c r="L2201" s="9"/>
      <c r="M2201" s="9"/>
      <c r="N2201" s="10"/>
      <c r="O2201" s="10"/>
      <c r="P2201" s="9"/>
    </row>
    <row r="2202">
      <c r="A2202" s="10"/>
      <c r="B2202" s="9"/>
      <c r="C2202" s="10"/>
      <c r="D2202" s="10"/>
      <c r="E2202" s="9"/>
      <c r="F2202" s="9"/>
      <c r="G2202" s="9"/>
      <c r="H2202" s="9"/>
      <c r="I2202" s="9"/>
      <c r="J2202" s="9"/>
      <c r="K2202" s="9"/>
      <c r="L2202" s="9"/>
      <c r="M2202" s="9"/>
      <c r="N2202" s="10"/>
      <c r="O2202" s="10"/>
      <c r="P2202" s="9"/>
    </row>
    <row r="2203">
      <c r="A2203" s="10"/>
      <c r="B2203" s="9"/>
      <c r="C2203" s="10"/>
      <c r="D2203" s="10"/>
      <c r="E2203" s="9"/>
      <c r="F2203" s="9"/>
      <c r="G2203" s="9"/>
      <c r="H2203" s="9"/>
      <c r="I2203" s="9"/>
      <c r="J2203" s="9"/>
      <c r="K2203" s="9"/>
      <c r="L2203" s="9"/>
      <c r="M2203" s="9"/>
      <c r="N2203" s="10"/>
      <c r="O2203" s="10"/>
      <c r="P2203" s="9"/>
    </row>
    <row r="2204">
      <c r="A2204" s="10"/>
      <c r="B2204" s="9"/>
      <c r="C2204" s="10"/>
      <c r="D2204" s="10"/>
      <c r="E2204" s="9"/>
      <c r="F2204" s="9"/>
      <c r="G2204" s="9"/>
      <c r="H2204" s="9"/>
      <c r="I2204" s="9"/>
      <c r="J2204" s="9"/>
      <c r="K2204" s="9"/>
      <c r="L2204" s="9"/>
      <c r="M2204" s="9"/>
      <c r="N2204" s="10"/>
      <c r="O2204" s="10"/>
      <c r="P2204" s="9"/>
    </row>
    <row r="2205">
      <c r="A2205" s="10"/>
      <c r="B2205" s="9"/>
      <c r="C2205" s="10"/>
      <c r="D2205" s="10"/>
      <c r="E2205" s="9"/>
      <c r="F2205" s="9"/>
      <c r="G2205" s="9"/>
      <c r="H2205" s="9"/>
      <c r="I2205" s="9"/>
      <c r="J2205" s="9"/>
      <c r="K2205" s="9"/>
      <c r="L2205" s="9"/>
      <c r="M2205" s="9"/>
      <c r="N2205" s="10"/>
      <c r="O2205" s="10"/>
      <c r="P2205" s="9"/>
    </row>
    <row r="2206">
      <c r="A2206" s="10"/>
      <c r="B2206" s="9"/>
      <c r="C2206" s="10"/>
      <c r="D2206" s="10"/>
      <c r="E2206" s="9"/>
      <c r="F2206" s="9"/>
      <c r="G2206" s="9"/>
      <c r="H2206" s="9"/>
      <c r="I2206" s="9"/>
      <c r="J2206" s="9"/>
      <c r="K2206" s="9"/>
      <c r="L2206" s="9"/>
      <c r="M2206" s="9"/>
      <c r="N2206" s="10"/>
      <c r="O2206" s="10"/>
      <c r="P2206" s="9"/>
    </row>
    <row r="2207">
      <c r="A2207" s="10"/>
      <c r="B2207" s="9"/>
      <c r="C2207" s="10"/>
      <c r="D2207" s="10"/>
      <c r="E2207" s="9"/>
      <c r="F2207" s="9"/>
      <c r="G2207" s="9"/>
      <c r="H2207" s="9"/>
      <c r="I2207" s="9"/>
      <c r="J2207" s="9"/>
      <c r="K2207" s="9"/>
      <c r="L2207" s="9"/>
      <c r="M2207" s="9"/>
      <c r="N2207" s="10"/>
      <c r="O2207" s="10"/>
      <c r="P2207" s="9"/>
    </row>
    <row r="2208">
      <c r="A2208" s="10"/>
      <c r="B2208" s="9"/>
      <c r="C2208" s="10"/>
      <c r="D2208" s="10"/>
      <c r="E2208" s="9"/>
      <c r="F2208" s="9"/>
      <c r="G2208" s="9"/>
      <c r="H2208" s="9"/>
      <c r="I2208" s="9"/>
      <c r="J2208" s="9"/>
      <c r="K2208" s="9"/>
      <c r="L2208" s="9"/>
      <c r="M2208" s="9"/>
      <c r="N2208" s="10"/>
      <c r="O2208" s="10"/>
      <c r="P2208" s="9"/>
    </row>
    <row r="2209">
      <c r="A2209" s="10"/>
      <c r="B2209" s="9"/>
      <c r="C2209" s="10"/>
      <c r="D2209" s="10"/>
      <c r="E2209" s="9"/>
      <c r="F2209" s="9"/>
      <c r="G2209" s="9"/>
      <c r="H2209" s="9"/>
      <c r="I2209" s="9"/>
      <c r="J2209" s="9"/>
      <c r="K2209" s="9"/>
      <c r="L2209" s="9"/>
      <c r="M2209" s="9"/>
      <c r="N2209" s="10"/>
      <c r="O2209" s="10"/>
      <c r="P2209" s="9"/>
    </row>
    <row r="2210">
      <c r="A2210" s="10"/>
      <c r="B2210" s="9"/>
      <c r="C2210" s="10"/>
      <c r="D2210" s="10"/>
      <c r="E2210" s="9"/>
      <c r="F2210" s="9"/>
      <c r="G2210" s="9"/>
      <c r="H2210" s="9"/>
      <c r="I2210" s="9"/>
      <c r="J2210" s="9"/>
      <c r="K2210" s="9"/>
      <c r="L2210" s="9"/>
      <c r="M2210" s="9"/>
      <c r="N2210" s="10"/>
      <c r="O2210" s="10"/>
      <c r="P2210" s="9"/>
    </row>
    <row r="2211">
      <c r="A2211" s="10"/>
      <c r="B2211" s="9"/>
      <c r="C2211" s="10"/>
      <c r="D2211" s="10"/>
      <c r="E2211" s="9"/>
      <c r="F2211" s="9"/>
      <c r="G2211" s="9"/>
      <c r="H2211" s="9"/>
      <c r="I2211" s="9"/>
      <c r="J2211" s="9"/>
      <c r="K2211" s="9"/>
      <c r="L2211" s="9"/>
      <c r="M2211" s="9"/>
      <c r="N2211" s="10"/>
      <c r="O2211" s="10"/>
      <c r="P2211" s="9"/>
    </row>
    <row r="2212">
      <c r="A2212" s="10"/>
      <c r="B2212" s="9"/>
      <c r="C2212" s="10"/>
      <c r="D2212" s="10"/>
      <c r="E2212" s="9"/>
      <c r="F2212" s="9"/>
      <c r="G2212" s="9"/>
      <c r="H2212" s="9"/>
      <c r="I2212" s="9"/>
      <c r="J2212" s="9"/>
      <c r="K2212" s="9"/>
      <c r="L2212" s="9"/>
      <c r="M2212" s="9"/>
      <c r="N2212" s="10"/>
      <c r="O2212" s="10"/>
      <c r="P2212" s="9"/>
    </row>
    <row r="2213">
      <c r="A2213" s="10"/>
      <c r="B2213" s="9"/>
      <c r="C2213" s="10"/>
      <c r="D2213" s="10"/>
      <c r="E2213" s="9"/>
      <c r="F2213" s="9"/>
      <c r="G2213" s="9"/>
      <c r="H2213" s="9"/>
      <c r="I2213" s="9"/>
      <c r="J2213" s="9"/>
      <c r="K2213" s="9"/>
      <c r="L2213" s="9"/>
      <c r="M2213" s="9"/>
      <c r="N2213" s="10"/>
      <c r="O2213" s="10"/>
      <c r="P2213" s="9"/>
    </row>
    <row r="2214">
      <c r="A2214" s="10"/>
      <c r="B2214" s="9"/>
      <c r="C2214" s="10"/>
      <c r="D2214" s="10"/>
      <c r="E2214" s="9"/>
      <c r="F2214" s="9"/>
      <c r="G2214" s="9"/>
      <c r="H2214" s="9"/>
      <c r="I2214" s="9"/>
      <c r="J2214" s="9"/>
      <c r="K2214" s="9"/>
      <c r="L2214" s="9"/>
      <c r="M2214" s="9"/>
      <c r="N2214" s="10"/>
      <c r="O2214" s="10"/>
      <c r="P2214" s="9"/>
    </row>
    <row r="2215">
      <c r="A2215" s="10"/>
      <c r="B2215" s="9"/>
      <c r="C2215" s="10"/>
      <c r="D2215" s="10"/>
      <c r="E2215" s="9"/>
      <c r="F2215" s="9"/>
      <c r="G2215" s="9"/>
      <c r="H2215" s="9"/>
      <c r="I2215" s="9"/>
      <c r="J2215" s="9"/>
      <c r="K2215" s="9"/>
      <c r="L2215" s="9"/>
      <c r="M2215" s="9"/>
      <c r="N2215" s="10"/>
      <c r="O2215" s="10"/>
      <c r="P2215" s="9"/>
    </row>
    <row r="2216">
      <c r="A2216" s="10"/>
      <c r="B2216" s="9"/>
      <c r="C2216" s="10"/>
      <c r="D2216" s="10"/>
      <c r="E2216" s="9"/>
      <c r="F2216" s="9"/>
      <c r="G2216" s="9"/>
      <c r="H2216" s="9"/>
      <c r="I2216" s="9"/>
      <c r="J2216" s="9"/>
      <c r="K2216" s="9"/>
      <c r="L2216" s="9"/>
      <c r="M2216" s="9"/>
      <c r="N2216" s="10"/>
      <c r="O2216" s="10"/>
      <c r="P2216" s="9"/>
    </row>
    <row r="2217">
      <c r="A2217" s="10"/>
      <c r="B2217" s="9"/>
      <c r="C2217" s="10"/>
      <c r="D2217" s="10"/>
      <c r="E2217" s="9"/>
      <c r="F2217" s="9"/>
      <c r="G2217" s="9"/>
      <c r="H2217" s="9"/>
      <c r="I2217" s="9"/>
      <c r="J2217" s="9"/>
      <c r="K2217" s="9"/>
      <c r="L2217" s="9"/>
      <c r="M2217" s="9"/>
      <c r="N2217" s="10"/>
      <c r="O2217" s="10"/>
      <c r="P2217" s="9"/>
    </row>
    <row r="2218">
      <c r="A2218" s="10"/>
      <c r="B2218" s="9"/>
      <c r="C2218" s="10"/>
      <c r="D2218" s="10"/>
      <c r="E2218" s="9"/>
      <c r="F2218" s="9"/>
      <c r="G2218" s="9"/>
      <c r="H2218" s="9"/>
      <c r="I2218" s="9"/>
      <c r="J2218" s="9"/>
      <c r="K2218" s="9"/>
      <c r="L2218" s="9"/>
      <c r="M2218" s="9"/>
      <c r="N2218" s="10"/>
      <c r="O2218" s="10"/>
      <c r="P2218" s="9"/>
    </row>
    <row r="2219">
      <c r="A2219" s="10"/>
      <c r="B2219" s="9"/>
      <c r="C2219" s="10"/>
      <c r="D2219" s="10"/>
      <c r="E2219" s="9"/>
      <c r="F2219" s="9"/>
      <c r="G2219" s="9"/>
      <c r="H2219" s="9"/>
      <c r="I2219" s="9"/>
      <c r="J2219" s="9"/>
      <c r="K2219" s="9"/>
      <c r="L2219" s="9"/>
      <c r="M2219" s="9"/>
      <c r="N2219" s="10"/>
      <c r="O2219" s="10"/>
      <c r="P2219" s="9"/>
    </row>
    <row r="2220">
      <c r="A2220" s="10"/>
      <c r="B2220" s="9"/>
      <c r="C2220" s="10"/>
      <c r="D2220" s="10"/>
      <c r="E2220" s="9"/>
      <c r="F2220" s="9"/>
      <c r="G2220" s="9"/>
      <c r="H2220" s="9"/>
      <c r="I2220" s="9"/>
      <c r="J2220" s="9"/>
      <c r="K2220" s="9"/>
      <c r="L2220" s="9"/>
      <c r="M2220" s="9"/>
      <c r="N2220" s="10"/>
      <c r="O2220" s="10"/>
      <c r="P2220" s="9"/>
    </row>
    <row r="2221">
      <c r="A2221" s="10"/>
      <c r="B2221" s="9"/>
      <c r="C2221" s="10"/>
      <c r="D2221" s="10"/>
      <c r="E2221" s="9"/>
      <c r="F2221" s="9"/>
      <c r="G2221" s="9"/>
      <c r="H2221" s="9"/>
      <c r="I2221" s="9"/>
      <c r="J2221" s="9"/>
      <c r="K2221" s="9"/>
      <c r="L2221" s="9"/>
      <c r="M2221" s="9"/>
      <c r="N2221" s="10"/>
      <c r="O2221" s="10"/>
      <c r="P2221" s="9"/>
    </row>
    <row r="2222">
      <c r="A2222" s="10"/>
      <c r="B2222" s="9"/>
      <c r="C2222" s="10"/>
      <c r="D2222" s="10"/>
      <c r="E2222" s="9"/>
      <c r="F2222" s="9"/>
      <c r="G2222" s="9"/>
      <c r="H2222" s="9"/>
      <c r="I2222" s="9"/>
      <c r="J2222" s="9"/>
      <c r="K2222" s="9"/>
      <c r="L2222" s="9"/>
      <c r="M2222" s="9"/>
      <c r="N2222" s="10"/>
      <c r="O2222" s="10"/>
      <c r="P2222" s="9"/>
    </row>
    <row r="2223">
      <c r="A2223" s="10"/>
      <c r="B2223" s="9"/>
      <c r="C2223" s="10"/>
      <c r="D2223" s="10"/>
      <c r="E2223" s="9"/>
      <c r="F2223" s="9"/>
      <c r="G2223" s="9"/>
      <c r="H2223" s="9"/>
      <c r="I2223" s="9"/>
      <c r="J2223" s="9"/>
      <c r="K2223" s="9"/>
      <c r="L2223" s="9"/>
      <c r="M2223" s="9"/>
      <c r="N2223" s="10"/>
      <c r="O2223" s="10"/>
      <c r="P2223" s="9"/>
    </row>
    <row r="2224">
      <c r="A2224" s="10"/>
      <c r="B2224" s="9"/>
      <c r="C2224" s="10"/>
      <c r="D2224" s="10"/>
      <c r="E2224" s="9"/>
      <c r="F2224" s="9"/>
      <c r="G2224" s="9"/>
      <c r="H2224" s="9"/>
      <c r="I2224" s="9"/>
      <c r="J2224" s="9"/>
      <c r="K2224" s="9"/>
      <c r="L2224" s="9"/>
      <c r="M2224" s="9"/>
      <c r="N2224" s="10"/>
      <c r="O2224" s="10"/>
      <c r="P2224" s="9"/>
    </row>
    <row r="2225">
      <c r="A2225" s="10"/>
      <c r="B2225" s="9"/>
      <c r="C2225" s="10"/>
      <c r="D2225" s="10"/>
      <c r="E2225" s="9"/>
      <c r="F2225" s="9"/>
      <c r="G2225" s="9"/>
      <c r="H2225" s="9"/>
      <c r="I2225" s="9"/>
      <c r="J2225" s="9"/>
      <c r="K2225" s="9"/>
      <c r="L2225" s="9"/>
      <c r="M2225" s="9"/>
      <c r="N2225" s="10"/>
      <c r="O2225" s="10"/>
      <c r="P2225" s="9"/>
    </row>
    <row r="2226">
      <c r="A2226" s="10"/>
      <c r="B2226" s="9"/>
      <c r="C2226" s="10"/>
      <c r="D2226" s="10"/>
      <c r="E2226" s="9"/>
      <c r="F2226" s="9"/>
      <c r="G2226" s="9"/>
      <c r="H2226" s="9"/>
      <c r="I2226" s="9"/>
      <c r="J2226" s="9"/>
      <c r="K2226" s="9"/>
      <c r="L2226" s="9"/>
      <c r="M2226" s="9"/>
      <c r="N2226" s="10"/>
      <c r="O2226" s="10"/>
      <c r="P2226" s="9"/>
    </row>
    <row r="2227">
      <c r="A2227" s="10"/>
      <c r="B2227" s="9"/>
      <c r="C2227" s="10"/>
      <c r="D2227" s="10"/>
      <c r="E2227" s="9"/>
      <c r="F2227" s="9"/>
      <c r="G2227" s="9"/>
      <c r="H2227" s="9"/>
      <c r="I2227" s="9"/>
      <c r="J2227" s="9"/>
      <c r="K2227" s="9"/>
      <c r="L2227" s="9"/>
      <c r="M2227" s="9"/>
      <c r="N2227" s="10"/>
      <c r="O2227" s="10"/>
      <c r="P2227" s="9"/>
    </row>
    <row r="2228">
      <c r="A2228" s="10"/>
      <c r="B2228" s="9"/>
      <c r="C2228" s="10"/>
      <c r="D2228" s="10"/>
      <c r="E2228" s="9"/>
      <c r="F2228" s="9"/>
      <c r="G2228" s="9"/>
      <c r="H2228" s="9"/>
      <c r="I2228" s="9"/>
      <c r="J2228" s="9"/>
      <c r="K2228" s="9"/>
      <c r="L2228" s="9"/>
      <c r="M2228" s="9"/>
      <c r="N2228" s="10"/>
      <c r="O2228" s="10"/>
      <c r="P2228" s="9"/>
    </row>
    <row r="2229">
      <c r="A2229" s="10"/>
      <c r="B2229" s="9"/>
      <c r="C2229" s="10"/>
      <c r="D2229" s="10"/>
      <c r="E2229" s="9"/>
      <c r="F2229" s="9"/>
      <c r="G2229" s="9"/>
      <c r="H2229" s="9"/>
      <c r="I2229" s="9"/>
      <c r="J2229" s="9"/>
      <c r="K2229" s="9"/>
      <c r="L2229" s="9"/>
      <c r="M2229" s="9"/>
      <c r="N2229" s="10"/>
      <c r="O2229" s="10"/>
      <c r="P2229" s="9"/>
    </row>
    <row r="2230">
      <c r="A2230" s="10"/>
      <c r="B2230" s="9"/>
      <c r="C2230" s="10"/>
      <c r="D2230" s="10"/>
      <c r="E2230" s="9"/>
      <c r="F2230" s="9"/>
      <c r="G2230" s="9"/>
      <c r="H2230" s="9"/>
      <c r="I2230" s="9"/>
      <c r="J2230" s="9"/>
      <c r="K2230" s="9"/>
      <c r="L2230" s="9"/>
      <c r="M2230" s="9"/>
      <c r="N2230" s="10"/>
      <c r="O2230" s="10"/>
      <c r="P2230" s="9"/>
    </row>
    <row r="2231">
      <c r="A2231" s="10"/>
      <c r="B2231" s="9"/>
      <c r="C2231" s="10"/>
      <c r="D2231" s="10"/>
      <c r="E2231" s="9"/>
      <c r="F2231" s="9"/>
      <c r="G2231" s="9"/>
      <c r="H2231" s="9"/>
      <c r="I2231" s="9"/>
      <c r="J2231" s="9"/>
      <c r="K2231" s="9"/>
      <c r="L2231" s="9"/>
      <c r="M2231" s="9"/>
      <c r="N2231" s="10"/>
      <c r="O2231" s="10"/>
      <c r="P2231" s="9"/>
    </row>
    <row r="2232">
      <c r="A2232" s="10"/>
      <c r="B2232" s="9"/>
      <c r="C2232" s="10"/>
      <c r="D2232" s="10"/>
      <c r="E2232" s="9"/>
      <c r="F2232" s="9"/>
      <c r="G2232" s="9"/>
      <c r="H2232" s="9"/>
      <c r="I2232" s="9"/>
      <c r="J2232" s="9"/>
      <c r="K2232" s="9"/>
      <c r="L2232" s="9"/>
      <c r="M2232" s="9"/>
      <c r="N2232" s="10"/>
      <c r="O2232" s="10"/>
      <c r="P2232" s="9"/>
    </row>
    <row r="2233">
      <c r="A2233" s="10"/>
      <c r="B2233" s="9"/>
      <c r="C2233" s="10"/>
      <c r="D2233" s="10"/>
      <c r="E2233" s="9"/>
      <c r="F2233" s="9"/>
      <c r="G2233" s="9"/>
      <c r="H2233" s="9"/>
      <c r="I2233" s="9"/>
      <c r="J2233" s="9"/>
      <c r="K2233" s="9"/>
      <c r="L2233" s="9"/>
      <c r="M2233" s="9"/>
      <c r="N2233" s="10"/>
      <c r="O2233" s="10"/>
      <c r="P2233" s="9"/>
    </row>
    <row r="2234">
      <c r="A2234" s="10"/>
      <c r="B2234" s="9"/>
      <c r="C2234" s="10"/>
      <c r="D2234" s="10"/>
      <c r="E2234" s="9"/>
      <c r="F2234" s="9"/>
      <c r="G2234" s="9"/>
      <c r="H2234" s="9"/>
      <c r="I2234" s="9"/>
      <c r="J2234" s="9"/>
      <c r="K2234" s="9"/>
      <c r="L2234" s="9"/>
      <c r="M2234" s="9"/>
      <c r="N2234" s="10"/>
      <c r="O2234" s="10"/>
      <c r="P2234" s="9"/>
    </row>
    <row r="2235">
      <c r="A2235" s="10"/>
      <c r="B2235" s="9"/>
      <c r="C2235" s="10"/>
      <c r="D2235" s="10"/>
      <c r="E2235" s="9"/>
      <c r="F2235" s="9"/>
      <c r="G2235" s="9"/>
      <c r="H2235" s="9"/>
      <c r="I2235" s="9"/>
      <c r="J2235" s="9"/>
      <c r="K2235" s="9"/>
      <c r="L2235" s="9"/>
      <c r="M2235" s="9"/>
      <c r="N2235" s="10"/>
      <c r="O2235" s="10"/>
      <c r="P2235" s="9"/>
    </row>
    <row r="2236">
      <c r="A2236" s="10"/>
      <c r="B2236" s="9"/>
      <c r="C2236" s="10"/>
      <c r="D2236" s="10"/>
      <c r="E2236" s="9"/>
      <c r="F2236" s="9"/>
      <c r="G2236" s="9"/>
      <c r="H2236" s="9"/>
      <c r="I2236" s="9"/>
      <c r="J2236" s="9"/>
      <c r="K2236" s="9"/>
      <c r="L2236" s="9"/>
      <c r="M2236" s="9"/>
      <c r="N2236" s="10"/>
      <c r="O2236" s="10"/>
      <c r="P2236" s="9"/>
    </row>
    <row r="2237">
      <c r="A2237" s="10"/>
      <c r="B2237" s="9"/>
      <c r="C2237" s="10"/>
      <c r="D2237" s="10"/>
      <c r="E2237" s="9"/>
      <c r="F2237" s="9"/>
      <c r="G2237" s="9"/>
      <c r="H2237" s="9"/>
      <c r="I2237" s="9"/>
      <c r="J2237" s="9"/>
      <c r="K2237" s="9"/>
      <c r="L2237" s="9"/>
      <c r="M2237" s="9"/>
      <c r="N2237" s="10"/>
      <c r="O2237" s="10"/>
      <c r="P2237" s="9"/>
    </row>
    <row r="2238">
      <c r="A2238" s="10"/>
      <c r="B2238" s="9"/>
      <c r="C2238" s="10"/>
      <c r="D2238" s="10"/>
      <c r="E2238" s="9"/>
      <c r="F2238" s="9"/>
      <c r="G2238" s="9"/>
      <c r="H2238" s="9"/>
      <c r="I2238" s="9"/>
      <c r="J2238" s="9"/>
      <c r="K2238" s="9"/>
      <c r="L2238" s="9"/>
      <c r="M2238" s="9"/>
      <c r="N2238" s="10"/>
      <c r="O2238" s="10"/>
      <c r="P2238" s="9"/>
    </row>
    <row r="2239">
      <c r="A2239" s="10"/>
      <c r="B2239" s="9"/>
      <c r="C2239" s="10"/>
      <c r="D2239" s="10"/>
      <c r="E2239" s="9"/>
      <c r="F2239" s="9"/>
      <c r="G2239" s="9"/>
      <c r="H2239" s="9"/>
      <c r="I2239" s="9"/>
      <c r="J2239" s="9"/>
      <c r="K2239" s="9"/>
      <c r="L2239" s="9"/>
      <c r="M2239" s="9"/>
      <c r="N2239" s="10"/>
      <c r="O2239" s="10"/>
      <c r="P2239" s="9"/>
    </row>
    <row r="2240">
      <c r="A2240" s="10"/>
      <c r="B2240" s="9"/>
      <c r="C2240" s="10"/>
      <c r="D2240" s="10"/>
      <c r="E2240" s="9"/>
      <c r="F2240" s="9"/>
      <c r="G2240" s="9"/>
      <c r="H2240" s="9"/>
      <c r="I2240" s="9"/>
      <c r="J2240" s="9"/>
      <c r="K2240" s="9"/>
      <c r="L2240" s="9"/>
      <c r="M2240" s="9"/>
      <c r="N2240" s="10"/>
      <c r="O2240" s="10"/>
      <c r="P2240" s="9"/>
    </row>
    <row r="2241">
      <c r="A2241" s="10"/>
      <c r="B2241" s="9"/>
      <c r="C2241" s="10"/>
      <c r="D2241" s="10"/>
      <c r="E2241" s="9"/>
      <c r="F2241" s="9"/>
      <c r="G2241" s="9"/>
      <c r="H2241" s="9"/>
      <c r="I2241" s="9"/>
      <c r="J2241" s="9"/>
      <c r="K2241" s="9"/>
      <c r="L2241" s="9"/>
      <c r="M2241" s="9"/>
      <c r="N2241" s="10"/>
      <c r="O2241" s="10"/>
      <c r="P2241" s="9"/>
    </row>
    <row r="2242">
      <c r="A2242" s="10"/>
      <c r="B2242" s="9"/>
      <c r="C2242" s="10"/>
      <c r="D2242" s="10"/>
      <c r="E2242" s="9"/>
      <c r="F2242" s="9"/>
      <c r="G2242" s="9"/>
      <c r="H2242" s="9"/>
      <c r="I2242" s="9"/>
      <c r="J2242" s="9"/>
      <c r="K2242" s="9"/>
      <c r="L2242" s="9"/>
      <c r="M2242" s="9"/>
      <c r="N2242" s="10"/>
      <c r="O2242" s="10"/>
      <c r="P2242" s="9"/>
    </row>
    <row r="2243">
      <c r="A2243" s="10"/>
      <c r="B2243" s="9"/>
      <c r="C2243" s="10"/>
      <c r="D2243" s="10"/>
      <c r="E2243" s="9"/>
      <c r="F2243" s="9"/>
      <c r="G2243" s="9"/>
      <c r="H2243" s="9"/>
      <c r="I2243" s="9"/>
      <c r="J2243" s="9"/>
      <c r="K2243" s="9"/>
      <c r="L2243" s="9"/>
      <c r="M2243" s="9"/>
      <c r="N2243" s="10"/>
      <c r="O2243" s="10"/>
      <c r="P2243" s="9"/>
    </row>
    <row r="2244">
      <c r="A2244" s="10"/>
      <c r="B2244" s="9"/>
      <c r="C2244" s="10"/>
      <c r="D2244" s="10"/>
      <c r="E2244" s="9"/>
      <c r="F2244" s="9"/>
      <c r="G2244" s="9"/>
      <c r="H2244" s="9"/>
      <c r="I2244" s="9"/>
      <c r="J2244" s="9"/>
      <c r="K2244" s="9"/>
      <c r="L2244" s="9"/>
      <c r="M2244" s="9"/>
      <c r="N2244" s="10"/>
      <c r="O2244" s="10"/>
      <c r="P2244" s="9"/>
    </row>
    <row r="2245">
      <c r="A2245" s="10"/>
      <c r="B2245" s="9"/>
      <c r="C2245" s="10"/>
      <c r="D2245" s="10"/>
      <c r="E2245" s="9"/>
      <c r="F2245" s="9"/>
      <c r="G2245" s="9"/>
      <c r="H2245" s="9"/>
      <c r="I2245" s="9"/>
      <c r="J2245" s="9"/>
      <c r="K2245" s="9"/>
      <c r="L2245" s="9"/>
      <c r="M2245" s="9"/>
      <c r="N2245" s="10"/>
      <c r="O2245" s="10"/>
      <c r="P2245" s="9"/>
    </row>
    <row r="2246">
      <c r="A2246" s="10"/>
      <c r="B2246" s="9"/>
      <c r="C2246" s="10"/>
      <c r="D2246" s="10"/>
      <c r="E2246" s="9"/>
      <c r="F2246" s="9"/>
      <c r="G2246" s="9"/>
      <c r="H2246" s="9"/>
      <c r="I2246" s="9"/>
      <c r="J2246" s="9"/>
      <c r="K2246" s="9"/>
      <c r="L2246" s="9"/>
      <c r="M2246" s="9"/>
      <c r="N2246" s="10"/>
      <c r="O2246" s="10"/>
      <c r="P2246" s="9"/>
    </row>
    <row r="2247">
      <c r="A2247" s="10"/>
      <c r="B2247" s="9"/>
      <c r="C2247" s="10"/>
      <c r="D2247" s="10"/>
      <c r="E2247" s="9"/>
      <c r="F2247" s="9"/>
      <c r="G2247" s="9"/>
      <c r="H2247" s="9"/>
      <c r="I2247" s="9"/>
      <c r="J2247" s="9"/>
      <c r="K2247" s="9"/>
      <c r="L2247" s="9"/>
      <c r="M2247" s="9"/>
      <c r="N2247" s="10"/>
      <c r="O2247" s="10"/>
      <c r="P2247" s="9"/>
    </row>
    <row r="2248">
      <c r="A2248" s="10"/>
      <c r="B2248" s="9"/>
      <c r="C2248" s="10"/>
      <c r="D2248" s="10"/>
      <c r="E2248" s="9"/>
      <c r="F2248" s="9"/>
      <c r="G2248" s="9"/>
      <c r="H2248" s="9"/>
      <c r="I2248" s="9"/>
      <c r="J2248" s="9"/>
      <c r="K2248" s="9"/>
      <c r="L2248" s="9"/>
      <c r="M2248" s="9"/>
      <c r="N2248" s="10"/>
      <c r="O2248" s="10"/>
      <c r="P2248" s="9"/>
    </row>
    <row r="2249">
      <c r="A2249" s="10"/>
      <c r="B2249" s="9"/>
      <c r="C2249" s="10"/>
      <c r="D2249" s="10"/>
      <c r="E2249" s="9"/>
      <c r="F2249" s="9"/>
      <c r="G2249" s="9"/>
      <c r="H2249" s="9"/>
      <c r="I2249" s="9"/>
      <c r="J2249" s="9"/>
      <c r="K2249" s="9"/>
      <c r="L2249" s="9"/>
      <c r="M2249" s="9"/>
      <c r="N2249" s="10"/>
      <c r="O2249" s="10"/>
      <c r="P2249" s="9"/>
    </row>
    <row r="2250">
      <c r="A2250" s="10"/>
      <c r="B2250" s="9"/>
      <c r="C2250" s="10"/>
      <c r="D2250" s="10"/>
      <c r="E2250" s="9"/>
      <c r="F2250" s="9"/>
      <c r="G2250" s="9"/>
      <c r="H2250" s="9"/>
      <c r="I2250" s="9"/>
      <c r="J2250" s="9"/>
      <c r="K2250" s="9"/>
      <c r="L2250" s="9"/>
      <c r="M2250" s="9"/>
      <c r="N2250" s="10"/>
      <c r="O2250" s="10"/>
      <c r="P2250" s="9"/>
    </row>
    <row r="2251">
      <c r="A2251" s="10"/>
      <c r="B2251" s="9"/>
      <c r="C2251" s="10"/>
      <c r="D2251" s="10"/>
      <c r="E2251" s="9"/>
      <c r="F2251" s="9"/>
      <c r="G2251" s="9"/>
      <c r="H2251" s="9"/>
      <c r="I2251" s="9"/>
      <c r="J2251" s="9"/>
      <c r="K2251" s="9"/>
      <c r="L2251" s="9"/>
      <c r="M2251" s="9"/>
      <c r="N2251" s="10"/>
      <c r="O2251" s="10"/>
      <c r="P2251" s="9"/>
    </row>
    <row r="2252">
      <c r="A2252" s="10"/>
      <c r="B2252" s="9"/>
      <c r="C2252" s="10"/>
      <c r="D2252" s="10"/>
      <c r="E2252" s="9"/>
      <c r="F2252" s="9"/>
      <c r="G2252" s="9"/>
      <c r="H2252" s="9"/>
      <c r="I2252" s="9"/>
      <c r="J2252" s="9"/>
      <c r="K2252" s="9"/>
      <c r="L2252" s="9"/>
      <c r="M2252" s="9"/>
      <c r="N2252" s="10"/>
      <c r="O2252" s="10"/>
      <c r="P2252" s="9"/>
    </row>
    <row r="2253">
      <c r="A2253" s="10"/>
      <c r="B2253" s="9"/>
      <c r="C2253" s="10"/>
      <c r="D2253" s="10"/>
      <c r="E2253" s="9"/>
      <c r="F2253" s="9"/>
      <c r="G2253" s="9"/>
      <c r="H2253" s="9"/>
      <c r="I2253" s="9"/>
      <c r="J2253" s="9"/>
      <c r="K2253" s="9"/>
      <c r="L2253" s="9"/>
      <c r="M2253" s="9"/>
      <c r="N2253" s="10"/>
      <c r="O2253" s="10"/>
      <c r="P2253" s="9"/>
    </row>
    <row r="2254">
      <c r="A2254" s="10"/>
      <c r="B2254" s="9"/>
      <c r="C2254" s="10"/>
      <c r="D2254" s="10"/>
      <c r="E2254" s="9"/>
      <c r="F2254" s="9"/>
      <c r="G2254" s="9"/>
      <c r="H2254" s="9"/>
      <c r="I2254" s="9"/>
      <c r="J2254" s="9"/>
      <c r="K2254" s="9"/>
      <c r="L2254" s="9"/>
      <c r="M2254" s="9"/>
      <c r="N2254" s="10"/>
      <c r="O2254" s="10"/>
      <c r="P2254" s="9"/>
    </row>
    <row r="2255">
      <c r="A2255" s="10"/>
      <c r="B2255" s="9"/>
      <c r="C2255" s="10"/>
      <c r="D2255" s="10"/>
      <c r="E2255" s="9"/>
      <c r="F2255" s="9"/>
      <c r="G2255" s="9"/>
      <c r="H2255" s="9"/>
      <c r="I2255" s="9"/>
      <c r="J2255" s="9"/>
      <c r="K2255" s="9"/>
      <c r="L2255" s="9"/>
      <c r="M2255" s="9"/>
      <c r="N2255" s="10"/>
      <c r="O2255" s="10"/>
      <c r="P2255" s="9"/>
    </row>
    <row r="2256">
      <c r="A2256" s="10"/>
      <c r="B2256" s="9"/>
      <c r="C2256" s="10"/>
      <c r="D2256" s="10"/>
      <c r="E2256" s="9"/>
      <c r="F2256" s="9"/>
      <c r="G2256" s="9"/>
      <c r="H2256" s="9"/>
      <c r="I2256" s="9"/>
      <c r="J2256" s="9"/>
      <c r="K2256" s="9"/>
      <c r="L2256" s="9"/>
      <c r="M2256" s="9"/>
      <c r="N2256" s="10"/>
      <c r="O2256" s="10"/>
      <c r="P2256" s="9"/>
    </row>
    <row r="2257">
      <c r="A2257" s="10"/>
      <c r="B2257" s="9"/>
      <c r="C2257" s="10"/>
      <c r="D2257" s="10"/>
      <c r="E2257" s="9"/>
      <c r="F2257" s="9"/>
      <c r="G2257" s="9"/>
      <c r="H2257" s="9"/>
      <c r="I2257" s="9"/>
      <c r="J2257" s="9"/>
      <c r="K2257" s="9"/>
      <c r="L2257" s="9"/>
      <c r="M2257" s="9"/>
      <c r="N2257" s="10"/>
      <c r="O2257" s="10"/>
      <c r="P2257" s="9"/>
    </row>
    <row r="2258">
      <c r="A2258" s="10"/>
      <c r="B2258" s="9"/>
      <c r="C2258" s="10"/>
      <c r="D2258" s="10"/>
      <c r="E2258" s="9"/>
      <c r="F2258" s="9"/>
      <c r="G2258" s="9"/>
      <c r="H2258" s="9"/>
      <c r="I2258" s="9"/>
      <c r="J2258" s="9"/>
      <c r="K2258" s="9"/>
      <c r="L2258" s="9"/>
      <c r="M2258" s="9"/>
      <c r="N2258" s="10"/>
      <c r="O2258" s="10"/>
      <c r="P2258" s="9"/>
    </row>
    <row r="2259">
      <c r="A2259" s="10"/>
      <c r="B2259" s="9"/>
      <c r="C2259" s="10"/>
      <c r="D2259" s="10"/>
      <c r="E2259" s="9"/>
      <c r="F2259" s="9"/>
      <c r="G2259" s="9"/>
      <c r="H2259" s="9"/>
      <c r="I2259" s="9"/>
      <c r="J2259" s="9"/>
      <c r="K2259" s="9"/>
      <c r="L2259" s="9"/>
      <c r="M2259" s="9"/>
      <c r="N2259" s="10"/>
      <c r="O2259" s="10"/>
      <c r="P2259" s="9"/>
    </row>
    <row r="2260">
      <c r="A2260" s="10"/>
      <c r="B2260" s="9"/>
      <c r="C2260" s="10"/>
      <c r="D2260" s="10"/>
      <c r="E2260" s="9"/>
      <c r="F2260" s="9"/>
      <c r="G2260" s="9"/>
      <c r="H2260" s="9"/>
      <c r="I2260" s="9"/>
      <c r="J2260" s="9"/>
      <c r="K2260" s="9"/>
      <c r="L2260" s="9"/>
      <c r="M2260" s="9"/>
      <c r="N2260" s="10"/>
      <c r="O2260" s="10"/>
      <c r="P2260" s="9"/>
    </row>
    <row r="2261">
      <c r="A2261" s="10"/>
      <c r="B2261" s="9"/>
      <c r="C2261" s="10"/>
      <c r="D2261" s="10"/>
      <c r="E2261" s="9"/>
      <c r="F2261" s="9"/>
      <c r="G2261" s="9"/>
      <c r="H2261" s="9"/>
      <c r="I2261" s="9"/>
      <c r="J2261" s="9"/>
      <c r="K2261" s="9"/>
      <c r="L2261" s="9"/>
      <c r="M2261" s="9"/>
      <c r="N2261" s="10"/>
      <c r="O2261" s="10"/>
      <c r="P2261" s="9"/>
    </row>
    <row r="2262">
      <c r="A2262" s="10"/>
      <c r="B2262" s="9"/>
      <c r="C2262" s="10"/>
      <c r="D2262" s="10"/>
      <c r="E2262" s="9"/>
      <c r="F2262" s="9"/>
      <c r="G2262" s="9"/>
      <c r="H2262" s="9"/>
      <c r="I2262" s="9"/>
      <c r="J2262" s="9"/>
      <c r="K2262" s="9"/>
      <c r="L2262" s="9"/>
      <c r="M2262" s="9"/>
      <c r="N2262" s="10"/>
      <c r="O2262" s="10"/>
      <c r="P2262" s="9"/>
    </row>
    <row r="2263">
      <c r="A2263" s="10"/>
      <c r="B2263" s="9"/>
      <c r="C2263" s="10"/>
      <c r="D2263" s="10"/>
      <c r="E2263" s="9"/>
      <c r="F2263" s="9"/>
      <c r="G2263" s="9"/>
      <c r="H2263" s="9"/>
      <c r="I2263" s="9"/>
      <c r="J2263" s="9"/>
      <c r="K2263" s="9"/>
      <c r="L2263" s="9"/>
      <c r="M2263" s="9"/>
      <c r="N2263" s="10"/>
      <c r="O2263" s="10"/>
      <c r="P2263" s="9"/>
    </row>
    <row r="2264">
      <c r="A2264" s="10"/>
      <c r="B2264" s="9"/>
      <c r="C2264" s="10"/>
      <c r="D2264" s="10"/>
      <c r="E2264" s="9"/>
      <c r="F2264" s="9"/>
      <c r="G2264" s="9"/>
      <c r="H2264" s="9"/>
      <c r="I2264" s="9"/>
      <c r="J2264" s="9"/>
      <c r="K2264" s="9"/>
      <c r="L2264" s="9"/>
      <c r="M2264" s="9"/>
      <c r="N2264" s="10"/>
      <c r="O2264" s="10"/>
      <c r="P2264" s="9"/>
    </row>
    <row r="2265">
      <c r="A2265" s="10"/>
      <c r="B2265" s="9"/>
      <c r="C2265" s="10"/>
      <c r="D2265" s="10"/>
      <c r="E2265" s="9"/>
      <c r="F2265" s="9"/>
      <c r="G2265" s="9"/>
      <c r="H2265" s="9"/>
      <c r="I2265" s="9"/>
      <c r="J2265" s="9"/>
      <c r="K2265" s="9"/>
      <c r="L2265" s="9"/>
      <c r="M2265" s="9"/>
      <c r="N2265" s="10"/>
      <c r="O2265" s="10"/>
      <c r="P2265" s="9"/>
    </row>
    <row r="2266">
      <c r="A2266" s="10"/>
      <c r="B2266" s="9"/>
      <c r="C2266" s="10"/>
      <c r="D2266" s="10"/>
      <c r="E2266" s="9"/>
      <c r="F2266" s="9"/>
      <c r="G2266" s="9"/>
      <c r="H2266" s="9"/>
      <c r="I2266" s="9"/>
      <c r="J2266" s="9"/>
      <c r="K2266" s="9"/>
      <c r="L2266" s="9"/>
      <c r="M2266" s="9"/>
      <c r="N2266" s="10"/>
      <c r="O2266" s="10"/>
      <c r="P2266" s="9"/>
    </row>
    <row r="2267">
      <c r="A2267" s="10"/>
      <c r="B2267" s="9"/>
      <c r="C2267" s="10"/>
      <c r="D2267" s="10"/>
      <c r="E2267" s="9"/>
      <c r="F2267" s="9"/>
      <c r="G2267" s="9"/>
      <c r="H2267" s="9"/>
      <c r="I2267" s="9"/>
      <c r="J2267" s="9"/>
      <c r="K2267" s="9"/>
      <c r="L2267" s="9"/>
      <c r="M2267" s="9"/>
      <c r="N2267" s="10"/>
      <c r="O2267" s="10"/>
      <c r="P2267" s="9"/>
    </row>
    <row r="2268">
      <c r="A2268" s="10"/>
      <c r="B2268" s="9"/>
      <c r="C2268" s="10"/>
      <c r="D2268" s="10"/>
      <c r="E2268" s="9"/>
      <c r="F2268" s="9"/>
      <c r="G2268" s="9"/>
      <c r="H2268" s="9"/>
      <c r="I2268" s="9"/>
      <c r="J2268" s="9"/>
      <c r="K2268" s="9"/>
      <c r="L2268" s="9"/>
      <c r="M2268" s="9"/>
      <c r="N2268" s="10"/>
      <c r="O2268" s="10"/>
      <c r="P2268" s="9"/>
    </row>
    <row r="2269">
      <c r="A2269" s="10"/>
      <c r="B2269" s="9"/>
      <c r="C2269" s="10"/>
      <c r="D2269" s="10"/>
      <c r="E2269" s="9"/>
      <c r="F2269" s="9"/>
      <c r="G2269" s="9"/>
      <c r="H2269" s="9"/>
      <c r="I2269" s="9"/>
      <c r="J2269" s="9"/>
      <c r="K2269" s="9"/>
      <c r="L2269" s="9"/>
      <c r="M2269" s="9"/>
      <c r="N2269" s="10"/>
      <c r="O2269" s="10"/>
      <c r="P2269" s="9"/>
    </row>
    <row r="2270">
      <c r="A2270" s="10"/>
      <c r="B2270" s="9"/>
      <c r="C2270" s="10"/>
      <c r="D2270" s="10"/>
      <c r="E2270" s="9"/>
      <c r="F2270" s="9"/>
      <c r="G2270" s="9"/>
      <c r="H2270" s="9"/>
      <c r="I2270" s="9"/>
      <c r="J2270" s="9"/>
      <c r="K2270" s="9"/>
      <c r="L2270" s="9"/>
      <c r="M2270" s="9"/>
      <c r="N2270" s="10"/>
      <c r="O2270" s="10"/>
      <c r="P2270" s="9"/>
    </row>
    <row r="2271">
      <c r="A2271" s="10"/>
      <c r="B2271" s="9"/>
      <c r="C2271" s="10"/>
      <c r="D2271" s="10"/>
      <c r="E2271" s="9"/>
      <c r="F2271" s="9"/>
      <c r="G2271" s="9"/>
      <c r="H2271" s="9"/>
      <c r="I2271" s="9"/>
      <c r="J2271" s="9"/>
      <c r="K2271" s="9"/>
      <c r="L2271" s="9"/>
      <c r="M2271" s="9"/>
      <c r="N2271" s="10"/>
      <c r="O2271" s="10"/>
      <c r="P2271" s="9"/>
    </row>
    <row r="2272">
      <c r="A2272" s="10"/>
      <c r="B2272" s="9"/>
      <c r="C2272" s="10"/>
      <c r="D2272" s="10"/>
      <c r="E2272" s="9"/>
      <c r="F2272" s="9"/>
      <c r="G2272" s="9"/>
      <c r="H2272" s="9"/>
      <c r="I2272" s="9"/>
      <c r="J2272" s="9"/>
      <c r="K2272" s="9"/>
      <c r="L2272" s="9"/>
      <c r="M2272" s="9"/>
      <c r="N2272" s="10"/>
      <c r="O2272" s="10"/>
      <c r="P2272" s="9"/>
    </row>
    <row r="2273">
      <c r="A2273" s="10"/>
      <c r="B2273" s="9"/>
      <c r="C2273" s="10"/>
      <c r="D2273" s="10"/>
      <c r="E2273" s="9"/>
      <c r="F2273" s="9"/>
      <c r="G2273" s="9"/>
      <c r="H2273" s="9"/>
      <c r="I2273" s="9"/>
      <c r="J2273" s="9"/>
      <c r="K2273" s="9"/>
      <c r="L2273" s="9"/>
      <c r="M2273" s="9"/>
      <c r="N2273" s="10"/>
      <c r="O2273" s="10"/>
      <c r="P2273" s="9"/>
    </row>
    <row r="2274">
      <c r="A2274" s="10"/>
      <c r="B2274" s="9"/>
      <c r="C2274" s="10"/>
      <c r="D2274" s="10"/>
      <c r="E2274" s="9"/>
      <c r="F2274" s="9"/>
      <c r="G2274" s="9"/>
      <c r="H2274" s="9"/>
      <c r="I2274" s="9"/>
      <c r="J2274" s="9"/>
      <c r="K2274" s="9"/>
      <c r="L2274" s="9"/>
      <c r="M2274" s="9"/>
      <c r="N2274" s="10"/>
      <c r="O2274" s="10"/>
      <c r="P2274" s="9"/>
    </row>
    <row r="2275">
      <c r="A2275" s="10"/>
      <c r="B2275" s="9"/>
      <c r="C2275" s="10"/>
      <c r="D2275" s="10"/>
      <c r="E2275" s="9"/>
      <c r="F2275" s="9"/>
      <c r="G2275" s="9"/>
      <c r="H2275" s="9"/>
      <c r="I2275" s="9"/>
      <c r="J2275" s="9"/>
      <c r="K2275" s="9"/>
      <c r="L2275" s="9"/>
      <c r="M2275" s="9"/>
      <c r="N2275" s="10"/>
      <c r="O2275" s="10"/>
      <c r="P2275" s="9"/>
    </row>
    <row r="2276">
      <c r="A2276" s="10"/>
      <c r="B2276" s="9"/>
      <c r="C2276" s="10"/>
      <c r="D2276" s="10"/>
      <c r="E2276" s="9"/>
      <c r="F2276" s="9"/>
      <c r="G2276" s="9"/>
      <c r="H2276" s="9"/>
      <c r="I2276" s="9"/>
      <c r="J2276" s="9"/>
      <c r="K2276" s="9"/>
      <c r="L2276" s="9"/>
      <c r="M2276" s="9"/>
      <c r="N2276" s="10"/>
      <c r="O2276" s="10"/>
      <c r="P2276" s="9"/>
    </row>
    <row r="2277">
      <c r="A2277" s="10"/>
      <c r="B2277" s="9"/>
      <c r="C2277" s="10"/>
      <c r="D2277" s="10"/>
      <c r="E2277" s="9"/>
      <c r="F2277" s="9"/>
      <c r="G2277" s="9"/>
      <c r="H2277" s="9"/>
      <c r="I2277" s="9"/>
      <c r="J2277" s="9"/>
      <c r="K2277" s="9"/>
      <c r="L2277" s="9"/>
      <c r="M2277" s="9"/>
      <c r="N2277" s="10"/>
      <c r="O2277" s="10"/>
      <c r="P2277" s="9"/>
    </row>
    <row r="2278">
      <c r="A2278" s="10"/>
      <c r="B2278" s="9"/>
      <c r="C2278" s="10"/>
      <c r="D2278" s="10"/>
      <c r="E2278" s="9"/>
      <c r="F2278" s="9"/>
      <c r="G2278" s="9"/>
      <c r="H2278" s="9"/>
      <c r="I2278" s="9"/>
      <c r="J2278" s="9"/>
      <c r="K2278" s="9"/>
      <c r="L2278" s="9"/>
      <c r="M2278" s="9"/>
      <c r="N2278" s="10"/>
      <c r="O2278" s="10"/>
      <c r="P2278" s="9"/>
    </row>
    <row r="2279">
      <c r="A2279" s="10"/>
      <c r="B2279" s="9"/>
      <c r="C2279" s="10"/>
      <c r="D2279" s="10"/>
      <c r="E2279" s="9"/>
      <c r="F2279" s="9"/>
      <c r="G2279" s="9"/>
      <c r="H2279" s="9"/>
      <c r="I2279" s="9"/>
      <c r="J2279" s="9"/>
      <c r="K2279" s="9"/>
      <c r="L2279" s="9"/>
      <c r="M2279" s="9"/>
      <c r="N2279" s="10"/>
      <c r="O2279" s="10"/>
      <c r="P2279" s="9"/>
    </row>
    <row r="2280">
      <c r="A2280" s="10"/>
      <c r="B2280" s="9"/>
      <c r="C2280" s="10"/>
      <c r="D2280" s="10"/>
      <c r="E2280" s="9"/>
      <c r="F2280" s="9"/>
      <c r="G2280" s="9"/>
      <c r="H2280" s="9"/>
      <c r="I2280" s="9"/>
      <c r="J2280" s="9"/>
      <c r="K2280" s="9"/>
      <c r="L2280" s="9"/>
      <c r="M2280" s="9"/>
      <c r="N2280" s="10"/>
      <c r="O2280" s="10"/>
      <c r="P2280" s="9"/>
    </row>
    <row r="2281">
      <c r="A2281" s="10"/>
      <c r="B2281" s="9"/>
      <c r="C2281" s="10"/>
      <c r="D2281" s="10"/>
      <c r="E2281" s="9"/>
      <c r="F2281" s="9"/>
      <c r="G2281" s="9"/>
      <c r="H2281" s="9"/>
      <c r="I2281" s="9"/>
      <c r="J2281" s="9"/>
      <c r="K2281" s="9"/>
      <c r="L2281" s="9"/>
      <c r="M2281" s="9"/>
      <c r="N2281" s="10"/>
      <c r="O2281" s="10"/>
      <c r="P2281" s="9"/>
    </row>
    <row r="2282">
      <c r="A2282" s="10"/>
      <c r="B2282" s="9"/>
      <c r="C2282" s="10"/>
      <c r="D2282" s="10"/>
      <c r="E2282" s="9"/>
      <c r="F2282" s="9"/>
      <c r="G2282" s="9"/>
      <c r="H2282" s="9"/>
      <c r="I2282" s="9"/>
      <c r="J2282" s="9"/>
      <c r="K2282" s="9"/>
      <c r="L2282" s="9"/>
      <c r="M2282" s="9"/>
      <c r="N2282" s="10"/>
      <c r="O2282" s="10"/>
      <c r="P2282" s="9"/>
    </row>
    <row r="2283">
      <c r="A2283" s="10"/>
      <c r="B2283" s="9"/>
      <c r="C2283" s="10"/>
      <c r="D2283" s="10"/>
      <c r="E2283" s="9"/>
      <c r="F2283" s="9"/>
      <c r="G2283" s="9"/>
      <c r="H2283" s="9"/>
      <c r="I2283" s="9"/>
      <c r="J2283" s="9"/>
      <c r="K2283" s="9"/>
      <c r="L2283" s="9"/>
      <c r="M2283" s="9"/>
      <c r="N2283" s="10"/>
      <c r="O2283" s="10"/>
      <c r="P2283" s="9"/>
    </row>
    <row r="2284">
      <c r="A2284" s="10"/>
      <c r="B2284" s="9"/>
      <c r="C2284" s="10"/>
      <c r="D2284" s="10"/>
      <c r="E2284" s="9"/>
      <c r="F2284" s="9"/>
      <c r="G2284" s="9"/>
      <c r="H2284" s="9"/>
      <c r="I2284" s="9"/>
      <c r="J2284" s="9"/>
      <c r="K2284" s="9"/>
      <c r="L2284" s="9"/>
      <c r="M2284" s="9"/>
      <c r="N2284" s="10"/>
      <c r="O2284" s="10"/>
      <c r="P2284" s="9"/>
    </row>
    <row r="2285">
      <c r="A2285" s="10"/>
      <c r="B2285" s="9"/>
      <c r="C2285" s="10"/>
      <c r="D2285" s="10"/>
      <c r="E2285" s="9"/>
      <c r="F2285" s="9"/>
      <c r="G2285" s="9"/>
      <c r="H2285" s="9"/>
      <c r="I2285" s="9"/>
      <c r="J2285" s="9"/>
      <c r="K2285" s="9"/>
      <c r="L2285" s="9"/>
      <c r="M2285" s="9"/>
      <c r="N2285" s="10"/>
      <c r="O2285" s="10"/>
      <c r="P2285" s="9"/>
    </row>
    <row r="2286">
      <c r="A2286" s="10"/>
      <c r="B2286" s="9"/>
      <c r="C2286" s="10"/>
      <c r="D2286" s="10"/>
      <c r="E2286" s="9"/>
      <c r="F2286" s="9"/>
      <c r="G2286" s="9"/>
      <c r="H2286" s="9"/>
      <c r="I2286" s="9"/>
      <c r="J2286" s="9"/>
      <c r="K2286" s="9"/>
      <c r="L2286" s="9"/>
      <c r="M2286" s="9"/>
      <c r="N2286" s="10"/>
      <c r="O2286" s="10"/>
      <c r="P2286" s="9"/>
    </row>
    <row r="2287">
      <c r="A2287" s="10"/>
      <c r="B2287" s="9"/>
      <c r="C2287" s="10"/>
      <c r="D2287" s="10"/>
      <c r="E2287" s="9"/>
      <c r="F2287" s="9"/>
      <c r="G2287" s="9"/>
      <c r="H2287" s="9"/>
      <c r="I2287" s="9"/>
      <c r="J2287" s="9"/>
      <c r="K2287" s="9"/>
      <c r="L2287" s="9"/>
      <c r="M2287" s="9"/>
      <c r="N2287" s="10"/>
      <c r="O2287" s="10"/>
      <c r="P2287" s="9"/>
    </row>
    <row r="2288">
      <c r="A2288" s="10"/>
      <c r="B2288" s="9"/>
      <c r="C2288" s="10"/>
      <c r="D2288" s="10"/>
      <c r="E2288" s="9"/>
      <c r="F2288" s="9"/>
      <c r="G2288" s="9"/>
      <c r="H2288" s="9"/>
      <c r="I2288" s="9"/>
      <c r="J2288" s="9"/>
      <c r="K2288" s="9"/>
      <c r="L2288" s="9"/>
      <c r="M2288" s="9"/>
      <c r="N2288" s="10"/>
      <c r="O2288" s="10"/>
      <c r="P2288" s="9"/>
    </row>
    <row r="2289">
      <c r="A2289" s="10"/>
      <c r="B2289" s="9"/>
      <c r="C2289" s="10"/>
      <c r="D2289" s="10"/>
      <c r="E2289" s="9"/>
      <c r="F2289" s="9"/>
      <c r="G2289" s="9"/>
      <c r="H2289" s="9"/>
      <c r="I2289" s="9"/>
      <c r="J2289" s="9"/>
      <c r="K2289" s="9"/>
      <c r="L2289" s="9"/>
      <c r="M2289" s="9"/>
      <c r="N2289" s="10"/>
      <c r="O2289" s="10"/>
      <c r="P2289" s="9"/>
    </row>
    <row r="2290">
      <c r="A2290" s="10"/>
      <c r="B2290" s="9"/>
      <c r="C2290" s="10"/>
      <c r="D2290" s="10"/>
      <c r="E2290" s="9"/>
      <c r="F2290" s="9"/>
      <c r="G2290" s="9"/>
      <c r="H2290" s="9"/>
      <c r="I2290" s="9"/>
      <c r="J2290" s="9"/>
      <c r="K2290" s="9"/>
      <c r="L2290" s="9"/>
      <c r="M2290" s="9"/>
      <c r="N2290" s="10"/>
      <c r="O2290" s="10"/>
      <c r="P2290" s="9"/>
    </row>
    <row r="2291">
      <c r="A2291" s="10"/>
      <c r="B2291" s="9"/>
      <c r="C2291" s="10"/>
      <c r="D2291" s="10"/>
      <c r="E2291" s="9"/>
      <c r="F2291" s="9"/>
      <c r="G2291" s="9"/>
      <c r="H2291" s="9"/>
      <c r="I2291" s="9"/>
      <c r="J2291" s="9"/>
      <c r="K2291" s="9"/>
      <c r="L2291" s="9"/>
      <c r="M2291" s="9"/>
      <c r="N2291" s="10"/>
      <c r="O2291" s="10"/>
      <c r="P2291" s="9"/>
    </row>
    <row r="2292">
      <c r="A2292" s="10"/>
      <c r="B2292" s="9"/>
      <c r="C2292" s="10"/>
      <c r="D2292" s="10"/>
      <c r="E2292" s="9"/>
      <c r="F2292" s="9"/>
      <c r="G2292" s="9"/>
      <c r="H2292" s="9"/>
      <c r="I2292" s="9"/>
      <c r="J2292" s="9"/>
      <c r="K2292" s="9"/>
      <c r="L2292" s="9"/>
      <c r="M2292" s="9"/>
      <c r="N2292" s="10"/>
      <c r="O2292" s="10"/>
      <c r="P2292" s="9"/>
    </row>
    <row r="2293">
      <c r="A2293" s="10"/>
      <c r="B2293" s="9"/>
      <c r="C2293" s="10"/>
      <c r="D2293" s="10"/>
      <c r="E2293" s="9"/>
      <c r="F2293" s="9"/>
      <c r="G2293" s="9"/>
      <c r="H2293" s="9"/>
      <c r="I2293" s="9"/>
      <c r="J2293" s="9"/>
      <c r="K2293" s="9"/>
      <c r="L2293" s="9"/>
      <c r="M2293" s="9"/>
      <c r="N2293" s="10"/>
      <c r="O2293" s="10"/>
      <c r="P2293" s="9"/>
    </row>
    <row r="2294">
      <c r="A2294" s="10"/>
      <c r="B2294" s="9"/>
      <c r="C2294" s="10"/>
      <c r="D2294" s="10"/>
      <c r="E2294" s="9"/>
      <c r="F2294" s="9"/>
      <c r="G2294" s="9"/>
      <c r="H2294" s="9"/>
      <c r="I2294" s="9"/>
      <c r="J2294" s="9"/>
      <c r="K2294" s="9"/>
      <c r="L2294" s="9"/>
      <c r="M2294" s="9"/>
      <c r="N2294" s="10"/>
      <c r="O2294" s="10"/>
      <c r="P2294" s="9"/>
    </row>
    <row r="2295">
      <c r="A2295" s="10"/>
      <c r="B2295" s="9"/>
      <c r="C2295" s="10"/>
      <c r="D2295" s="10"/>
      <c r="E2295" s="9"/>
      <c r="F2295" s="9"/>
      <c r="G2295" s="9"/>
      <c r="H2295" s="9"/>
      <c r="I2295" s="9"/>
      <c r="J2295" s="9"/>
      <c r="K2295" s="9"/>
      <c r="L2295" s="9"/>
      <c r="M2295" s="9"/>
      <c r="N2295" s="10"/>
      <c r="O2295" s="10"/>
      <c r="P2295" s="9"/>
    </row>
    <row r="2296">
      <c r="A2296" s="10"/>
      <c r="B2296" s="9"/>
      <c r="C2296" s="10"/>
      <c r="D2296" s="10"/>
      <c r="E2296" s="9"/>
      <c r="F2296" s="9"/>
      <c r="G2296" s="9"/>
      <c r="H2296" s="9"/>
      <c r="I2296" s="9"/>
      <c r="J2296" s="9"/>
      <c r="K2296" s="9"/>
      <c r="L2296" s="9"/>
      <c r="M2296" s="9"/>
      <c r="N2296" s="10"/>
      <c r="O2296" s="10"/>
      <c r="P2296" s="9"/>
    </row>
    <row r="2297">
      <c r="A2297" s="10"/>
      <c r="B2297" s="9"/>
      <c r="C2297" s="10"/>
      <c r="D2297" s="10"/>
      <c r="E2297" s="9"/>
      <c r="F2297" s="9"/>
      <c r="G2297" s="9"/>
      <c r="H2297" s="9"/>
      <c r="I2297" s="9"/>
      <c r="J2297" s="9"/>
      <c r="K2297" s="9"/>
      <c r="L2297" s="9"/>
      <c r="M2297" s="9"/>
      <c r="N2297" s="10"/>
      <c r="O2297" s="10"/>
      <c r="P2297" s="9"/>
    </row>
    <row r="2298">
      <c r="A2298" s="10"/>
      <c r="B2298" s="9"/>
      <c r="C2298" s="10"/>
      <c r="D2298" s="10"/>
      <c r="E2298" s="9"/>
      <c r="F2298" s="9"/>
      <c r="G2298" s="9"/>
      <c r="H2298" s="9"/>
      <c r="I2298" s="9"/>
      <c r="J2298" s="9"/>
      <c r="K2298" s="9"/>
      <c r="L2298" s="9"/>
      <c r="M2298" s="9"/>
      <c r="N2298" s="10"/>
      <c r="O2298" s="10"/>
      <c r="P2298" s="9"/>
    </row>
    <row r="2299">
      <c r="A2299" s="10"/>
      <c r="B2299" s="9"/>
      <c r="C2299" s="10"/>
      <c r="D2299" s="10"/>
      <c r="E2299" s="9"/>
      <c r="F2299" s="9"/>
      <c r="G2299" s="9"/>
      <c r="H2299" s="9"/>
      <c r="I2299" s="9"/>
      <c r="J2299" s="9"/>
      <c r="K2299" s="9"/>
      <c r="L2299" s="9"/>
      <c r="M2299" s="9"/>
      <c r="N2299" s="10"/>
      <c r="O2299" s="10"/>
      <c r="P2299" s="9"/>
    </row>
    <row r="2300">
      <c r="A2300" s="10"/>
      <c r="B2300" s="9"/>
      <c r="C2300" s="10"/>
      <c r="D2300" s="10"/>
      <c r="E2300" s="9"/>
      <c r="F2300" s="9"/>
      <c r="G2300" s="9"/>
      <c r="H2300" s="9"/>
      <c r="I2300" s="9"/>
      <c r="J2300" s="9"/>
      <c r="K2300" s="9"/>
      <c r="L2300" s="9"/>
      <c r="M2300" s="9"/>
      <c r="N2300" s="10"/>
      <c r="O2300" s="10"/>
      <c r="P2300" s="9"/>
    </row>
    <row r="2301">
      <c r="A2301" s="10"/>
      <c r="B2301" s="9"/>
      <c r="C2301" s="10"/>
      <c r="D2301" s="10"/>
      <c r="E2301" s="9"/>
      <c r="F2301" s="9"/>
      <c r="G2301" s="9"/>
      <c r="H2301" s="9"/>
      <c r="I2301" s="9"/>
      <c r="J2301" s="9"/>
      <c r="K2301" s="9"/>
      <c r="L2301" s="9"/>
      <c r="M2301" s="9"/>
      <c r="N2301" s="10"/>
      <c r="O2301" s="10"/>
      <c r="P2301" s="9"/>
    </row>
    <row r="2302">
      <c r="A2302" s="10"/>
      <c r="B2302" s="9"/>
      <c r="C2302" s="10"/>
      <c r="D2302" s="10"/>
      <c r="E2302" s="9"/>
      <c r="F2302" s="9"/>
      <c r="G2302" s="9"/>
      <c r="H2302" s="9"/>
      <c r="I2302" s="9"/>
      <c r="J2302" s="9"/>
      <c r="K2302" s="9"/>
      <c r="L2302" s="9"/>
      <c r="M2302" s="9"/>
      <c r="N2302" s="10"/>
      <c r="O2302" s="10"/>
      <c r="P2302" s="9"/>
    </row>
    <row r="2303">
      <c r="A2303" s="10"/>
      <c r="B2303" s="9"/>
      <c r="C2303" s="10"/>
      <c r="D2303" s="10"/>
      <c r="E2303" s="9"/>
      <c r="F2303" s="9"/>
      <c r="G2303" s="9"/>
      <c r="H2303" s="9"/>
      <c r="I2303" s="9"/>
      <c r="J2303" s="9"/>
      <c r="K2303" s="9"/>
      <c r="L2303" s="9"/>
      <c r="M2303" s="9"/>
      <c r="N2303" s="10"/>
      <c r="O2303" s="10"/>
      <c r="P2303" s="9"/>
    </row>
    <row r="2304">
      <c r="A2304" s="10"/>
      <c r="B2304" s="9"/>
      <c r="C2304" s="10"/>
      <c r="D2304" s="10"/>
      <c r="E2304" s="9"/>
      <c r="F2304" s="9"/>
      <c r="G2304" s="9"/>
      <c r="H2304" s="9"/>
      <c r="I2304" s="9"/>
      <c r="J2304" s="9"/>
      <c r="K2304" s="9"/>
      <c r="L2304" s="9"/>
      <c r="M2304" s="9"/>
      <c r="N2304" s="10"/>
      <c r="O2304" s="10"/>
      <c r="P2304" s="9"/>
    </row>
    <row r="2305">
      <c r="A2305" s="10"/>
      <c r="B2305" s="9"/>
      <c r="C2305" s="10"/>
      <c r="D2305" s="10"/>
      <c r="E2305" s="9"/>
      <c r="F2305" s="9"/>
      <c r="G2305" s="9"/>
      <c r="H2305" s="9"/>
      <c r="I2305" s="9"/>
      <c r="J2305" s="9"/>
      <c r="K2305" s="9"/>
      <c r="L2305" s="9"/>
      <c r="M2305" s="9"/>
      <c r="N2305" s="10"/>
      <c r="O2305" s="10"/>
      <c r="P2305" s="9"/>
    </row>
    <row r="2306">
      <c r="A2306" s="10"/>
      <c r="B2306" s="9"/>
      <c r="C2306" s="10"/>
      <c r="D2306" s="10"/>
      <c r="E2306" s="9"/>
      <c r="F2306" s="9"/>
      <c r="G2306" s="9"/>
      <c r="H2306" s="9"/>
      <c r="I2306" s="9"/>
      <c r="J2306" s="9"/>
      <c r="K2306" s="9"/>
      <c r="L2306" s="9"/>
      <c r="M2306" s="9"/>
      <c r="N2306" s="10"/>
      <c r="O2306" s="10"/>
      <c r="P2306" s="9"/>
    </row>
    <row r="2307">
      <c r="A2307" s="10"/>
      <c r="B2307" s="9"/>
      <c r="C2307" s="10"/>
      <c r="D2307" s="10"/>
      <c r="E2307" s="9"/>
      <c r="F2307" s="9"/>
      <c r="G2307" s="9"/>
      <c r="H2307" s="9"/>
      <c r="I2307" s="9"/>
      <c r="J2307" s="9"/>
      <c r="K2307" s="9"/>
      <c r="L2307" s="9"/>
      <c r="M2307" s="9"/>
      <c r="N2307" s="10"/>
      <c r="O2307" s="10"/>
      <c r="P2307" s="9"/>
    </row>
    <row r="2308">
      <c r="A2308" s="10"/>
      <c r="B2308" s="9"/>
      <c r="C2308" s="10"/>
      <c r="D2308" s="10"/>
      <c r="E2308" s="9"/>
      <c r="F2308" s="9"/>
      <c r="G2308" s="9"/>
      <c r="H2308" s="9"/>
      <c r="I2308" s="9"/>
      <c r="J2308" s="9"/>
      <c r="K2308" s="9"/>
      <c r="L2308" s="9"/>
      <c r="M2308" s="9"/>
      <c r="N2308" s="10"/>
      <c r="O2308" s="10"/>
      <c r="P2308" s="9"/>
    </row>
    <row r="2309">
      <c r="A2309" s="10"/>
      <c r="B2309" s="9"/>
      <c r="C2309" s="10"/>
      <c r="D2309" s="10"/>
      <c r="E2309" s="9"/>
      <c r="F2309" s="9"/>
      <c r="G2309" s="9"/>
      <c r="H2309" s="9"/>
      <c r="I2309" s="9"/>
      <c r="J2309" s="9"/>
      <c r="K2309" s="9"/>
      <c r="L2309" s="9"/>
      <c r="M2309" s="9"/>
      <c r="N2309" s="10"/>
      <c r="O2309" s="10"/>
      <c r="P2309" s="9"/>
    </row>
    <row r="2310">
      <c r="A2310" s="10"/>
      <c r="B2310" s="9"/>
      <c r="C2310" s="10"/>
      <c r="D2310" s="10"/>
      <c r="E2310" s="9"/>
      <c r="F2310" s="9"/>
      <c r="G2310" s="9"/>
      <c r="H2310" s="9"/>
      <c r="I2310" s="9"/>
      <c r="J2310" s="9"/>
      <c r="K2310" s="9"/>
      <c r="L2310" s="9"/>
      <c r="M2310" s="9"/>
      <c r="N2310" s="10"/>
      <c r="O2310" s="10"/>
      <c r="P2310" s="9"/>
    </row>
    <row r="2311">
      <c r="A2311" s="10"/>
      <c r="B2311" s="9"/>
      <c r="C2311" s="10"/>
      <c r="D2311" s="10"/>
      <c r="E2311" s="9"/>
      <c r="F2311" s="9"/>
      <c r="G2311" s="9"/>
      <c r="H2311" s="9"/>
      <c r="I2311" s="9"/>
      <c r="J2311" s="9"/>
      <c r="K2311" s="9"/>
      <c r="L2311" s="9"/>
      <c r="M2311" s="9"/>
      <c r="N2311" s="10"/>
      <c r="O2311" s="10"/>
      <c r="P2311" s="9"/>
    </row>
    <row r="2312">
      <c r="A2312" s="10"/>
      <c r="B2312" s="9"/>
      <c r="C2312" s="10"/>
      <c r="D2312" s="10"/>
      <c r="E2312" s="9"/>
      <c r="F2312" s="9"/>
      <c r="G2312" s="9"/>
      <c r="H2312" s="9"/>
      <c r="I2312" s="9"/>
      <c r="J2312" s="9"/>
      <c r="K2312" s="9"/>
      <c r="L2312" s="9"/>
      <c r="M2312" s="9"/>
      <c r="N2312" s="10"/>
      <c r="O2312" s="10"/>
      <c r="P2312" s="9"/>
    </row>
    <row r="2313">
      <c r="A2313" s="10"/>
      <c r="B2313" s="9"/>
      <c r="C2313" s="10"/>
      <c r="D2313" s="10"/>
      <c r="E2313" s="9"/>
      <c r="F2313" s="9"/>
      <c r="G2313" s="9"/>
      <c r="H2313" s="9"/>
      <c r="I2313" s="9"/>
      <c r="J2313" s="9"/>
      <c r="K2313" s="9"/>
      <c r="L2313" s="9"/>
      <c r="M2313" s="9"/>
      <c r="N2313" s="10"/>
      <c r="O2313" s="10"/>
      <c r="P2313" s="9"/>
    </row>
    <row r="2314">
      <c r="A2314" s="10"/>
      <c r="B2314" s="9"/>
      <c r="C2314" s="10"/>
      <c r="D2314" s="10"/>
      <c r="E2314" s="9"/>
      <c r="F2314" s="9"/>
      <c r="G2314" s="9"/>
      <c r="H2314" s="9"/>
      <c r="I2314" s="9"/>
      <c r="J2314" s="9"/>
      <c r="K2314" s="9"/>
      <c r="L2314" s="9"/>
      <c r="M2314" s="9"/>
      <c r="N2314" s="10"/>
      <c r="O2314" s="10"/>
      <c r="P2314" s="9"/>
    </row>
    <row r="2315">
      <c r="A2315" s="10"/>
      <c r="B2315" s="9"/>
      <c r="C2315" s="10"/>
      <c r="D2315" s="10"/>
      <c r="E2315" s="9"/>
      <c r="F2315" s="9"/>
      <c r="G2315" s="9"/>
      <c r="H2315" s="9"/>
      <c r="I2315" s="9"/>
      <c r="J2315" s="9"/>
      <c r="K2315" s="9"/>
      <c r="L2315" s="9"/>
      <c r="M2315" s="9"/>
      <c r="N2315" s="10"/>
      <c r="O2315" s="10"/>
      <c r="P2315" s="9"/>
    </row>
    <row r="2316">
      <c r="A2316" s="10"/>
      <c r="B2316" s="9"/>
      <c r="C2316" s="10"/>
      <c r="D2316" s="10"/>
      <c r="E2316" s="9"/>
      <c r="F2316" s="9"/>
      <c r="G2316" s="9"/>
      <c r="H2316" s="9"/>
      <c r="I2316" s="9"/>
      <c r="J2316" s="9"/>
      <c r="K2316" s="9"/>
      <c r="L2316" s="9"/>
      <c r="M2316" s="9"/>
      <c r="N2316" s="10"/>
      <c r="O2316" s="10"/>
      <c r="P2316" s="9"/>
    </row>
    <row r="2317">
      <c r="A2317" s="10"/>
      <c r="B2317" s="9"/>
      <c r="C2317" s="10"/>
      <c r="D2317" s="10"/>
      <c r="E2317" s="9"/>
      <c r="F2317" s="9"/>
      <c r="G2317" s="9"/>
      <c r="H2317" s="9"/>
      <c r="I2317" s="9"/>
      <c r="J2317" s="9"/>
      <c r="K2317" s="9"/>
      <c r="L2317" s="9"/>
      <c r="M2317" s="9"/>
      <c r="N2317" s="10"/>
      <c r="O2317" s="10"/>
      <c r="P2317" s="9"/>
    </row>
    <row r="2318">
      <c r="A2318" s="10"/>
      <c r="B2318" s="9"/>
      <c r="C2318" s="10"/>
      <c r="D2318" s="10"/>
      <c r="E2318" s="9"/>
      <c r="F2318" s="9"/>
      <c r="G2318" s="9"/>
      <c r="H2318" s="9"/>
      <c r="I2318" s="9"/>
      <c r="J2318" s="9"/>
      <c r="K2318" s="9"/>
      <c r="L2318" s="9"/>
      <c r="M2318" s="9"/>
      <c r="N2318" s="10"/>
      <c r="O2318" s="10"/>
      <c r="P2318" s="9"/>
    </row>
    <row r="2319">
      <c r="A2319" s="10"/>
      <c r="B2319" s="9"/>
      <c r="C2319" s="10"/>
      <c r="D2319" s="10"/>
      <c r="E2319" s="9"/>
      <c r="F2319" s="9"/>
      <c r="G2319" s="9"/>
      <c r="H2319" s="9"/>
      <c r="I2319" s="9"/>
      <c r="J2319" s="9"/>
      <c r="K2319" s="9"/>
      <c r="L2319" s="9"/>
      <c r="M2319" s="9"/>
      <c r="N2319" s="10"/>
      <c r="O2319" s="10"/>
      <c r="P2319" s="9"/>
    </row>
    <row r="2320">
      <c r="A2320" s="10"/>
      <c r="B2320" s="9"/>
      <c r="C2320" s="10"/>
      <c r="D2320" s="10"/>
      <c r="E2320" s="9"/>
      <c r="F2320" s="9"/>
      <c r="G2320" s="9"/>
      <c r="H2320" s="9"/>
      <c r="I2320" s="9"/>
      <c r="J2320" s="9"/>
      <c r="K2320" s="9"/>
      <c r="L2320" s="9"/>
      <c r="M2320" s="9"/>
      <c r="N2320" s="10"/>
      <c r="O2320" s="10"/>
      <c r="P2320" s="9"/>
    </row>
    <row r="2321">
      <c r="A2321" s="10"/>
      <c r="B2321" s="9"/>
      <c r="C2321" s="10"/>
      <c r="D2321" s="10"/>
      <c r="E2321" s="9"/>
      <c r="F2321" s="9"/>
      <c r="G2321" s="9"/>
      <c r="H2321" s="9"/>
      <c r="I2321" s="9"/>
      <c r="J2321" s="9"/>
      <c r="K2321" s="9"/>
      <c r="L2321" s="9"/>
      <c r="M2321" s="9"/>
      <c r="N2321" s="10"/>
      <c r="O2321" s="10"/>
      <c r="P2321" s="9"/>
    </row>
    <row r="2322">
      <c r="A2322" s="10"/>
      <c r="B2322" s="9"/>
      <c r="C2322" s="10"/>
      <c r="D2322" s="10"/>
      <c r="E2322" s="9"/>
      <c r="F2322" s="9"/>
      <c r="G2322" s="9"/>
      <c r="H2322" s="9"/>
      <c r="I2322" s="9"/>
      <c r="J2322" s="9"/>
      <c r="K2322" s="9"/>
      <c r="L2322" s="9"/>
      <c r="M2322" s="9"/>
      <c r="N2322" s="10"/>
      <c r="O2322" s="10"/>
      <c r="P2322" s="9"/>
    </row>
    <row r="2323">
      <c r="A2323" s="10"/>
      <c r="B2323" s="9"/>
      <c r="C2323" s="10"/>
      <c r="D2323" s="10"/>
      <c r="E2323" s="9"/>
      <c r="F2323" s="9"/>
      <c r="G2323" s="9"/>
      <c r="H2323" s="9"/>
      <c r="I2323" s="9"/>
      <c r="J2323" s="9"/>
      <c r="K2323" s="9"/>
      <c r="L2323" s="9"/>
      <c r="M2323" s="9"/>
      <c r="N2323" s="10"/>
      <c r="O2323" s="10"/>
      <c r="P2323" s="9"/>
    </row>
    <row r="2324">
      <c r="A2324" s="10"/>
      <c r="B2324" s="9"/>
      <c r="C2324" s="10"/>
      <c r="D2324" s="10"/>
      <c r="E2324" s="9"/>
      <c r="F2324" s="9"/>
      <c r="G2324" s="9"/>
      <c r="H2324" s="9"/>
      <c r="I2324" s="9"/>
      <c r="J2324" s="9"/>
      <c r="K2324" s="9"/>
      <c r="L2324" s="9"/>
      <c r="M2324" s="9"/>
      <c r="N2324" s="10"/>
      <c r="O2324" s="10"/>
      <c r="P2324" s="9"/>
    </row>
    <row r="2325">
      <c r="A2325" s="10"/>
      <c r="B2325" s="9"/>
      <c r="C2325" s="10"/>
      <c r="D2325" s="10"/>
      <c r="E2325" s="9"/>
      <c r="F2325" s="9"/>
      <c r="G2325" s="9"/>
      <c r="H2325" s="9"/>
      <c r="I2325" s="9"/>
      <c r="J2325" s="9"/>
      <c r="K2325" s="9"/>
      <c r="L2325" s="9"/>
      <c r="M2325" s="9"/>
      <c r="N2325" s="10"/>
      <c r="O2325" s="10"/>
      <c r="P2325" s="9"/>
    </row>
    <row r="2326">
      <c r="A2326" s="10"/>
      <c r="B2326" s="9"/>
      <c r="C2326" s="10"/>
      <c r="D2326" s="10"/>
      <c r="E2326" s="9"/>
      <c r="F2326" s="9"/>
      <c r="G2326" s="9"/>
      <c r="H2326" s="9"/>
      <c r="I2326" s="9"/>
      <c r="J2326" s="9"/>
      <c r="K2326" s="9"/>
      <c r="L2326" s="9"/>
      <c r="M2326" s="9"/>
      <c r="N2326" s="10"/>
      <c r="O2326" s="10"/>
      <c r="P2326" s="9"/>
    </row>
    <row r="2327">
      <c r="A2327" s="10"/>
      <c r="B2327" s="9"/>
      <c r="C2327" s="10"/>
      <c r="D2327" s="10"/>
      <c r="E2327" s="9"/>
      <c r="F2327" s="9"/>
      <c r="G2327" s="9"/>
      <c r="H2327" s="9"/>
      <c r="I2327" s="9"/>
      <c r="J2327" s="9"/>
      <c r="K2327" s="9"/>
      <c r="L2327" s="9"/>
      <c r="M2327" s="9"/>
      <c r="N2327" s="10"/>
      <c r="O2327" s="10"/>
      <c r="P2327" s="9"/>
    </row>
    <row r="2328">
      <c r="A2328" s="10"/>
      <c r="B2328" s="9"/>
      <c r="C2328" s="10"/>
      <c r="D2328" s="10"/>
      <c r="E2328" s="9"/>
      <c r="F2328" s="9"/>
      <c r="G2328" s="9"/>
      <c r="H2328" s="9"/>
      <c r="I2328" s="9"/>
      <c r="J2328" s="9"/>
      <c r="K2328" s="9"/>
      <c r="L2328" s="9"/>
      <c r="M2328" s="9"/>
      <c r="N2328" s="10"/>
      <c r="O2328" s="10"/>
      <c r="P2328" s="9"/>
    </row>
    <row r="2329">
      <c r="A2329" s="10"/>
      <c r="B2329" s="9"/>
      <c r="C2329" s="10"/>
      <c r="D2329" s="10"/>
      <c r="E2329" s="9"/>
      <c r="F2329" s="9"/>
      <c r="G2329" s="9"/>
      <c r="H2329" s="9"/>
      <c r="I2329" s="9"/>
      <c r="J2329" s="9"/>
      <c r="K2329" s="9"/>
      <c r="L2329" s="9"/>
      <c r="M2329" s="9"/>
      <c r="N2329" s="10"/>
      <c r="O2329" s="10"/>
      <c r="P2329" s="9"/>
    </row>
    <row r="2330">
      <c r="A2330" s="10"/>
      <c r="B2330" s="9"/>
      <c r="C2330" s="10"/>
      <c r="D2330" s="10"/>
      <c r="E2330" s="9"/>
      <c r="F2330" s="9"/>
      <c r="G2330" s="9"/>
      <c r="H2330" s="9"/>
      <c r="I2330" s="9"/>
      <c r="J2330" s="9"/>
      <c r="K2330" s="9"/>
      <c r="L2330" s="9"/>
      <c r="M2330" s="9"/>
      <c r="N2330" s="10"/>
      <c r="O2330" s="10"/>
      <c r="P2330" s="9"/>
    </row>
    <row r="2331">
      <c r="A2331" s="10"/>
      <c r="B2331" s="9"/>
      <c r="C2331" s="10"/>
      <c r="D2331" s="10"/>
      <c r="E2331" s="9"/>
      <c r="F2331" s="9"/>
      <c r="G2331" s="9"/>
      <c r="H2331" s="9"/>
      <c r="I2331" s="9"/>
      <c r="J2331" s="9"/>
      <c r="K2331" s="9"/>
      <c r="L2331" s="9"/>
      <c r="M2331" s="9"/>
      <c r="N2331" s="10"/>
      <c r="O2331" s="10"/>
      <c r="P2331" s="9"/>
    </row>
    <row r="2332">
      <c r="A2332" s="10"/>
      <c r="B2332" s="9"/>
      <c r="C2332" s="10"/>
      <c r="D2332" s="10"/>
      <c r="E2332" s="9"/>
      <c r="F2332" s="9"/>
      <c r="G2332" s="9"/>
      <c r="H2332" s="9"/>
      <c r="I2332" s="9"/>
      <c r="J2332" s="9"/>
      <c r="K2332" s="9"/>
      <c r="L2332" s="9"/>
      <c r="M2332" s="9"/>
      <c r="N2332" s="10"/>
      <c r="O2332" s="10"/>
      <c r="P2332" s="9"/>
    </row>
    <row r="2333">
      <c r="A2333" s="10"/>
      <c r="B2333" s="9"/>
      <c r="C2333" s="10"/>
      <c r="D2333" s="10"/>
      <c r="E2333" s="9"/>
      <c r="F2333" s="9"/>
      <c r="G2333" s="9"/>
      <c r="H2333" s="9"/>
      <c r="I2333" s="9"/>
      <c r="J2333" s="9"/>
      <c r="K2333" s="9"/>
      <c r="L2333" s="9"/>
      <c r="M2333" s="9"/>
      <c r="N2333" s="10"/>
      <c r="O2333" s="10"/>
      <c r="P2333" s="9"/>
    </row>
    <row r="2334">
      <c r="A2334" s="10"/>
      <c r="B2334" s="9"/>
      <c r="C2334" s="10"/>
      <c r="D2334" s="10"/>
      <c r="E2334" s="9"/>
      <c r="F2334" s="9"/>
      <c r="G2334" s="9"/>
      <c r="H2334" s="9"/>
      <c r="I2334" s="9"/>
      <c r="J2334" s="9"/>
      <c r="K2334" s="9"/>
      <c r="L2334" s="9"/>
      <c r="M2334" s="9"/>
      <c r="N2334" s="10"/>
      <c r="O2334" s="10"/>
      <c r="P2334" s="9"/>
    </row>
    <row r="2335">
      <c r="A2335" s="10"/>
      <c r="B2335" s="9"/>
      <c r="C2335" s="10"/>
      <c r="D2335" s="10"/>
      <c r="E2335" s="9"/>
      <c r="F2335" s="9"/>
      <c r="G2335" s="9"/>
      <c r="H2335" s="9"/>
      <c r="I2335" s="9"/>
      <c r="J2335" s="9"/>
      <c r="K2335" s="9"/>
      <c r="L2335" s="9"/>
      <c r="M2335" s="9"/>
      <c r="N2335" s="10"/>
      <c r="O2335" s="10"/>
      <c r="P2335" s="9"/>
    </row>
    <row r="2336">
      <c r="A2336" s="10"/>
      <c r="B2336" s="9"/>
      <c r="C2336" s="10"/>
      <c r="D2336" s="10"/>
      <c r="E2336" s="9"/>
      <c r="F2336" s="9"/>
      <c r="G2336" s="9"/>
      <c r="H2336" s="9"/>
      <c r="I2336" s="9"/>
      <c r="J2336" s="9"/>
      <c r="K2336" s="9"/>
      <c r="L2336" s="9"/>
      <c r="M2336" s="9"/>
      <c r="N2336" s="10"/>
      <c r="O2336" s="10"/>
      <c r="P2336" s="9"/>
    </row>
    <row r="2337">
      <c r="A2337" s="10"/>
      <c r="B2337" s="9"/>
      <c r="C2337" s="10"/>
      <c r="D2337" s="10"/>
      <c r="E2337" s="9"/>
      <c r="F2337" s="9"/>
      <c r="G2337" s="9"/>
      <c r="H2337" s="9"/>
      <c r="I2337" s="9"/>
      <c r="J2337" s="9"/>
      <c r="K2337" s="9"/>
      <c r="L2337" s="9"/>
      <c r="M2337" s="9"/>
      <c r="N2337" s="10"/>
      <c r="O2337" s="10"/>
      <c r="P2337" s="9"/>
    </row>
    <row r="2338">
      <c r="A2338" s="10"/>
      <c r="B2338" s="9"/>
      <c r="C2338" s="10"/>
      <c r="D2338" s="10"/>
      <c r="E2338" s="9"/>
      <c r="F2338" s="9"/>
      <c r="G2338" s="9"/>
      <c r="H2338" s="9"/>
      <c r="I2338" s="9"/>
      <c r="J2338" s="9"/>
      <c r="K2338" s="9"/>
      <c r="L2338" s="9"/>
      <c r="M2338" s="9"/>
      <c r="N2338" s="10"/>
      <c r="O2338" s="10"/>
      <c r="P2338" s="9"/>
    </row>
    <row r="2339">
      <c r="A2339" s="10"/>
      <c r="B2339" s="9"/>
      <c r="C2339" s="10"/>
      <c r="D2339" s="10"/>
      <c r="E2339" s="9"/>
      <c r="F2339" s="9"/>
      <c r="G2339" s="9"/>
      <c r="H2339" s="9"/>
      <c r="I2339" s="9"/>
      <c r="J2339" s="9"/>
      <c r="K2339" s="9"/>
      <c r="L2339" s="9"/>
      <c r="M2339" s="9"/>
      <c r="N2339" s="10"/>
      <c r="O2339" s="10"/>
      <c r="P2339" s="9"/>
    </row>
    <row r="2340">
      <c r="A2340" s="10"/>
      <c r="B2340" s="9"/>
      <c r="C2340" s="10"/>
      <c r="D2340" s="10"/>
      <c r="E2340" s="9"/>
      <c r="F2340" s="9"/>
      <c r="G2340" s="9"/>
      <c r="H2340" s="9"/>
      <c r="I2340" s="9"/>
      <c r="J2340" s="9"/>
      <c r="K2340" s="9"/>
      <c r="L2340" s="9"/>
      <c r="M2340" s="9"/>
      <c r="N2340" s="10"/>
      <c r="O2340" s="10"/>
      <c r="P2340" s="9"/>
    </row>
    <row r="2341">
      <c r="A2341" s="10"/>
      <c r="B2341" s="9"/>
      <c r="C2341" s="10"/>
      <c r="D2341" s="10"/>
      <c r="E2341" s="9"/>
      <c r="F2341" s="9"/>
      <c r="G2341" s="9"/>
      <c r="H2341" s="9"/>
      <c r="I2341" s="9"/>
      <c r="J2341" s="9"/>
      <c r="K2341" s="9"/>
      <c r="L2341" s="9"/>
      <c r="M2341" s="9"/>
      <c r="N2341" s="10"/>
      <c r="O2341" s="10"/>
      <c r="P2341" s="9"/>
    </row>
    <row r="2342">
      <c r="A2342" s="10"/>
      <c r="B2342" s="9"/>
      <c r="C2342" s="10"/>
      <c r="D2342" s="10"/>
      <c r="E2342" s="9"/>
      <c r="F2342" s="9"/>
      <c r="G2342" s="9"/>
      <c r="H2342" s="9"/>
      <c r="I2342" s="9"/>
      <c r="J2342" s="9"/>
      <c r="K2342" s="9"/>
      <c r="L2342" s="9"/>
      <c r="M2342" s="9"/>
      <c r="N2342" s="10"/>
      <c r="O2342" s="10"/>
      <c r="P2342" s="9"/>
    </row>
    <row r="2343">
      <c r="A2343" s="10"/>
      <c r="B2343" s="9"/>
      <c r="C2343" s="10"/>
      <c r="D2343" s="10"/>
      <c r="E2343" s="9"/>
      <c r="F2343" s="9"/>
      <c r="G2343" s="9"/>
      <c r="H2343" s="9"/>
      <c r="I2343" s="9"/>
      <c r="J2343" s="9"/>
      <c r="K2343" s="9"/>
      <c r="L2343" s="9"/>
      <c r="M2343" s="9"/>
      <c r="N2343" s="10"/>
      <c r="O2343" s="10"/>
      <c r="P2343" s="9"/>
    </row>
    <row r="2344">
      <c r="A2344" s="10"/>
      <c r="B2344" s="9"/>
      <c r="C2344" s="10"/>
      <c r="D2344" s="10"/>
      <c r="E2344" s="9"/>
      <c r="F2344" s="9"/>
      <c r="G2344" s="9"/>
      <c r="H2344" s="9"/>
      <c r="I2344" s="9"/>
      <c r="J2344" s="9"/>
      <c r="K2344" s="9"/>
      <c r="L2344" s="9"/>
      <c r="M2344" s="9"/>
      <c r="N2344" s="10"/>
      <c r="O2344" s="10"/>
      <c r="P2344" s="9"/>
    </row>
    <row r="2345">
      <c r="A2345" s="10"/>
      <c r="B2345" s="9"/>
      <c r="C2345" s="10"/>
      <c r="D2345" s="10"/>
      <c r="E2345" s="9"/>
      <c r="F2345" s="9"/>
      <c r="G2345" s="9"/>
      <c r="H2345" s="9"/>
      <c r="I2345" s="9"/>
      <c r="J2345" s="9"/>
      <c r="K2345" s="9"/>
      <c r="L2345" s="9"/>
      <c r="M2345" s="9"/>
      <c r="N2345" s="10"/>
      <c r="O2345" s="10"/>
      <c r="P2345" s="9"/>
    </row>
    <row r="2346">
      <c r="A2346" s="10"/>
      <c r="B2346" s="9"/>
      <c r="C2346" s="10"/>
      <c r="D2346" s="10"/>
      <c r="E2346" s="9"/>
      <c r="F2346" s="9"/>
      <c r="G2346" s="9"/>
      <c r="H2346" s="9"/>
      <c r="I2346" s="9"/>
      <c r="J2346" s="9"/>
      <c r="K2346" s="9"/>
      <c r="L2346" s="9"/>
      <c r="M2346" s="9"/>
      <c r="N2346" s="10"/>
      <c r="O2346" s="10"/>
      <c r="P2346" s="9"/>
    </row>
    <row r="2347">
      <c r="A2347" s="10"/>
      <c r="B2347" s="9"/>
      <c r="C2347" s="10"/>
      <c r="D2347" s="10"/>
      <c r="E2347" s="9"/>
      <c r="F2347" s="9"/>
      <c r="G2347" s="9"/>
      <c r="H2347" s="9"/>
      <c r="I2347" s="9"/>
      <c r="J2347" s="9"/>
      <c r="K2347" s="9"/>
      <c r="L2347" s="9"/>
      <c r="M2347" s="9"/>
      <c r="N2347" s="10"/>
      <c r="O2347" s="10"/>
      <c r="P2347" s="9"/>
    </row>
    <row r="2348">
      <c r="A2348" s="10"/>
      <c r="B2348" s="9"/>
      <c r="C2348" s="10"/>
      <c r="D2348" s="10"/>
      <c r="E2348" s="9"/>
      <c r="F2348" s="9"/>
      <c r="G2348" s="9"/>
      <c r="H2348" s="9"/>
      <c r="I2348" s="9"/>
      <c r="J2348" s="9"/>
      <c r="K2348" s="9"/>
      <c r="L2348" s="9"/>
      <c r="M2348" s="9"/>
      <c r="N2348" s="10"/>
      <c r="O2348" s="10"/>
      <c r="P2348" s="9"/>
    </row>
    <row r="2349">
      <c r="A2349" s="10"/>
      <c r="B2349" s="9"/>
      <c r="C2349" s="10"/>
      <c r="D2349" s="10"/>
      <c r="E2349" s="9"/>
      <c r="F2349" s="9"/>
      <c r="G2349" s="9"/>
      <c r="H2349" s="9"/>
      <c r="I2349" s="9"/>
      <c r="J2349" s="9"/>
      <c r="K2349" s="9"/>
      <c r="L2349" s="9"/>
      <c r="M2349" s="9"/>
      <c r="N2349" s="10"/>
      <c r="O2349" s="10"/>
      <c r="P2349" s="9"/>
    </row>
    <row r="2350">
      <c r="A2350" s="10"/>
      <c r="B2350" s="9"/>
      <c r="C2350" s="10"/>
      <c r="D2350" s="10"/>
      <c r="E2350" s="9"/>
      <c r="F2350" s="9"/>
      <c r="G2350" s="9"/>
      <c r="H2350" s="9"/>
      <c r="I2350" s="9"/>
      <c r="J2350" s="9"/>
      <c r="K2350" s="9"/>
      <c r="L2350" s="9"/>
      <c r="M2350" s="9"/>
      <c r="N2350" s="10"/>
      <c r="O2350" s="10"/>
      <c r="P2350" s="9"/>
    </row>
    <row r="2351">
      <c r="A2351" s="10"/>
      <c r="B2351" s="9"/>
      <c r="C2351" s="10"/>
      <c r="D2351" s="10"/>
      <c r="E2351" s="9"/>
      <c r="F2351" s="9"/>
      <c r="G2351" s="9"/>
      <c r="H2351" s="9"/>
      <c r="I2351" s="9"/>
      <c r="J2351" s="9"/>
      <c r="K2351" s="9"/>
      <c r="L2351" s="9"/>
      <c r="M2351" s="9"/>
      <c r="N2351" s="10"/>
      <c r="O2351" s="10"/>
      <c r="P2351" s="9"/>
    </row>
    <row r="2352">
      <c r="A2352" s="10"/>
      <c r="B2352" s="9"/>
      <c r="C2352" s="10"/>
      <c r="D2352" s="10"/>
      <c r="E2352" s="9"/>
      <c r="F2352" s="9"/>
      <c r="G2352" s="9"/>
      <c r="H2352" s="9"/>
      <c r="I2352" s="9"/>
      <c r="J2352" s="9"/>
      <c r="K2352" s="9"/>
      <c r="L2352" s="9"/>
      <c r="M2352" s="9"/>
      <c r="N2352" s="10"/>
      <c r="O2352" s="10"/>
      <c r="P2352" s="9"/>
    </row>
    <row r="2353">
      <c r="A2353" s="10"/>
      <c r="B2353" s="9"/>
      <c r="C2353" s="10"/>
      <c r="D2353" s="10"/>
      <c r="E2353" s="9"/>
      <c r="F2353" s="9"/>
      <c r="G2353" s="9"/>
      <c r="H2353" s="9"/>
      <c r="I2353" s="9"/>
      <c r="J2353" s="9"/>
      <c r="K2353" s="9"/>
      <c r="L2353" s="9"/>
      <c r="M2353" s="9"/>
      <c r="N2353" s="10"/>
      <c r="O2353" s="10"/>
      <c r="P2353" s="9"/>
    </row>
    <row r="2354">
      <c r="A2354" s="10"/>
      <c r="B2354" s="9"/>
      <c r="C2354" s="10"/>
      <c r="D2354" s="10"/>
      <c r="E2354" s="9"/>
      <c r="F2354" s="9"/>
      <c r="G2354" s="9"/>
      <c r="H2354" s="9"/>
      <c r="I2354" s="9"/>
      <c r="J2354" s="9"/>
      <c r="K2354" s="9"/>
      <c r="L2354" s="9"/>
      <c r="M2354" s="9"/>
      <c r="N2354" s="10"/>
      <c r="O2354" s="10"/>
      <c r="P2354" s="9"/>
    </row>
    <row r="2355">
      <c r="A2355" s="10"/>
      <c r="B2355" s="9"/>
      <c r="C2355" s="10"/>
      <c r="D2355" s="10"/>
      <c r="E2355" s="9"/>
      <c r="F2355" s="9"/>
      <c r="G2355" s="9"/>
      <c r="H2355" s="9"/>
      <c r="I2355" s="9"/>
      <c r="J2355" s="9"/>
      <c r="K2355" s="9"/>
      <c r="L2355" s="9"/>
      <c r="M2355" s="9"/>
      <c r="N2355" s="10"/>
      <c r="O2355" s="10"/>
      <c r="P2355" s="9"/>
    </row>
    <row r="2356">
      <c r="A2356" s="10"/>
      <c r="B2356" s="9"/>
      <c r="C2356" s="10"/>
      <c r="D2356" s="10"/>
      <c r="E2356" s="9"/>
      <c r="F2356" s="9"/>
      <c r="G2356" s="9"/>
      <c r="H2356" s="9"/>
      <c r="I2356" s="9"/>
      <c r="J2356" s="9"/>
      <c r="K2356" s="9"/>
      <c r="L2356" s="9"/>
      <c r="M2356" s="9"/>
      <c r="N2356" s="10"/>
      <c r="O2356" s="10"/>
      <c r="P2356" s="9"/>
    </row>
    <row r="2357">
      <c r="A2357" s="10"/>
      <c r="B2357" s="9"/>
      <c r="C2357" s="10"/>
      <c r="D2357" s="10"/>
      <c r="E2357" s="9"/>
      <c r="F2357" s="9"/>
      <c r="G2357" s="9"/>
      <c r="H2357" s="9"/>
      <c r="I2357" s="9"/>
      <c r="J2357" s="9"/>
      <c r="K2357" s="9"/>
      <c r="L2357" s="9"/>
      <c r="M2357" s="9"/>
      <c r="N2357" s="10"/>
      <c r="O2357" s="10"/>
      <c r="P2357" s="9"/>
    </row>
    <row r="2358">
      <c r="A2358" s="10"/>
      <c r="B2358" s="9"/>
      <c r="C2358" s="10"/>
      <c r="D2358" s="10"/>
      <c r="E2358" s="9"/>
      <c r="F2358" s="9"/>
      <c r="G2358" s="9"/>
      <c r="H2358" s="9"/>
      <c r="I2358" s="9"/>
      <c r="J2358" s="9"/>
      <c r="K2358" s="9"/>
      <c r="L2358" s="9"/>
      <c r="M2358" s="9"/>
      <c r="N2358" s="10"/>
      <c r="O2358" s="10"/>
      <c r="P2358" s="9"/>
    </row>
    <row r="2359">
      <c r="A2359" s="10"/>
      <c r="B2359" s="9"/>
      <c r="C2359" s="10"/>
      <c r="D2359" s="10"/>
      <c r="E2359" s="9"/>
      <c r="F2359" s="9"/>
      <c r="G2359" s="9"/>
      <c r="H2359" s="9"/>
      <c r="I2359" s="9"/>
      <c r="J2359" s="9"/>
      <c r="K2359" s="9"/>
      <c r="L2359" s="9"/>
      <c r="M2359" s="9"/>
      <c r="N2359" s="10"/>
      <c r="O2359" s="10"/>
      <c r="P2359" s="9"/>
    </row>
    <row r="2360">
      <c r="A2360" s="10"/>
      <c r="B2360" s="9"/>
      <c r="C2360" s="10"/>
      <c r="D2360" s="10"/>
      <c r="E2360" s="9"/>
      <c r="F2360" s="9"/>
      <c r="G2360" s="9"/>
      <c r="H2360" s="9"/>
      <c r="I2360" s="9"/>
      <c r="J2360" s="9"/>
      <c r="K2360" s="9"/>
      <c r="L2360" s="9"/>
      <c r="M2360" s="9"/>
      <c r="N2360" s="10"/>
      <c r="O2360" s="10"/>
      <c r="P2360" s="9"/>
    </row>
    <row r="2361">
      <c r="A2361" s="10"/>
      <c r="B2361" s="9"/>
      <c r="C2361" s="10"/>
      <c r="D2361" s="10"/>
      <c r="E2361" s="9"/>
      <c r="F2361" s="9"/>
      <c r="G2361" s="9"/>
      <c r="H2361" s="9"/>
      <c r="I2361" s="9"/>
      <c r="J2361" s="9"/>
      <c r="K2361" s="9"/>
      <c r="L2361" s="9"/>
      <c r="M2361" s="9"/>
      <c r="N2361" s="10"/>
      <c r="O2361" s="10"/>
      <c r="P2361" s="9"/>
    </row>
    <row r="2362">
      <c r="A2362" s="10"/>
      <c r="B2362" s="9"/>
      <c r="C2362" s="10"/>
      <c r="D2362" s="10"/>
      <c r="E2362" s="9"/>
      <c r="F2362" s="9"/>
      <c r="G2362" s="9"/>
      <c r="H2362" s="9"/>
      <c r="I2362" s="9"/>
      <c r="J2362" s="9"/>
      <c r="K2362" s="9"/>
      <c r="L2362" s="9"/>
      <c r="M2362" s="9"/>
      <c r="N2362" s="10"/>
      <c r="O2362" s="10"/>
      <c r="P2362" s="9"/>
    </row>
    <row r="2363">
      <c r="A2363" s="10"/>
      <c r="B2363" s="9"/>
      <c r="C2363" s="10"/>
      <c r="D2363" s="10"/>
      <c r="E2363" s="9"/>
      <c r="F2363" s="9"/>
      <c r="G2363" s="9"/>
      <c r="H2363" s="9"/>
      <c r="I2363" s="9"/>
      <c r="J2363" s="9"/>
      <c r="K2363" s="9"/>
      <c r="L2363" s="9"/>
      <c r="M2363" s="9"/>
      <c r="N2363" s="10"/>
      <c r="O2363" s="10"/>
      <c r="P2363" s="9"/>
    </row>
  </sheetData>
  <hyperlinks>
    <hyperlink r:id="rId1" ref="K4"/>
    <hyperlink r:id="rId2" ref="K5"/>
    <hyperlink r:id="rId3" ref="K6"/>
    <hyperlink r:id="rId4" ref="K7"/>
    <hyperlink r:id="rId5" ref="K8"/>
    <hyperlink r:id="rId6" ref="K9"/>
    <hyperlink r:id="rId7" ref="K10"/>
    <hyperlink r:id="rId8" ref="K11"/>
    <hyperlink r:id="rId9" ref="K12"/>
    <hyperlink r:id="rId10" ref="K13"/>
    <hyperlink r:id="rId11" ref="K14"/>
    <hyperlink r:id="rId12" ref="K15"/>
    <hyperlink r:id="rId13" ref="K16"/>
    <hyperlink r:id="rId14" ref="K17"/>
    <hyperlink r:id="rId15" ref="K18"/>
    <hyperlink r:id="rId16" ref="K19"/>
    <hyperlink r:id="rId17" ref="K20"/>
    <hyperlink r:id="rId18" ref="K21"/>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4"/>
    <hyperlink r:id="rId31" ref="K35"/>
    <hyperlink r:id="rId32" ref="K36"/>
    <hyperlink r:id="rId33" ref="K37"/>
    <hyperlink r:id="rId34" ref="K38"/>
    <hyperlink r:id="rId35" ref="K39"/>
    <hyperlink r:id="rId36" ref="K40"/>
    <hyperlink r:id="rId37" ref="K41"/>
    <hyperlink r:id="rId38" ref="K42"/>
    <hyperlink r:id="rId39" ref="K43"/>
    <hyperlink r:id="rId40" ref="K44"/>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6"/>
    <hyperlink r:id="rId60" ref="K67"/>
    <hyperlink r:id="rId61" ref="K68"/>
    <hyperlink r:id="rId62" ref="K69"/>
    <hyperlink r:id="rId63" ref="K70"/>
    <hyperlink r:id="rId64" ref="K71"/>
    <hyperlink r:id="rId65" ref="K72"/>
    <hyperlink r:id="rId66" ref="K73"/>
    <hyperlink r:id="rId67" ref="K74"/>
    <hyperlink r:id="rId68" ref="K75"/>
    <hyperlink r:id="rId69" ref="K76"/>
    <hyperlink r:id="rId70" ref="K77"/>
    <hyperlink r:id="rId71" ref="K80"/>
    <hyperlink r:id="rId72" ref="K81"/>
    <hyperlink r:id="rId73" ref="K82"/>
    <hyperlink r:id="rId74" ref="K83"/>
    <hyperlink r:id="rId75" ref="K85"/>
    <hyperlink r:id="rId76" ref="K86"/>
    <hyperlink r:id="rId77" ref="K88"/>
    <hyperlink r:id="rId78" ref="K91"/>
    <hyperlink r:id="rId79" ref="K92"/>
    <hyperlink r:id="rId80" ref="K93"/>
    <hyperlink r:id="rId81" ref="K95"/>
    <hyperlink r:id="rId82" ref="K98"/>
    <hyperlink r:id="rId83" ref="K99"/>
    <hyperlink r:id="rId84" ref="K102"/>
    <hyperlink r:id="rId85" ref="K103"/>
    <hyperlink r:id="rId86" ref="K106"/>
    <hyperlink r:id="rId87" ref="K107"/>
    <hyperlink r:id="rId88" ref="K108"/>
    <hyperlink r:id="rId89" ref="K109"/>
    <hyperlink r:id="rId90" ref="K110"/>
    <hyperlink r:id="rId91" ref="K112"/>
    <hyperlink r:id="rId92" ref="K113"/>
    <hyperlink r:id="rId93" ref="K114"/>
    <hyperlink r:id="rId94" ref="K116"/>
    <hyperlink r:id="rId95" ref="K117"/>
    <hyperlink r:id="rId96" ref="K118"/>
    <hyperlink r:id="rId97" ref="K119"/>
    <hyperlink r:id="rId98" ref="K120"/>
    <hyperlink r:id="rId99" ref="K121"/>
    <hyperlink r:id="rId100" ref="K122"/>
    <hyperlink r:id="rId101" ref="K125"/>
    <hyperlink r:id="rId102" ref="K126"/>
    <hyperlink r:id="rId103" ref="K127"/>
    <hyperlink r:id="rId104" ref="K129"/>
    <hyperlink r:id="rId105" ref="K130"/>
    <hyperlink r:id="rId106" ref="K133"/>
    <hyperlink r:id="rId107" ref="K134"/>
    <hyperlink r:id="rId108" ref="K135"/>
    <hyperlink r:id="rId109" ref="K137"/>
    <hyperlink r:id="rId110" ref="K138"/>
    <hyperlink r:id="rId111" ref="K139"/>
    <hyperlink r:id="rId112" ref="K141"/>
    <hyperlink r:id="rId113" ref="K142"/>
    <hyperlink r:id="rId114" ref="K143"/>
    <hyperlink r:id="rId115" ref="K145"/>
    <hyperlink r:id="rId116" ref="K146"/>
    <hyperlink r:id="rId117" ref="K148"/>
    <hyperlink r:id="rId118" ref="K149"/>
    <hyperlink r:id="rId119" ref="K150"/>
    <hyperlink r:id="rId120" ref="K154"/>
    <hyperlink r:id="rId121" ref="K155"/>
    <hyperlink r:id="rId122" ref="K156"/>
    <hyperlink r:id="rId123" ref="K157"/>
    <hyperlink r:id="rId124" ref="K158"/>
    <hyperlink r:id="rId125" ref="K159"/>
    <hyperlink r:id="rId126" ref="K160"/>
    <hyperlink r:id="rId127" ref="K161"/>
    <hyperlink r:id="rId128" ref="K162"/>
    <hyperlink r:id="rId129" ref="K163"/>
    <hyperlink r:id="rId130" ref="K164"/>
    <hyperlink r:id="rId131" ref="K165"/>
    <hyperlink r:id="rId132" ref="K166"/>
    <hyperlink r:id="rId133" ref="K167"/>
    <hyperlink r:id="rId134" ref="K169"/>
    <hyperlink r:id="rId135" ref="K170"/>
    <hyperlink r:id="rId136" ref="K171"/>
    <hyperlink r:id="rId137" ref="K172"/>
    <hyperlink r:id="rId138" ref="K173"/>
    <hyperlink r:id="rId139" ref="K174"/>
    <hyperlink r:id="rId140" ref="K175"/>
    <hyperlink r:id="rId141" ref="K176"/>
    <hyperlink r:id="rId142" ref="K177"/>
    <hyperlink r:id="rId143" ref="K178"/>
    <hyperlink r:id="rId144" ref="K179"/>
    <hyperlink r:id="rId145" ref="K180"/>
    <hyperlink r:id="rId146" ref="K181"/>
    <hyperlink r:id="rId147" ref="K182"/>
    <hyperlink r:id="rId148" ref="K183"/>
    <hyperlink r:id="rId149" ref="K185"/>
    <hyperlink r:id="rId150" ref="K187"/>
    <hyperlink r:id="rId151" ref="K188"/>
    <hyperlink r:id="rId152" ref="K189"/>
    <hyperlink r:id="rId153" ref="K190"/>
    <hyperlink r:id="rId154" ref="K191"/>
    <hyperlink r:id="rId155" ref="K193"/>
    <hyperlink r:id="rId156" ref="K194"/>
    <hyperlink r:id="rId157" ref="K195"/>
    <hyperlink r:id="rId158" ref="K196"/>
    <hyperlink r:id="rId159" ref="K197"/>
    <hyperlink r:id="rId160" ref="K199"/>
    <hyperlink r:id="rId161" ref="K200"/>
    <hyperlink r:id="rId162" ref="K201"/>
    <hyperlink r:id="rId163" ref="K202"/>
    <hyperlink r:id="rId164" ref="K203"/>
    <hyperlink r:id="rId165" ref="K204"/>
    <hyperlink r:id="rId166" ref="K205"/>
    <hyperlink r:id="rId167" ref="K206"/>
    <hyperlink r:id="rId168" ref="K207"/>
    <hyperlink r:id="rId169" ref="K208"/>
    <hyperlink r:id="rId170" ref="K209"/>
    <hyperlink r:id="rId171" ref="K211"/>
    <hyperlink r:id="rId172" ref="K212"/>
    <hyperlink r:id="rId173" ref="K213"/>
    <hyperlink r:id="rId174" ref="K214"/>
    <hyperlink r:id="rId175" ref="K215"/>
    <hyperlink r:id="rId176" ref="K216"/>
    <hyperlink r:id="rId177" ref="K220"/>
    <hyperlink r:id="rId178" ref="K221"/>
    <hyperlink r:id="rId179" ref="K222"/>
    <hyperlink r:id="rId180" ref="K224"/>
    <hyperlink r:id="rId181" ref="K225"/>
    <hyperlink r:id="rId182" ref="K226"/>
    <hyperlink r:id="rId183" ref="K227"/>
    <hyperlink r:id="rId184" ref="K228"/>
    <hyperlink r:id="rId185" ref="K229"/>
    <hyperlink r:id="rId186" ref="K230"/>
    <hyperlink r:id="rId187" ref="K231"/>
    <hyperlink r:id="rId188" ref="K232"/>
    <hyperlink r:id="rId189" ref="K233"/>
    <hyperlink r:id="rId190" ref="K234"/>
    <hyperlink r:id="rId191" ref="K235"/>
    <hyperlink r:id="rId192" ref="K236"/>
    <hyperlink r:id="rId193" ref="K237"/>
    <hyperlink r:id="rId194" ref="K239"/>
    <hyperlink r:id="rId195" ref="K242"/>
    <hyperlink r:id="rId196" ref="K243"/>
    <hyperlink r:id="rId197" ref="K244"/>
    <hyperlink r:id="rId198" ref="K246"/>
    <hyperlink r:id="rId199" ref="K247"/>
    <hyperlink r:id="rId200" ref="K250"/>
    <hyperlink r:id="rId201" ref="K252"/>
    <hyperlink r:id="rId202" ref="K253"/>
    <hyperlink r:id="rId203" ref="K254"/>
    <hyperlink r:id="rId204" ref="K255"/>
    <hyperlink r:id="rId205" ref="K257"/>
    <hyperlink r:id="rId206" ref="K258"/>
    <hyperlink r:id="rId207" ref="K259"/>
    <hyperlink r:id="rId208" ref="K261"/>
    <hyperlink r:id="rId209" ref="K262"/>
    <hyperlink r:id="rId210" ref="K263"/>
    <hyperlink r:id="rId211" ref="K264"/>
    <hyperlink r:id="rId212" ref="K265"/>
    <hyperlink r:id="rId213" ref="K266"/>
    <hyperlink r:id="rId214" ref="K268"/>
    <hyperlink r:id="rId215" ref="K270"/>
    <hyperlink r:id="rId216" ref="K271"/>
    <hyperlink r:id="rId217" ref="K272"/>
    <hyperlink r:id="rId218" ref="K273"/>
    <hyperlink r:id="rId219" ref="K275"/>
    <hyperlink r:id="rId220" ref="K276"/>
    <hyperlink r:id="rId221" ref="K277"/>
    <hyperlink r:id="rId222" ref="K278"/>
    <hyperlink r:id="rId223" ref="K279"/>
    <hyperlink r:id="rId224" ref="K280"/>
    <hyperlink r:id="rId225" ref="K281"/>
    <hyperlink r:id="rId226" ref="K282"/>
    <hyperlink r:id="rId227" ref="K283"/>
    <hyperlink r:id="rId228" ref="K284"/>
    <hyperlink r:id="rId229" ref="K285"/>
    <hyperlink r:id="rId230" ref="K286"/>
    <hyperlink r:id="rId231" ref="K287"/>
    <hyperlink r:id="rId232" ref="K288"/>
    <hyperlink r:id="rId233" ref="K289"/>
    <hyperlink r:id="rId234" ref="K290"/>
    <hyperlink r:id="rId235" ref="K291"/>
    <hyperlink r:id="rId236" ref="K292"/>
    <hyperlink r:id="rId237" ref="K293"/>
    <hyperlink r:id="rId238" ref="K294"/>
    <hyperlink r:id="rId239" ref="K295"/>
    <hyperlink r:id="rId240" ref="K296"/>
    <hyperlink r:id="rId241" ref="K297"/>
    <hyperlink r:id="rId242" ref="K301"/>
    <hyperlink r:id="rId243" ref="K302"/>
    <hyperlink r:id="rId244" ref="K304"/>
    <hyperlink r:id="rId245" ref="K305"/>
    <hyperlink r:id="rId246" ref="K306"/>
    <hyperlink r:id="rId247" ref="K308"/>
    <hyperlink r:id="rId248" ref="K309"/>
    <hyperlink r:id="rId249" ref="K310"/>
    <hyperlink r:id="rId250" ref="K311"/>
    <hyperlink r:id="rId251" ref="K312"/>
    <hyperlink r:id="rId252" ref="K313"/>
    <hyperlink r:id="rId253" ref="K314"/>
    <hyperlink r:id="rId254" ref="K315"/>
    <hyperlink r:id="rId255" ref="K316"/>
    <hyperlink r:id="rId256" ref="K317"/>
    <hyperlink r:id="rId257" ref="K318"/>
    <hyperlink r:id="rId258" ref="K319"/>
    <hyperlink r:id="rId259" ref="K320"/>
    <hyperlink r:id="rId260" ref="K321"/>
    <hyperlink r:id="rId261" ref="K322"/>
    <hyperlink r:id="rId262" ref="K323"/>
    <hyperlink r:id="rId263" ref="K324"/>
    <hyperlink r:id="rId264" ref="K325"/>
    <hyperlink r:id="rId265" ref="K326"/>
    <hyperlink r:id="rId266" ref="K327"/>
    <hyperlink r:id="rId267" ref="K328"/>
    <hyperlink r:id="rId268" ref="K329"/>
    <hyperlink r:id="rId269" ref="K330"/>
    <hyperlink r:id="rId270" ref="K332"/>
    <hyperlink r:id="rId271" ref="K333"/>
    <hyperlink r:id="rId272" ref="K334"/>
    <hyperlink r:id="rId273" ref="K335"/>
    <hyperlink r:id="rId274" ref="K337"/>
    <hyperlink r:id="rId275" ref="K338"/>
    <hyperlink r:id="rId276" ref="K339"/>
    <hyperlink r:id="rId277" ref="K340"/>
    <hyperlink r:id="rId278" ref="K341"/>
    <hyperlink r:id="rId279" ref="K342"/>
    <hyperlink r:id="rId280" ref="K343"/>
    <hyperlink r:id="rId281" ref="K344"/>
    <hyperlink r:id="rId282" ref="K345"/>
    <hyperlink r:id="rId283" ref="K347"/>
    <hyperlink r:id="rId284" ref="K348"/>
    <hyperlink r:id="rId285" ref="K349"/>
    <hyperlink r:id="rId286" ref="K350"/>
    <hyperlink r:id="rId287" ref="K351"/>
    <hyperlink r:id="rId288" ref="K352"/>
    <hyperlink r:id="rId289" ref="K353"/>
    <hyperlink r:id="rId290" ref="K354"/>
    <hyperlink r:id="rId291" ref="K357"/>
    <hyperlink r:id="rId292" ref="K358"/>
    <hyperlink r:id="rId293" ref="K359"/>
    <hyperlink r:id="rId294" ref="K360"/>
    <hyperlink r:id="rId295" ref="K362"/>
    <hyperlink r:id="rId296" ref="K363"/>
    <hyperlink r:id="rId297" ref="K365"/>
    <hyperlink r:id="rId298" ref="K367"/>
    <hyperlink r:id="rId299" ref="K368"/>
    <hyperlink r:id="rId300" ref="K369"/>
    <hyperlink r:id="rId301" ref="K370"/>
    <hyperlink r:id="rId302" ref="K372"/>
    <hyperlink r:id="rId303" ref="K374"/>
    <hyperlink r:id="rId304" ref="K375"/>
    <hyperlink r:id="rId305" ref="K377"/>
    <hyperlink r:id="rId306" ref="K378"/>
    <hyperlink r:id="rId307" ref="K380"/>
    <hyperlink r:id="rId308" ref="K381"/>
    <hyperlink r:id="rId309" ref="K383"/>
    <hyperlink r:id="rId310" ref="K384"/>
    <hyperlink r:id="rId311" ref="K385"/>
    <hyperlink r:id="rId312" ref="K387"/>
    <hyperlink r:id="rId313" ref="K388"/>
    <hyperlink r:id="rId314" ref="K389"/>
    <hyperlink r:id="rId315" ref="K393"/>
    <hyperlink r:id="rId316" ref="K394"/>
    <hyperlink r:id="rId317" ref="K395"/>
    <hyperlink r:id="rId318" ref="K398"/>
    <hyperlink r:id="rId319" ref="K400"/>
    <hyperlink r:id="rId320" ref="K401"/>
    <hyperlink r:id="rId321" ref="K403"/>
    <hyperlink r:id="rId322" ref="K408"/>
    <hyperlink r:id="rId323" ref="K409"/>
    <hyperlink r:id="rId324" ref="K410"/>
    <hyperlink r:id="rId325" ref="K411"/>
    <hyperlink r:id="rId326" ref="K412"/>
    <hyperlink r:id="rId327" ref="K413"/>
    <hyperlink r:id="rId328" ref="K415"/>
    <hyperlink r:id="rId329" ref="K416"/>
    <hyperlink r:id="rId330" ref="K418"/>
    <hyperlink r:id="rId331" ref="K419"/>
    <hyperlink r:id="rId332" ref="K422"/>
    <hyperlink r:id="rId333" ref="K423"/>
    <hyperlink r:id="rId334" ref="K424"/>
    <hyperlink r:id="rId335" ref="K426"/>
    <hyperlink r:id="rId336" ref="K427"/>
    <hyperlink r:id="rId337" ref="K428"/>
    <hyperlink r:id="rId338" ref="K429"/>
    <hyperlink r:id="rId339" ref="K430"/>
    <hyperlink r:id="rId340" ref="K432"/>
    <hyperlink r:id="rId341" ref="K433"/>
    <hyperlink r:id="rId342" ref="K435"/>
    <hyperlink r:id="rId343" ref="K437"/>
    <hyperlink r:id="rId344" ref="K440"/>
    <hyperlink r:id="rId345" ref="K441"/>
    <hyperlink r:id="rId346" ref="K442"/>
    <hyperlink r:id="rId347" ref="K443"/>
    <hyperlink r:id="rId348" ref="K444"/>
    <hyperlink r:id="rId349" ref="K446"/>
    <hyperlink r:id="rId350" ref="K447"/>
    <hyperlink r:id="rId351" ref="K448"/>
    <hyperlink r:id="rId352" ref="K449"/>
    <hyperlink r:id="rId353" ref="K450"/>
    <hyperlink r:id="rId354" ref="K451"/>
    <hyperlink r:id="rId355" ref="K453"/>
    <hyperlink r:id="rId356" ref="K454"/>
    <hyperlink r:id="rId357" ref="K455"/>
    <hyperlink r:id="rId358" ref="K456"/>
    <hyperlink r:id="rId359" ref="K457"/>
    <hyperlink r:id="rId360" ref="K458"/>
    <hyperlink r:id="rId361" ref="K459"/>
    <hyperlink r:id="rId362" ref="K460"/>
    <hyperlink r:id="rId363" ref="K461"/>
    <hyperlink r:id="rId364" ref="K463"/>
    <hyperlink r:id="rId365" ref="K464"/>
    <hyperlink r:id="rId366" ref="K466"/>
    <hyperlink r:id="rId367" ref="K467"/>
    <hyperlink r:id="rId368" ref="K468"/>
    <hyperlink r:id="rId369" ref="K469"/>
    <hyperlink r:id="rId370" ref="K470"/>
    <hyperlink r:id="rId371" ref="K471"/>
    <hyperlink r:id="rId372" ref="K472"/>
    <hyperlink r:id="rId373" ref="K473"/>
    <hyperlink r:id="rId374" ref="K474"/>
    <hyperlink r:id="rId375" ref="K476"/>
    <hyperlink r:id="rId376" ref="K478"/>
    <hyperlink r:id="rId377" ref="K479"/>
    <hyperlink r:id="rId378" ref="K480"/>
    <hyperlink r:id="rId379" ref="K482"/>
    <hyperlink r:id="rId380" ref="K487"/>
    <hyperlink r:id="rId381" ref="K492"/>
    <hyperlink r:id="rId382" ref="K493"/>
    <hyperlink r:id="rId383" ref="K494"/>
    <hyperlink r:id="rId384" ref="K495"/>
    <hyperlink r:id="rId385" ref="K496"/>
    <hyperlink r:id="rId386" ref="K497"/>
    <hyperlink r:id="rId387" ref="K498"/>
    <hyperlink r:id="rId388" ref="K500"/>
    <hyperlink r:id="rId389" ref="K501"/>
    <hyperlink r:id="rId390" ref="K502"/>
    <hyperlink r:id="rId391" ref="K505"/>
    <hyperlink r:id="rId392" ref="K506"/>
    <hyperlink r:id="rId393" ref="K507"/>
    <hyperlink r:id="rId394" ref="K508"/>
    <hyperlink r:id="rId395" ref="K509"/>
    <hyperlink r:id="rId396" ref="K511"/>
    <hyperlink r:id="rId397" ref="K512"/>
    <hyperlink r:id="rId398" ref="K513"/>
    <hyperlink r:id="rId399" ref="K514"/>
    <hyperlink r:id="rId400" ref="K515"/>
    <hyperlink r:id="rId401" ref="K516"/>
    <hyperlink r:id="rId402" ref="K517"/>
    <hyperlink r:id="rId403" ref="K518"/>
    <hyperlink r:id="rId404" ref="K519"/>
    <hyperlink r:id="rId405" ref="K520"/>
    <hyperlink r:id="rId406" ref="K521"/>
    <hyperlink r:id="rId407" ref="K522"/>
    <hyperlink r:id="rId408" ref="K523"/>
    <hyperlink r:id="rId409" ref="K524"/>
    <hyperlink r:id="rId410" ref="K525"/>
    <hyperlink r:id="rId411" ref="K526"/>
    <hyperlink r:id="rId412" ref="K527"/>
    <hyperlink r:id="rId413" ref="K528"/>
    <hyperlink r:id="rId414" ref="K529"/>
    <hyperlink r:id="rId415" ref="K530"/>
    <hyperlink r:id="rId416" ref="K532"/>
    <hyperlink r:id="rId417" ref="K533"/>
    <hyperlink r:id="rId418" ref="K534"/>
    <hyperlink r:id="rId419" ref="K535"/>
    <hyperlink r:id="rId420" ref="K536"/>
    <hyperlink r:id="rId421" ref="K537"/>
    <hyperlink r:id="rId422" ref="K538"/>
    <hyperlink r:id="rId423" ref="K540"/>
    <hyperlink r:id="rId424" ref="K541"/>
    <hyperlink r:id="rId425" ref="K543"/>
    <hyperlink r:id="rId426" ref="K545"/>
    <hyperlink r:id="rId427" ref="K546"/>
    <hyperlink r:id="rId428" ref="K547"/>
    <hyperlink r:id="rId429" ref="K548"/>
    <hyperlink r:id="rId430" ref="K549"/>
    <hyperlink r:id="rId431" ref="K550"/>
    <hyperlink r:id="rId432" ref="K551"/>
    <hyperlink r:id="rId433" ref="K552"/>
    <hyperlink r:id="rId434" ref="K553"/>
    <hyperlink r:id="rId435" ref="K554"/>
    <hyperlink r:id="rId436" ref="K555"/>
    <hyperlink r:id="rId437" ref="K556"/>
    <hyperlink r:id="rId438" ref="K557"/>
    <hyperlink r:id="rId439" ref="K558"/>
    <hyperlink r:id="rId440" ref="K560"/>
    <hyperlink r:id="rId441" ref="K562"/>
    <hyperlink r:id="rId442" ref="K564"/>
    <hyperlink r:id="rId443" ref="K566"/>
    <hyperlink r:id="rId444" ref="K568"/>
    <hyperlink r:id="rId445" ref="K569"/>
    <hyperlink r:id="rId446" ref="K571"/>
    <hyperlink r:id="rId447" ref="K573"/>
    <hyperlink r:id="rId448" ref="K574"/>
    <hyperlink r:id="rId449" ref="K575"/>
    <hyperlink r:id="rId450" ref="K576"/>
    <hyperlink r:id="rId451" ref="K577"/>
    <hyperlink r:id="rId452" ref="K578"/>
    <hyperlink r:id="rId453" ref="K579"/>
    <hyperlink r:id="rId454" ref="K580"/>
    <hyperlink r:id="rId455" ref="K582"/>
    <hyperlink r:id="rId456" ref="K583"/>
    <hyperlink r:id="rId457" ref="K586"/>
    <hyperlink r:id="rId458" ref="K587"/>
    <hyperlink r:id="rId459" ref="K588"/>
    <hyperlink r:id="rId460" ref="K589"/>
    <hyperlink r:id="rId461" ref="K590"/>
    <hyperlink r:id="rId462" ref="K591"/>
    <hyperlink r:id="rId463" location="/stores?city=null&amp;neighborhood=null&amp;page=1&amp;state=MD" ref="K592"/>
    <hyperlink r:id="rId464" ref="K593"/>
    <hyperlink r:id="rId465" ref="K595"/>
    <hyperlink r:id="rId466" ref="K596"/>
    <hyperlink r:id="rId467" ref="K597"/>
    <hyperlink r:id="rId468" ref="K598"/>
    <hyperlink r:id="rId469" ref="K599"/>
    <hyperlink r:id="rId470" ref="K600"/>
    <hyperlink r:id="rId471" ref="K601"/>
    <hyperlink r:id="rId472" ref="K602"/>
    <hyperlink r:id="rId473" ref="K603"/>
    <hyperlink r:id="rId474" ref="K604"/>
    <hyperlink r:id="rId475" ref="K606"/>
    <hyperlink r:id="rId476" ref="K607"/>
    <hyperlink r:id="rId477" ref="K609"/>
    <hyperlink r:id="rId478" ref="K610"/>
    <hyperlink r:id="rId479" ref="K611"/>
    <hyperlink r:id="rId480" ref="K612"/>
    <hyperlink r:id="rId481" ref="K613"/>
    <hyperlink r:id="rId482" ref="K614"/>
    <hyperlink r:id="rId483" ref="K615"/>
    <hyperlink r:id="rId484" ref="K616"/>
    <hyperlink r:id="rId485" ref="K617"/>
    <hyperlink r:id="rId486" ref="K618"/>
    <hyperlink r:id="rId487" ref="K619"/>
    <hyperlink r:id="rId488" ref="K620"/>
    <hyperlink r:id="rId489" ref="K621"/>
    <hyperlink r:id="rId490" ref="K622"/>
    <hyperlink r:id="rId491" ref="K623"/>
    <hyperlink r:id="rId492" ref="K624"/>
    <hyperlink r:id="rId493" ref="K625"/>
    <hyperlink r:id="rId494" ref="K626"/>
    <hyperlink r:id="rId495" ref="K628"/>
    <hyperlink r:id="rId496" ref="K629"/>
    <hyperlink r:id="rId497" ref="K630"/>
    <hyperlink r:id="rId498" ref="K631"/>
    <hyperlink r:id="rId499" ref="K632"/>
    <hyperlink r:id="rId500" ref="K633"/>
    <hyperlink r:id="rId501" ref="K634"/>
    <hyperlink r:id="rId502" ref="K635"/>
    <hyperlink r:id="rId503" ref="K636"/>
    <hyperlink r:id="rId504" ref="K637"/>
    <hyperlink r:id="rId505" ref="K638"/>
    <hyperlink r:id="rId506" ref="K639"/>
    <hyperlink r:id="rId507" ref="K640"/>
    <hyperlink r:id="rId508" ref="K643"/>
    <hyperlink r:id="rId509" ref="K644"/>
    <hyperlink r:id="rId510" ref="K645"/>
    <hyperlink r:id="rId511" ref="K646"/>
    <hyperlink r:id="rId512" ref="K648"/>
    <hyperlink r:id="rId513" ref="K649"/>
    <hyperlink r:id="rId514" ref="K650"/>
    <hyperlink r:id="rId515" ref="K651"/>
    <hyperlink r:id="rId516" ref="K652"/>
    <hyperlink r:id="rId517" ref="K653"/>
    <hyperlink r:id="rId518" ref="K654"/>
    <hyperlink r:id="rId519" ref="K655"/>
    <hyperlink r:id="rId520" location="/" ref="K656"/>
    <hyperlink r:id="rId521" ref="K657"/>
    <hyperlink r:id="rId522" ref="K658"/>
    <hyperlink r:id="rId523" ref="K659"/>
    <hyperlink r:id="rId524" ref="K660"/>
    <hyperlink r:id="rId525" ref="K661"/>
    <hyperlink r:id="rId526" ref="K662"/>
    <hyperlink r:id="rId527" ref="K663"/>
    <hyperlink r:id="rId528" ref="K664"/>
    <hyperlink r:id="rId529" ref="K665"/>
    <hyperlink r:id="rId530" ref="K666"/>
    <hyperlink r:id="rId531" ref="K667"/>
    <hyperlink r:id="rId532" ref="K668"/>
    <hyperlink r:id="rId533" ref="K669"/>
    <hyperlink r:id="rId534" ref="K670"/>
    <hyperlink r:id="rId535" ref="K671"/>
    <hyperlink r:id="rId536" ref="K673"/>
    <hyperlink r:id="rId537" ref="K675"/>
    <hyperlink r:id="rId538" ref="K677"/>
    <hyperlink r:id="rId539" ref="K678"/>
    <hyperlink r:id="rId540" ref="K679"/>
    <hyperlink r:id="rId541" ref="K680"/>
    <hyperlink r:id="rId542" ref="K681"/>
    <hyperlink r:id="rId543" ref="K682"/>
    <hyperlink r:id="rId544" ref="K683"/>
    <hyperlink r:id="rId545" ref="K684"/>
    <hyperlink r:id="rId546" ref="K685"/>
    <hyperlink r:id="rId547" ref="K686"/>
    <hyperlink r:id="rId548" ref="K687"/>
    <hyperlink r:id="rId549" ref="K688"/>
    <hyperlink r:id="rId550" ref="K689"/>
    <hyperlink r:id="rId551" ref="K690"/>
    <hyperlink r:id="rId552" ref="K691"/>
    <hyperlink r:id="rId553" ref="K692"/>
    <hyperlink r:id="rId554" ref="K693"/>
    <hyperlink r:id="rId555" ref="K694"/>
    <hyperlink r:id="rId556" ref="K696"/>
    <hyperlink r:id="rId557" ref="K697"/>
    <hyperlink r:id="rId558" ref="K698"/>
    <hyperlink r:id="rId559" ref="K699"/>
    <hyperlink r:id="rId560" ref="K700"/>
    <hyperlink r:id="rId561" ref="K701"/>
    <hyperlink r:id="rId562" ref="K702"/>
    <hyperlink r:id="rId563" ref="K703"/>
    <hyperlink r:id="rId564" ref="K704"/>
    <hyperlink r:id="rId565" ref="K705"/>
    <hyperlink r:id="rId566" ref="K706"/>
    <hyperlink r:id="rId567" ref="K707"/>
    <hyperlink r:id="rId568" ref="K708"/>
    <hyperlink r:id="rId569" ref="K709"/>
    <hyperlink r:id="rId570" ref="K711"/>
    <hyperlink r:id="rId571" ref="K712"/>
    <hyperlink r:id="rId572" ref="K713"/>
    <hyperlink r:id="rId573" ref="K714"/>
    <hyperlink r:id="rId574" ref="K715"/>
    <hyperlink r:id="rId575" ref="K716"/>
    <hyperlink r:id="rId576" ref="K717"/>
    <hyperlink r:id="rId577" ref="K719"/>
    <hyperlink r:id="rId578" ref="K720"/>
    <hyperlink r:id="rId579" ref="K721"/>
    <hyperlink r:id="rId580" ref="K722"/>
    <hyperlink r:id="rId581" ref="K723"/>
    <hyperlink r:id="rId582" ref="K724"/>
    <hyperlink r:id="rId583" ref="K725"/>
    <hyperlink r:id="rId584" ref="K726"/>
    <hyperlink r:id="rId585" ref="K727"/>
    <hyperlink r:id="rId586" ref="K728"/>
    <hyperlink r:id="rId587" ref="K729"/>
    <hyperlink r:id="rId588" ref="K730"/>
    <hyperlink r:id="rId589" ref="K731"/>
    <hyperlink r:id="rId590" ref="K732"/>
    <hyperlink r:id="rId591" ref="K733"/>
    <hyperlink r:id="rId592" ref="K734"/>
    <hyperlink r:id="rId593" ref="K735"/>
    <hyperlink r:id="rId594" ref="K736"/>
    <hyperlink r:id="rId595" ref="K737"/>
    <hyperlink r:id="rId596" ref="K738"/>
    <hyperlink r:id="rId597" ref="K739"/>
    <hyperlink r:id="rId598" ref="K740"/>
    <hyperlink r:id="rId599" ref="K741"/>
    <hyperlink r:id="rId600" ref="K742"/>
    <hyperlink r:id="rId601" ref="K743"/>
    <hyperlink r:id="rId602" ref="K744"/>
    <hyperlink r:id="rId603" ref="K745"/>
    <hyperlink r:id="rId604" ref="K746"/>
    <hyperlink r:id="rId605" ref="K747"/>
    <hyperlink r:id="rId606" ref="K748"/>
    <hyperlink r:id="rId607" ref="K749"/>
    <hyperlink r:id="rId608" ref="K750"/>
    <hyperlink r:id="rId609" ref="K751"/>
    <hyperlink r:id="rId610" ref="K752"/>
    <hyperlink r:id="rId611" ref="K753"/>
    <hyperlink r:id="rId612" ref="K754"/>
    <hyperlink r:id="rId613" ref="K755"/>
    <hyperlink r:id="rId614" ref="K756"/>
    <hyperlink r:id="rId615" ref="K758"/>
    <hyperlink r:id="rId616" ref="K759"/>
    <hyperlink r:id="rId617" ref="K760"/>
    <hyperlink r:id="rId618" ref="K761"/>
    <hyperlink r:id="rId619" ref="K762"/>
    <hyperlink r:id="rId620" ref="K763"/>
    <hyperlink r:id="rId621" ref="K764"/>
    <hyperlink r:id="rId622" ref="K765"/>
    <hyperlink r:id="rId623" ref="K766"/>
    <hyperlink r:id="rId624" ref="K767"/>
    <hyperlink r:id="rId625" ref="K768"/>
    <hyperlink r:id="rId626" ref="K769"/>
    <hyperlink r:id="rId627" ref="K770"/>
    <hyperlink r:id="rId628" ref="K771"/>
    <hyperlink r:id="rId629" ref="K772"/>
    <hyperlink r:id="rId630" ref="K773"/>
    <hyperlink r:id="rId631" ref="K774"/>
    <hyperlink r:id="rId632" ref="K775"/>
    <hyperlink r:id="rId633" ref="K776"/>
    <hyperlink r:id="rId634" ref="K777"/>
    <hyperlink r:id="rId635" ref="K778"/>
    <hyperlink r:id="rId636" ref="K779"/>
    <hyperlink r:id="rId637" ref="K780"/>
    <hyperlink r:id="rId638" ref="K781"/>
    <hyperlink r:id="rId639" ref="K782"/>
    <hyperlink r:id="rId640" ref="K783"/>
    <hyperlink r:id="rId641" ref="K784"/>
    <hyperlink r:id="rId642" ref="K785"/>
    <hyperlink r:id="rId643" ref="K786"/>
    <hyperlink r:id="rId644" ref="K787"/>
    <hyperlink r:id="rId645" ref="K788"/>
    <hyperlink r:id="rId646" ref="K789"/>
    <hyperlink r:id="rId647" ref="K790"/>
    <hyperlink r:id="rId648" ref="K791"/>
    <hyperlink r:id="rId649" ref="K792"/>
    <hyperlink r:id="rId650" ref="K793"/>
    <hyperlink r:id="rId651" ref="K794"/>
    <hyperlink r:id="rId652" ref="K795"/>
    <hyperlink r:id="rId653" ref="K796"/>
    <hyperlink r:id="rId654" ref="K797"/>
    <hyperlink r:id="rId655" ref="K798"/>
    <hyperlink r:id="rId656" ref="K799"/>
    <hyperlink r:id="rId657" ref="K800"/>
    <hyperlink r:id="rId658" ref="K801"/>
    <hyperlink r:id="rId659" ref="K802"/>
    <hyperlink r:id="rId660" ref="K803"/>
    <hyperlink r:id="rId661" ref="K804"/>
    <hyperlink r:id="rId662" ref="K805"/>
    <hyperlink r:id="rId663" ref="K806"/>
    <hyperlink r:id="rId664" ref="K807"/>
    <hyperlink r:id="rId665" ref="K808"/>
    <hyperlink r:id="rId666" ref="K810"/>
    <hyperlink r:id="rId667" ref="K811"/>
    <hyperlink r:id="rId668" ref="K812"/>
    <hyperlink r:id="rId669" ref="K813"/>
    <hyperlink r:id="rId670" ref="K814"/>
    <hyperlink r:id="rId671" ref="K815"/>
    <hyperlink r:id="rId672" ref="K816"/>
    <hyperlink r:id="rId673" ref="K817"/>
    <hyperlink r:id="rId674" ref="K818"/>
    <hyperlink r:id="rId675" ref="K819"/>
    <hyperlink r:id="rId676" ref="K820"/>
    <hyperlink r:id="rId677" ref="K821"/>
    <hyperlink r:id="rId678" ref="K823"/>
    <hyperlink r:id="rId679" ref="K824"/>
    <hyperlink r:id="rId680" ref="K826"/>
    <hyperlink r:id="rId681" ref="K827"/>
    <hyperlink r:id="rId682" ref="K828"/>
    <hyperlink r:id="rId683" ref="K829"/>
    <hyperlink r:id="rId684" ref="K830"/>
    <hyperlink r:id="rId685" ref="K831"/>
    <hyperlink r:id="rId686" ref="K832"/>
    <hyperlink r:id="rId687" ref="K833"/>
    <hyperlink r:id="rId688" ref="K834"/>
    <hyperlink r:id="rId689" ref="K835"/>
    <hyperlink r:id="rId690" ref="K836"/>
    <hyperlink r:id="rId691" ref="K837"/>
    <hyperlink r:id="rId692" ref="K838"/>
    <hyperlink r:id="rId693" ref="K839"/>
    <hyperlink r:id="rId694" ref="K840"/>
    <hyperlink r:id="rId695" ref="K841"/>
    <hyperlink r:id="rId696" ref="K842"/>
    <hyperlink r:id="rId697" ref="K843"/>
    <hyperlink r:id="rId698" ref="K844"/>
    <hyperlink r:id="rId699" ref="K845"/>
    <hyperlink r:id="rId700" ref="K846"/>
    <hyperlink r:id="rId701" ref="K847"/>
    <hyperlink r:id="rId702" ref="K848"/>
    <hyperlink r:id="rId703" ref="K849"/>
    <hyperlink r:id="rId704" ref="K850"/>
    <hyperlink r:id="rId705" ref="K851"/>
    <hyperlink r:id="rId706" ref="K852"/>
    <hyperlink r:id="rId707" ref="K853"/>
    <hyperlink r:id="rId708" ref="K854"/>
    <hyperlink r:id="rId709" ref="K855"/>
    <hyperlink r:id="rId710" ref="K856"/>
    <hyperlink r:id="rId711" ref="K857"/>
    <hyperlink r:id="rId712" ref="K858"/>
    <hyperlink r:id="rId713" ref="K860"/>
    <hyperlink r:id="rId714" ref="K861"/>
    <hyperlink r:id="rId715" ref="K862"/>
    <hyperlink r:id="rId716" ref="K863"/>
    <hyperlink r:id="rId717" ref="K864"/>
    <hyperlink r:id="rId718" ref="K865"/>
    <hyperlink r:id="rId719" ref="K866"/>
    <hyperlink r:id="rId720" ref="K867"/>
    <hyperlink r:id="rId721" ref="K868"/>
    <hyperlink r:id="rId722" ref="K869"/>
    <hyperlink r:id="rId723" ref="K870"/>
    <hyperlink r:id="rId724" ref="K871"/>
    <hyperlink r:id="rId725" ref="K872"/>
    <hyperlink r:id="rId726" ref="K873"/>
    <hyperlink r:id="rId727" ref="K874"/>
    <hyperlink r:id="rId728" ref="K875"/>
    <hyperlink r:id="rId729" ref="K876"/>
    <hyperlink r:id="rId730" ref="K877"/>
    <hyperlink r:id="rId731" ref="K878"/>
    <hyperlink r:id="rId732" ref="K879"/>
    <hyperlink r:id="rId733" ref="K880"/>
    <hyperlink r:id="rId734" ref="K881"/>
    <hyperlink r:id="rId735" ref="K882"/>
    <hyperlink r:id="rId736" ref="K883"/>
    <hyperlink r:id="rId737" ref="K884"/>
    <hyperlink r:id="rId738" ref="K885"/>
    <hyperlink r:id="rId739" ref="K886"/>
    <hyperlink r:id="rId740" ref="K887"/>
    <hyperlink r:id="rId741" ref="K888"/>
    <hyperlink r:id="rId742" ref="K889"/>
    <hyperlink r:id="rId743" ref="K890"/>
    <hyperlink r:id="rId744" ref="K891"/>
    <hyperlink r:id="rId745" ref="K892"/>
    <hyperlink r:id="rId746" ref="K893"/>
    <hyperlink r:id="rId747" ref="K895"/>
    <hyperlink r:id="rId748" ref="K896"/>
    <hyperlink r:id="rId749" ref="K897"/>
    <hyperlink r:id="rId750" ref="K898"/>
    <hyperlink r:id="rId751" ref="K899"/>
    <hyperlink r:id="rId752" ref="K900"/>
    <hyperlink r:id="rId753" ref="K901"/>
    <hyperlink r:id="rId754" ref="K902"/>
    <hyperlink r:id="rId755" ref="K904"/>
    <hyperlink r:id="rId756" ref="K905"/>
    <hyperlink r:id="rId757" ref="K906"/>
    <hyperlink r:id="rId758" ref="K907"/>
    <hyperlink r:id="rId759" ref="K908"/>
    <hyperlink r:id="rId760" ref="K909"/>
    <hyperlink r:id="rId761" ref="K910"/>
    <hyperlink r:id="rId762" ref="K911"/>
    <hyperlink r:id="rId763" ref="K912"/>
    <hyperlink r:id="rId764" ref="K913"/>
    <hyperlink r:id="rId765" ref="K914"/>
    <hyperlink r:id="rId766" ref="K915"/>
    <hyperlink r:id="rId767" ref="K916"/>
    <hyperlink r:id="rId768" ref="K917"/>
    <hyperlink r:id="rId769" ref="K918"/>
    <hyperlink r:id="rId770" ref="K919"/>
    <hyperlink r:id="rId771" ref="K921"/>
    <hyperlink r:id="rId772" ref="K922"/>
    <hyperlink r:id="rId773" ref="K923"/>
    <hyperlink r:id="rId774" ref="K924"/>
    <hyperlink r:id="rId775" ref="K925"/>
    <hyperlink r:id="rId776" ref="K926"/>
    <hyperlink r:id="rId777" ref="K927"/>
    <hyperlink r:id="rId778" ref="K928"/>
    <hyperlink r:id="rId779" ref="K929"/>
    <hyperlink r:id="rId780" ref="K930"/>
    <hyperlink r:id="rId781" ref="K931"/>
    <hyperlink r:id="rId782" ref="K932"/>
    <hyperlink r:id="rId783" ref="K933"/>
    <hyperlink r:id="rId784" ref="K934"/>
    <hyperlink r:id="rId785" ref="K935"/>
    <hyperlink r:id="rId786" ref="K936"/>
    <hyperlink r:id="rId787" ref="K937"/>
    <hyperlink r:id="rId788" ref="K938"/>
    <hyperlink r:id="rId789" ref="K939"/>
    <hyperlink r:id="rId790" ref="K940"/>
    <hyperlink r:id="rId791" ref="K941"/>
    <hyperlink r:id="rId792" ref="K942"/>
    <hyperlink r:id="rId793" ref="K943"/>
    <hyperlink r:id="rId794" ref="K944"/>
    <hyperlink r:id="rId795" ref="K945"/>
    <hyperlink r:id="rId796" ref="K946"/>
    <hyperlink r:id="rId797" ref="K947"/>
    <hyperlink r:id="rId798" ref="K948"/>
    <hyperlink r:id="rId799" ref="K950"/>
    <hyperlink r:id="rId800" ref="K951"/>
    <hyperlink r:id="rId801" ref="K953"/>
    <hyperlink r:id="rId802" ref="K955"/>
    <hyperlink r:id="rId803" ref="K956"/>
    <hyperlink r:id="rId804" ref="K957"/>
    <hyperlink r:id="rId805" ref="K958"/>
    <hyperlink r:id="rId806" ref="K959"/>
    <hyperlink r:id="rId807" ref="K960"/>
    <hyperlink r:id="rId808" ref="K961"/>
    <hyperlink r:id="rId809" ref="K962"/>
    <hyperlink r:id="rId810" ref="K963"/>
    <hyperlink r:id="rId811" ref="K964"/>
    <hyperlink r:id="rId812" ref="K965"/>
    <hyperlink r:id="rId813" ref="K966"/>
    <hyperlink r:id="rId814" ref="K967"/>
    <hyperlink r:id="rId815" ref="K968"/>
    <hyperlink r:id="rId816" ref="K969"/>
    <hyperlink r:id="rId817" ref="K970"/>
    <hyperlink r:id="rId818" ref="K971"/>
    <hyperlink r:id="rId819" ref="K972"/>
    <hyperlink r:id="rId820" ref="K973"/>
    <hyperlink r:id="rId821" ref="K974"/>
    <hyperlink r:id="rId822" ref="K975"/>
    <hyperlink r:id="rId823" ref="K976"/>
    <hyperlink r:id="rId824" ref="K977"/>
    <hyperlink r:id="rId825" ref="K978"/>
    <hyperlink r:id="rId826" ref="K979"/>
    <hyperlink r:id="rId827" ref="K980"/>
    <hyperlink r:id="rId828" ref="K981"/>
    <hyperlink r:id="rId829" ref="K983"/>
    <hyperlink r:id="rId830" ref="K984"/>
    <hyperlink r:id="rId831" ref="K985"/>
    <hyperlink r:id="rId832" ref="K986"/>
    <hyperlink r:id="rId833" ref="K987"/>
    <hyperlink r:id="rId834" ref="K988"/>
    <hyperlink r:id="rId835" ref="K989"/>
    <hyperlink r:id="rId836" ref="K991"/>
    <hyperlink r:id="rId837" ref="K992"/>
    <hyperlink r:id="rId838" ref="K994"/>
    <hyperlink r:id="rId839" ref="K995"/>
    <hyperlink r:id="rId840" ref="K996"/>
    <hyperlink r:id="rId841" ref="K998"/>
    <hyperlink r:id="rId842" ref="K999"/>
    <hyperlink r:id="rId843" ref="K1000"/>
    <hyperlink r:id="rId844" ref="K1001"/>
    <hyperlink r:id="rId845" ref="K1002"/>
    <hyperlink r:id="rId846" ref="K1003"/>
    <hyperlink r:id="rId847" ref="K1004"/>
    <hyperlink r:id="rId848" ref="K1005"/>
    <hyperlink r:id="rId849" ref="K1006"/>
    <hyperlink r:id="rId850" ref="K1007"/>
    <hyperlink r:id="rId851" ref="K1009"/>
    <hyperlink r:id="rId852" ref="K1010"/>
    <hyperlink r:id="rId853" ref="K1011"/>
    <hyperlink r:id="rId854" ref="K1014"/>
    <hyperlink r:id="rId855" ref="K1015"/>
    <hyperlink r:id="rId856" ref="K1016"/>
    <hyperlink r:id="rId857" ref="K1017"/>
    <hyperlink r:id="rId858" ref="K1018"/>
    <hyperlink r:id="rId859" ref="K1019"/>
    <hyperlink r:id="rId860" ref="K1021"/>
    <hyperlink r:id="rId861" ref="K1023"/>
    <hyperlink r:id="rId862" ref="K1024"/>
    <hyperlink r:id="rId863" ref="K1025"/>
    <hyperlink r:id="rId864" ref="K1026"/>
    <hyperlink r:id="rId865" ref="K1027"/>
    <hyperlink r:id="rId866" ref="K1028"/>
    <hyperlink r:id="rId867" ref="K1029"/>
    <hyperlink r:id="rId868" ref="K1030"/>
    <hyperlink r:id="rId869" ref="K1031"/>
    <hyperlink r:id="rId870" ref="K1032"/>
    <hyperlink r:id="rId871" ref="K1033"/>
    <hyperlink r:id="rId872" ref="K1034"/>
    <hyperlink r:id="rId873" ref="K1035"/>
    <hyperlink r:id="rId874" ref="K1036"/>
    <hyperlink r:id="rId875" ref="K1037"/>
    <hyperlink r:id="rId876" ref="K1039"/>
    <hyperlink r:id="rId877" ref="K1040"/>
    <hyperlink r:id="rId878" ref="K1041"/>
    <hyperlink r:id="rId879" ref="K1042"/>
    <hyperlink r:id="rId880" ref="K1043"/>
    <hyperlink r:id="rId881" ref="K1044"/>
    <hyperlink r:id="rId882" ref="K1045"/>
    <hyperlink r:id="rId883" ref="K1046"/>
    <hyperlink r:id="rId884" ref="K1047"/>
    <hyperlink r:id="rId885" ref="K1048"/>
    <hyperlink r:id="rId886" ref="K1049"/>
    <hyperlink r:id="rId887" ref="K1050"/>
    <hyperlink r:id="rId888" ref="K1051"/>
    <hyperlink r:id="rId889" ref="K1052"/>
    <hyperlink r:id="rId890" ref="K1053"/>
    <hyperlink r:id="rId891" ref="K1054"/>
    <hyperlink r:id="rId892" ref="K1055"/>
    <hyperlink r:id="rId893" ref="K1056"/>
    <hyperlink r:id="rId894" ref="K1057"/>
    <hyperlink r:id="rId895" ref="K1058"/>
    <hyperlink r:id="rId896" ref="K1059"/>
    <hyperlink r:id="rId897" ref="K1060"/>
    <hyperlink r:id="rId898" ref="K1061"/>
    <hyperlink r:id="rId899" ref="K1062"/>
    <hyperlink r:id="rId900" ref="K1063"/>
    <hyperlink r:id="rId901" ref="K1064"/>
    <hyperlink r:id="rId902" ref="K1065"/>
    <hyperlink r:id="rId903" ref="K1066"/>
    <hyperlink r:id="rId904" ref="K1067"/>
    <hyperlink r:id="rId905" ref="K1068"/>
    <hyperlink r:id="rId906" ref="K1069"/>
    <hyperlink r:id="rId907" ref="K1070"/>
    <hyperlink r:id="rId908" ref="K1071"/>
    <hyperlink r:id="rId909" ref="K1072"/>
    <hyperlink r:id="rId910" ref="K1073"/>
    <hyperlink r:id="rId911" ref="K1074"/>
    <hyperlink r:id="rId912" ref="K1075"/>
    <hyperlink r:id="rId913" ref="K1076"/>
    <hyperlink r:id="rId914" ref="K1077"/>
    <hyperlink r:id="rId915" ref="K1078"/>
    <hyperlink r:id="rId916" ref="K1079"/>
    <hyperlink r:id="rId917" ref="K1081"/>
    <hyperlink r:id="rId918" ref="K1082"/>
    <hyperlink r:id="rId919" ref="K1083"/>
    <hyperlink r:id="rId920" ref="K1084"/>
    <hyperlink r:id="rId921" ref="K1085"/>
    <hyperlink r:id="rId922" ref="K1086"/>
    <hyperlink r:id="rId923" ref="K1087"/>
    <hyperlink r:id="rId924" ref="K1088"/>
    <hyperlink r:id="rId925" ref="K1089"/>
    <hyperlink r:id="rId926" ref="K1090"/>
    <hyperlink r:id="rId927" ref="K1091"/>
    <hyperlink r:id="rId928" ref="K1092"/>
    <hyperlink r:id="rId929" ref="K1093"/>
    <hyperlink r:id="rId930" ref="K1095"/>
    <hyperlink r:id="rId931" ref="K1096"/>
    <hyperlink r:id="rId932" ref="K1097"/>
    <hyperlink r:id="rId933" ref="K1099"/>
    <hyperlink r:id="rId934" ref="K1101"/>
    <hyperlink r:id="rId935" ref="K1102"/>
    <hyperlink r:id="rId936" ref="K1103"/>
    <hyperlink r:id="rId937" ref="K1105"/>
    <hyperlink r:id="rId938" ref="K1106"/>
    <hyperlink r:id="rId939" ref="K1107"/>
    <hyperlink r:id="rId940" ref="K1108"/>
    <hyperlink r:id="rId941" ref="K1110"/>
    <hyperlink r:id="rId942" ref="K1111"/>
    <hyperlink r:id="rId943" ref="K1112"/>
    <hyperlink r:id="rId944" ref="K1113"/>
    <hyperlink r:id="rId945" ref="K1114"/>
    <hyperlink r:id="rId946" ref="K1115"/>
    <hyperlink r:id="rId947" ref="K1116"/>
    <hyperlink r:id="rId948" ref="K1117"/>
    <hyperlink r:id="rId949" ref="K1118"/>
    <hyperlink r:id="rId950" ref="K1120"/>
    <hyperlink r:id="rId951" ref="K1121"/>
    <hyperlink r:id="rId952" ref="K1122"/>
    <hyperlink r:id="rId953" ref="K1123"/>
    <hyperlink r:id="rId954" ref="K1124"/>
    <hyperlink r:id="rId955" ref="K1125"/>
    <hyperlink r:id="rId956" ref="K1127"/>
    <hyperlink r:id="rId957" ref="K1128"/>
    <hyperlink r:id="rId958" ref="K1129"/>
    <hyperlink r:id="rId959" ref="K1130"/>
    <hyperlink r:id="rId960" ref="K1131"/>
    <hyperlink r:id="rId961" ref="K1132"/>
    <hyperlink r:id="rId962" ref="K1133"/>
    <hyperlink r:id="rId963" ref="K1134"/>
    <hyperlink r:id="rId964" ref="K1135"/>
    <hyperlink r:id="rId965" ref="K1136"/>
    <hyperlink r:id="rId966" ref="K1137"/>
    <hyperlink r:id="rId967" ref="K1138"/>
    <hyperlink r:id="rId968" ref="K1139"/>
    <hyperlink r:id="rId969" ref="K1140"/>
    <hyperlink r:id="rId970" ref="K1142"/>
    <hyperlink r:id="rId971" ref="K1143"/>
    <hyperlink r:id="rId972" ref="K1144"/>
    <hyperlink r:id="rId973" ref="K1145"/>
    <hyperlink r:id="rId974" ref="K1146"/>
    <hyperlink r:id="rId975" ref="K1147"/>
    <hyperlink r:id="rId976" ref="K1148"/>
    <hyperlink r:id="rId977" ref="K1150"/>
    <hyperlink r:id="rId978" ref="K1151"/>
    <hyperlink r:id="rId979" ref="K1152"/>
    <hyperlink r:id="rId980" ref="K1153"/>
    <hyperlink r:id="rId981" ref="K1154"/>
    <hyperlink r:id="rId982" ref="K1155"/>
    <hyperlink r:id="rId983" ref="K1156"/>
    <hyperlink r:id="rId984" ref="K1157"/>
    <hyperlink r:id="rId985" ref="K1158"/>
    <hyperlink r:id="rId986" ref="K1159"/>
    <hyperlink r:id="rId987" ref="K1160"/>
    <hyperlink r:id="rId988" ref="K1161"/>
    <hyperlink r:id="rId989" ref="K1162"/>
    <hyperlink r:id="rId990" ref="K1163"/>
    <hyperlink r:id="rId991" ref="K1164"/>
    <hyperlink r:id="rId992" ref="K1167"/>
    <hyperlink r:id="rId993" ref="K1168"/>
    <hyperlink r:id="rId994" ref="K1169"/>
    <hyperlink r:id="rId995" ref="K1170"/>
    <hyperlink r:id="rId996" ref="K1171"/>
    <hyperlink r:id="rId997" ref="K1172"/>
    <hyperlink r:id="rId998" ref="K1173"/>
    <hyperlink r:id="rId999" ref="K1174"/>
    <hyperlink r:id="rId1000" ref="K1175"/>
    <hyperlink r:id="rId1001" ref="K1176"/>
    <hyperlink r:id="rId1002" ref="K1177"/>
    <hyperlink r:id="rId1003" ref="K1178"/>
    <hyperlink r:id="rId1004" ref="K1179"/>
    <hyperlink r:id="rId1005" ref="K1180"/>
    <hyperlink r:id="rId1006" ref="K1181"/>
    <hyperlink r:id="rId1007" ref="K1182"/>
    <hyperlink r:id="rId1008" ref="K1183"/>
    <hyperlink r:id="rId1009" ref="K1184"/>
    <hyperlink r:id="rId1010" ref="K1185"/>
    <hyperlink r:id="rId1011" ref="K1186"/>
    <hyperlink r:id="rId1012" ref="K1187"/>
    <hyperlink r:id="rId1013" ref="K1188"/>
    <hyperlink r:id="rId1014" ref="K1189"/>
    <hyperlink r:id="rId1015" ref="K1190"/>
    <hyperlink r:id="rId1016" ref="K1191"/>
    <hyperlink r:id="rId1017" ref="K1192"/>
    <hyperlink r:id="rId1018" ref="K1193"/>
    <hyperlink r:id="rId1019" ref="K1194"/>
    <hyperlink r:id="rId1020" ref="K1195"/>
    <hyperlink r:id="rId1021" ref="K1196"/>
    <hyperlink r:id="rId1022" ref="K1197"/>
    <hyperlink r:id="rId1023" ref="K1198"/>
    <hyperlink r:id="rId1024" ref="K1199"/>
    <hyperlink r:id="rId1025" ref="K1200"/>
    <hyperlink r:id="rId1026" ref="K1201"/>
    <hyperlink r:id="rId1027" ref="K1202"/>
    <hyperlink r:id="rId1028" ref="K1203"/>
    <hyperlink r:id="rId1029" ref="K1204"/>
    <hyperlink r:id="rId1030" ref="K1205"/>
    <hyperlink r:id="rId1031" ref="K1206"/>
    <hyperlink r:id="rId1032" ref="K1207"/>
    <hyperlink r:id="rId1033" ref="K1208"/>
    <hyperlink r:id="rId1034" ref="K1209"/>
    <hyperlink r:id="rId1035" ref="K1210"/>
    <hyperlink r:id="rId1036" ref="K1211"/>
    <hyperlink r:id="rId1037" ref="K1213"/>
    <hyperlink r:id="rId1038" ref="K1214"/>
    <hyperlink r:id="rId1039" ref="K1215"/>
    <hyperlink r:id="rId1040" ref="K1216"/>
    <hyperlink r:id="rId1041" ref="K1217"/>
    <hyperlink r:id="rId1042" ref="K1218"/>
    <hyperlink r:id="rId1043" ref="K1219"/>
    <hyperlink r:id="rId1044" ref="K1220"/>
    <hyperlink r:id="rId1045" ref="K1221"/>
    <hyperlink r:id="rId1046" ref="K1222"/>
    <hyperlink r:id="rId1047" ref="K1223"/>
    <hyperlink r:id="rId1048" ref="K1224"/>
    <hyperlink r:id="rId1049" ref="K1225"/>
    <hyperlink r:id="rId1050" ref="K1226"/>
    <hyperlink r:id="rId1051" ref="K1227"/>
    <hyperlink r:id="rId1052" ref="K1228"/>
    <hyperlink r:id="rId1053" ref="K1229"/>
    <hyperlink r:id="rId1054" ref="K1230"/>
    <hyperlink r:id="rId1055" ref="K1231"/>
    <hyperlink r:id="rId1056" ref="K1232"/>
    <hyperlink r:id="rId1057" ref="K1233"/>
    <hyperlink r:id="rId1058" ref="K1234"/>
    <hyperlink r:id="rId1059" ref="K1235"/>
    <hyperlink r:id="rId1060" ref="K1236"/>
    <hyperlink r:id="rId1061" ref="K1237"/>
    <hyperlink r:id="rId1062" ref="K1238"/>
    <hyperlink r:id="rId1063" ref="K1239"/>
    <hyperlink r:id="rId1064" ref="K1241"/>
    <hyperlink r:id="rId1065" ref="K1242"/>
    <hyperlink r:id="rId1066" ref="K1245"/>
    <hyperlink r:id="rId1067" ref="K1246"/>
    <hyperlink r:id="rId1068" ref="K1247"/>
    <hyperlink r:id="rId1069" ref="K1248"/>
    <hyperlink r:id="rId1070" ref="K1249"/>
    <hyperlink r:id="rId1071" ref="K1250"/>
    <hyperlink r:id="rId1072" ref="K1251"/>
    <hyperlink r:id="rId1073" ref="K1252"/>
    <hyperlink r:id="rId1074" ref="K1253"/>
    <hyperlink r:id="rId1075" ref="K1254"/>
    <hyperlink r:id="rId1076" ref="K1256"/>
    <hyperlink r:id="rId1077" ref="K1257"/>
    <hyperlink r:id="rId1078" ref="K1258"/>
    <hyperlink r:id="rId1079" ref="K1259"/>
    <hyperlink r:id="rId1080" ref="K1261"/>
    <hyperlink r:id="rId1081" ref="K1262"/>
    <hyperlink r:id="rId1082" ref="K1264"/>
    <hyperlink r:id="rId1083" ref="K1265"/>
    <hyperlink r:id="rId1084" ref="K1266"/>
    <hyperlink r:id="rId1085" ref="K1267"/>
    <hyperlink r:id="rId1086" ref="K1268"/>
    <hyperlink r:id="rId1087" ref="K1271"/>
    <hyperlink r:id="rId1088" ref="K1272"/>
    <hyperlink r:id="rId1089" ref="K1273"/>
    <hyperlink r:id="rId1090" ref="K1274"/>
    <hyperlink r:id="rId1091" ref="K1275"/>
    <hyperlink r:id="rId1092" ref="K1276"/>
    <hyperlink r:id="rId1093" ref="K1277"/>
    <hyperlink r:id="rId1094" ref="K1278"/>
    <hyperlink r:id="rId1095" ref="K1279"/>
    <hyperlink r:id="rId1096" ref="K1280"/>
    <hyperlink r:id="rId1097" ref="K1281"/>
    <hyperlink r:id="rId1098" ref="K1282"/>
    <hyperlink r:id="rId1099" ref="K1283"/>
    <hyperlink r:id="rId1100" ref="K1284"/>
    <hyperlink r:id="rId1101" ref="K1285"/>
    <hyperlink r:id="rId1102" ref="K1286"/>
    <hyperlink r:id="rId1103" ref="K1287"/>
    <hyperlink r:id="rId1104" ref="K1288"/>
    <hyperlink r:id="rId1105" ref="K1289"/>
    <hyperlink r:id="rId1106" ref="K1290"/>
    <hyperlink r:id="rId1107" ref="K1291"/>
    <hyperlink r:id="rId1108" ref="K1292"/>
    <hyperlink r:id="rId1109" ref="K1293"/>
    <hyperlink r:id="rId1110" ref="K1294"/>
    <hyperlink r:id="rId1111" ref="K1295"/>
    <hyperlink r:id="rId1112" ref="K1296"/>
    <hyperlink r:id="rId1113" ref="K1297"/>
    <hyperlink r:id="rId1114" ref="K1298"/>
    <hyperlink r:id="rId1115" ref="K1299"/>
    <hyperlink r:id="rId1116" ref="K1300"/>
    <hyperlink r:id="rId1117" ref="K1301"/>
    <hyperlink r:id="rId1118" ref="K1303"/>
    <hyperlink r:id="rId1119" ref="K1304"/>
    <hyperlink r:id="rId1120" ref="K1305"/>
    <hyperlink r:id="rId1121" ref="K1306"/>
    <hyperlink r:id="rId1122" ref="K1307"/>
    <hyperlink r:id="rId1123" ref="K1308"/>
    <hyperlink r:id="rId1124" ref="K1309"/>
    <hyperlink r:id="rId1125" ref="K1310"/>
    <hyperlink r:id="rId1126" ref="K1311"/>
    <hyperlink r:id="rId1127" ref="K1312"/>
    <hyperlink r:id="rId1128" ref="K1313"/>
    <hyperlink r:id="rId1129" ref="K1314"/>
    <hyperlink r:id="rId1130" ref="K1315"/>
    <hyperlink r:id="rId1131" ref="K1316"/>
    <hyperlink r:id="rId1132" ref="K1317"/>
    <hyperlink r:id="rId1133" ref="K1318"/>
    <hyperlink r:id="rId1134" ref="K1319"/>
    <hyperlink r:id="rId1135" ref="K1320"/>
    <hyperlink r:id="rId1136" ref="K1321"/>
    <hyperlink r:id="rId1137" ref="K1322"/>
    <hyperlink r:id="rId1138" ref="K1323"/>
    <hyperlink r:id="rId1139" ref="K1324"/>
    <hyperlink r:id="rId1140" ref="K1326"/>
    <hyperlink r:id="rId1141" ref="K1327"/>
    <hyperlink r:id="rId1142" ref="K1328"/>
    <hyperlink r:id="rId1143" ref="K1329"/>
    <hyperlink r:id="rId1144" ref="K1330"/>
    <hyperlink r:id="rId1145" ref="K1331"/>
    <hyperlink r:id="rId1146" ref="K1332"/>
    <hyperlink r:id="rId1147" ref="K1333"/>
    <hyperlink r:id="rId1148" ref="K1334"/>
    <hyperlink r:id="rId1149" ref="K1335"/>
    <hyperlink r:id="rId1150" ref="K1336"/>
    <hyperlink r:id="rId1151" ref="K1337"/>
    <hyperlink r:id="rId1152" ref="K1339"/>
    <hyperlink r:id="rId1153" ref="K1340"/>
    <hyperlink r:id="rId1154" ref="K1341"/>
    <hyperlink r:id="rId1155" ref="K1342"/>
    <hyperlink r:id="rId1156" ref="K1343"/>
    <hyperlink r:id="rId1157" ref="K1344"/>
    <hyperlink r:id="rId1158" ref="K1345"/>
    <hyperlink r:id="rId1159" ref="K1346"/>
    <hyperlink r:id="rId1160" ref="K1347"/>
    <hyperlink r:id="rId1161" ref="K1348"/>
    <hyperlink r:id="rId1162" ref="K1349"/>
    <hyperlink r:id="rId1163" ref="K1350"/>
    <hyperlink r:id="rId1164" ref="K1351"/>
    <hyperlink r:id="rId1165" ref="K1352"/>
    <hyperlink r:id="rId1166" ref="K1353"/>
    <hyperlink r:id="rId1167" ref="K1354"/>
    <hyperlink r:id="rId1168" ref="K1355"/>
    <hyperlink r:id="rId1169" ref="K1356"/>
    <hyperlink r:id="rId1170" ref="K1357"/>
    <hyperlink r:id="rId1171" ref="K1358"/>
    <hyperlink r:id="rId1172" ref="K1359"/>
    <hyperlink r:id="rId1173" ref="K1360"/>
    <hyperlink r:id="rId1174" ref="K1361"/>
    <hyperlink r:id="rId1175" ref="K1362"/>
    <hyperlink r:id="rId1176" ref="K1363"/>
  </hyperlinks>
  <drawing r:id="rId11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c r="B2" s="1">
        <v>82.0</v>
      </c>
    </row>
    <row r="3">
      <c r="A3" s="1" t="s">
        <v>3</v>
      </c>
      <c r="B3" s="1">
        <v>70.0</v>
      </c>
    </row>
    <row r="4">
      <c r="A4" s="1" t="s">
        <v>4</v>
      </c>
      <c r="B4" s="1">
        <v>60.0</v>
      </c>
    </row>
    <row r="6">
      <c r="A6" s="1" t="s">
        <v>5</v>
      </c>
      <c r="B6" s="1">
        <v>40.0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2026-03-23T15:34:06Z</dcterms:created>
  <dc:creator>openpyxl</dc:creator>
</cp:coreProperties>
</file>